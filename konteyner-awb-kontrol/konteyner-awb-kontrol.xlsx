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eyner" sheetId="1" state="visible" r:id="rId1"/>
    <sheet name="AWB" sheetId="2" state="visible" r:id="rId2"/>
    <sheet name="Hakkı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i val="1"/>
      <color rgb="00808080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49" fontId="0" fillId="3" borderId="0" pivotButton="0" quotePrefix="0" xfId="0"/>
    <xf numFmtId="0" fontId="2" fillId="0" borderId="0" pivotButton="0" quotePrefix="0" xfId="0"/>
    <xf numFmtId="1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logisticsiq.org" TargetMode="External" Id="rId1" /></Relationships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44" customWidth="1" min="4" max="4"/>
    <col hidden="1" outlineLevel="1" width="13" customWidth="1" min="6" max="18"/>
  </cols>
  <sheetData>
    <row r="1">
      <c r="A1" s="1" t="inlineStr">
        <is>
          <t>Konteyner numarası kontrolü (ISO 6346)</t>
        </is>
      </c>
    </row>
    <row r="2" ht="48" customHeight="1">
      <c r="A2" s="2" t="inlineStr">
        <is>
          <t>Konteyner numaralarını A5 hücresinden başlayarak A sütununa yapıştırın (en çok 1000 satır). Büyük ya da küçük harf, boşluk, tire, nokta ve eğik çizgi fark etmez.</t>
        </is>
      </c>
    </row>
    <row r="3" ht="48" customHeight="1">
      <c r="A3" s="2" t="inlineStr">
        <is>
          <t>Geçerli bir kontrol hanesi yalnızca numaranın biçimce doğru olduğunu gösterir. Konteynerin var olduğunu ya da o sahibe ait olduğunu göstermez.</t>
        </is>
      </c>
    </row>
    <row r="4" ht="32" customHeight="1">
      <c r="A4" s="3" t="inlineStr">
        <is>
          <t>Numara (sarı hücrelere yapıştırın)</t>
        </is>
      </c>
      <c r="B4" s="4" t="inlineStr">
        <is>
          <t>Temizlenmiş numara</t>
        </is>
      </c>
      <c r="C4" s="4" t="inlineStr">
        <is>
          <t>Hesaplanan kontrol hanesi</t>
        </is>
      </c>
      <c r="D4" s="4" t="inlineStr">
        <is>
          <t>Sonuç</t>
        </is>
      </c>
      <c r="F4" s="5" t="inlineStr">
        <is>
          <t>Yardımcı: biçim doğru (1/0)</t>
        </is>
      </c>
      <c r="G4" s="5" t="inlineStr">
        <is>
          <t>Yardımcı: 1. karakter değeri</t>
        </is>
      </c>
      <c r="H4" s="5" t="inlineStr">
        <is>
          <t>Yardımcı: 2. karakter değeri</t>
        </is>
      </c>
      <c r="I4" s="5" t="inlineStr">
        <is>
          <t>Yardımcı: 3. karakter değeri</t>
        </is>
      </c>
      <c r="J4" s="5" t="inlineStr">
        <is>
          <t>Yardımcı: 4. karakter değeri</t>
        </is>
      </c>
      <c r="K4" s="5" t="inlineStr">
        <is>
          <t>Yardımcı: 5. karakter değeri</t>
        </is>
      </c>
      <c r="L4" s="5" t="inlineStr">
        <is>
          <t>Yardımcı: 6. karakter değeri</t>
        </is>
      </c>
      <c r="M4" s="5" t="inlineStr">
        <is>
          <t>Yardımcı: 7. karakter değeri</t>
        </is>
      </c>
      <c r="N4" s="5" t="inlineStr">
        <is>
          <t>Yardımcı: 8. karakter değeri</t>
        </is>
      </c>
      <c r="O4" s="5" t="inlineStr">
        <is>
          <t>Yardımcı: 9. karakter değeri</t>
        </is>
      </c>
      <c r="P4" s="5" t="inlineStr">
        <is>
          <t>Yardımcı: 10. karakter değeri</t>
        </is>
      </c>
      <c r="Q4" s="5" t="inlineStr">
        <is>
          <t>Yardımcı: ağırlıklı toplam</t>
        </is>
      </c>
      <c r="R4" s="5" t="inlineStr">
        <is>
          <t>Yardımcı: beklenen hane</t>
        </is>
      </c>
    </row>
    <row r="5">
      <c r="A5" s="6" t="n"/>
      <c r="B5" s="7">
        <f>IF($A5="","",UPPER(SUBSTITUTE(SUBSTITUTE(SUBSTITUTE(SUBSTITUTE(SUBSTITUTE(SUBSTITUTE($A5," ",""),"-",""),".",""),"/",""),"i","I"),"ı","?")))</f>
        <v/>
      </c>
      <c r="C5" s="8">
        <f>IF($F5=1,$R5,"")</f>
        <v/>
      </c>
      <c r="D5" s="7">
        <f>IF($A5="","",IF($F5=0,"Biçim hatalı",IF(FIND(MID($B5,11,1),"0123456789")-1=$R5,"Geçerli","Kontrol hanesi hatalı (doğrusu: "&amp;$R5&amp;")")))</f>
        <v/>
      </c>
      <c r="F5">
        <f>IF($A5="","",IF(AND(LEN($B5)=11,SUMPRODUCT(--ISNUMBER(FIND(MID($B5,{1,2,3},1),"ABCDEFGHIJKLMNOPQRSTUVWXYZ")))=3,ISNUMBER(FIND(MID($B5,4,1),"UJZ")),SUMPRODUCT(--ISNUMBER(FIND(MID($B5,{5,6,7,8,9,10,11},1),"0123456789")))=7),1,0))</f>
        <v/>
      </c>
      <c r="G5">
        <f>IF($F5=1,INDEX({10,12,13,14,15,16,17,18,19,20,21,23,24,25,26,27,28,29,30,31,32,34,35,36,37,38},1,FIND(MID($B5,1,1),"ABCDEFGHIJKLMNOPQRSTUVWXYZ")),"")</f>
        <v/>
      </c>
      <c r="H5">
        <f>IF($F5=1,INDEX({10,12,13,14,15,16,17,18,19,20,21,23,24,25,26,27,28,29,30,31,32,34,35,36,37,38},1,FIND(MID($B5,2,1),"ABCDEFGHIJKLMNOPQRSTUVWXYZ")),"")</f>
        <v/>
      </c>
      <c r="I5">
        <f>IF($F5=1,INDEX({10,12,13,14,15,16,17,18,19,20,21,23,24,25,26,27,28,29,30,31,32,34,35,36,37,38},1,FIND(MID($B5,3,1),"ABCDEFGHIJKLMNOPQRSTUVWXYZ")),"")</f>
        <v/>
      </c>
      <c r="J5">
        <f>IF($F5=1,INDEX({10,12,13,14,15,16,17,18,19,20,21,23,24,25,26,27,28,29,30,31,32,34,35,36,37,38},1,FIND(MID($B5,4,1),"ABCDEFGHIJKLMNOPQRSTUVWXYZ")),"")</f>
        <v/>
      </c>
      <c r="K5">
        <f>IF($F5=1,FIND(MID($B5,5,1),"0123456789")-1,"")</f>
        <v/>
      </c>
      <c r="L5">
        <f>IF($F5=1,FIND(MID($B5,6,1),"0123456789")-1,"")</f>
        <v/>
      </c>
      <c r="M5">
        <f>IF($F5=1,FIND(MID($B5,7,1),"0123456789")-1,"")</f>
        <v/>
      </c>
      <c r="N5">
        <f>IF($F5=1,FIND(MID($B5,8,1),"0123456789")-1,"")</f>
        <v/>
      </c>
      <c r="O5">
        <f>IF($F5=1,FIND(MID($B5,9,1),"0123456789")-1,"")</f>
        <v/>
      </c>
      <c r="P5">
        <f>IF($F5=1,FIND(MID($B5,10,1),"0123456789")-1,"")</f>
        <v/>
      </c>
      <c r="Q5">
        <f>IF($F5=1,SUMPRODUCT($G5:$P5,{1,2,4,8,16,32,64,128,256,512}),"")</f>
        <v/>
      </c>
      <c r="R5">
        <f>IF($F5=1,MOD(MOD($Q5,11),10),"")</f>
        <v/>
      </c>
    </row>
    <row r="6">
      <c r="A6" s="6" t="n"/>
      <c r="B6" s="7">
        <f>IF($A6="","",UPPER(SUBSTITUTE(SUBSTITUTE(SUBSTITUTE(SUBSTITUTE(SUBSTITUTE(SUBSTITUTE($A6," ",""),"-",""),".",""),"/",""),"i","I"),"ı","?")))</f>
        <v/>
      </c>
      <c r="C6" s="8">
        <f>IF($F6=1,$R6,"")</f>
        <v/>
      </c>
      <c r="D6" s="7">
        <f>IF($A6="","",IF($F6=0,"Biçim hatalı",IF(FIND(MID($B6,11,1),"0123456789")-1=$R6,"Geçerli","Kontrol hanesi hatalı (doğrusu: "&amp;$R6&amp;")")))</f>
        <v/>
      </c>
      <c r="F6">
        <f>IF($A6="","",IF(AND(LEN($B6)=11,SUMPRODUCT(--ISNUMBER(FIND(MID($B6,{1,2,3},1),"ABCDEFGHIJKLMNOPQRSTUVWXYZ")))=3,ISNUMBER(FIND(MID($B6,4,1),"UJZ")),SUMPRODUCT(--ISNUMBER(FIND(MID($B6,{5,6,7,8,9,10,11},1),"0123456789")))=7),1,0))</f>
        <v/>
      </c>
      <c r="G6">
        <f>IF($F6=1,INDEX({10,12,13,14,15,16,17,18,19,20,21,23,24,25,26,27,28,29,30,31,32,34,35,36,37,38},1,FIND(MID($B6,1,1),"ABCDEFGHIJKLMNOPQRSTUVWXYZ")),"")</f>
        <v/>
      </c>
      <c r="H6">
        <f>IF($F6=1,INDEX({10,12,13,14,15,16,17,18,19,20,21,23,24,25,26,27,28,29,30,31,32,34,35,36,37,38},1,FIND(MID($B6,2,1),"ABCDEFGHIJKLMNOPQRSTUVWXYZ")),"")</f>
        <v/>
      </c>
      <c r="I6">
        <f>IF($F6=1,INDEX({10,12,13,14,15,16,17,18,19,20,21,23,24,25,26,27,28,29,30,31,32,34,35,36,37,38},1,FIND(MID($B6,3,1),"ABCDEFGHIJKLMNOPQRSTUVWXYZ")),"")</f>
        <v/>
      </c>
      <c r="J6">
        <f>IF($F6=1,INDEX({10,12,13,14,15,16,17,18,19,20,21,23,24,25,26,27,28,29,30,31,32,34,35,36,37,38},1,FIND(MID($B6,4,1),"ABCDEFGHIJKLMNOPQRSTUVWXYZ")),"")</f>
        <v/>
      </c>
      <c r="K6">
        <f>IF($F6=1,FIND(MID($B6,5,1),"0123456789")-1,"")</f>
        <v/>
      </c>
      <c r="L6">
        <f>IF($F6=1,FIND(MID($B6,6,1),"0123456789")-1,"")</f>
        <v/>
      </c>
      <c r="M6">
        <f>IF($F6=1,FIND(MID($B6,7,1),"0123456789")-1,"")</f>
        <v/>
      </c>
      <c r="N6">
        <f>IF($F6=1,FIND(MID($B6,8,1),"0123456789")-1,"")</f>
        <v/>
      </c>
      <c r="O6">
        <f>IF($F6=1,FIND(MID($B6,9,1),"0123456789")-1,"")</f>
        <v/>
      </c>
      <c r="P6">
        <f>IF($F6=1,FIND(MID($B6,10,1),"0123456789")-1,"")</f>
        <v/>
      </c>
      <c r="Q6">
        <f>IF($F6=1,SUMPRODUCT($G6:$P6,{1,2,4,8,16,32,64,128,256,512}),"")</f>
        <v/>
      </c>
      <c r="R6">
        <f>IF($F6=1,MOD(MOD($Q6,11),10),"")</f>
        <v/>
      </c>
    </row>
    <row r="7">
      <c r="A7" s="6" t="n"/>
      <c r="B7" s="7">
        <f>IF($A7="","",UPPER(SUBSTITUTE(SUBSTITUTE(SUBSTITUTE(SUBSTITUTE(SUBSTITUTE(SUBSTITUTE($A7," ",""),"-",""),".",""),"/",""),"i","I"),"ı","?")))</f>
        <v/>
      </c>
      <c r="C7" s="8">
        <f>IF($F7=1,$R7,"")</f>
        <v/>
      </c>
      <c r="D7" s="7">
        <f>IF($A7="","",IF($F7=0,"Biçim hatalı",IF(FIND(MID($B7,11,1),"0123456789")-1=$R7,"Geçerli","Kontrol hanesi hatalı (doğrusu: "&amp;$R7&amp;")")))</f>
        <v/>
      </c>
      <c r="F7">
        <f>IF($A7="","",IF(AND(LEN($B7)=11,SUMPRODUCT(--ISNUMBER(FIND(MID($B7,{1,2,3},1),"ABCDEFGHIJKLMNOPQRSTUVWXYZ")))=3,ISNUMBER(FIND(MID($B7,4,1),"UJZ")),SUMPRODUCT(--ISNUMBER(FIND(MID($B7,{5,6,7,8,9,10,11},1),"0123456789")))=7),1,0))</f>
        <v/>
      </c>
      <c r="G7">
        <f>IF($F7=1,INDEX({10,12,13,14,15,16,17,18,19,20,21,23,24,25,26,27,28,29,30,31,32,34,35,36,37,38},1,FIND(MID($B7,1,1),"ABCDEFGHIJKLMNOPQRSTUVWXYZ")),"")</f>
        <v/>
      </c>
      <c r="H7">
        <f>IF($F7=1,INDEX({10,12,13,14,15,16,17,18,19,20,21,23,24,25,26,27,28,29,30,31,32,34,35,36,37,38},1,FIND(MID($B7,2,1),"ABCDEFGHIJKLMNOPQRSTUVWXYZ")),"")</f>
        <v/>
      </c>
      <c r="I7">
        <f>IF($F7=1,INDEX({10,12,13,14,15,16,17,18,19,20,21,23,24,25,26,27,28,29,30,31,32,34,35,36,37,38},1,FIND(MID($B7,3,1),"ABCDEFGHIJKLMNOPQRSTUVWXYZ")),"")</f>
        <v/>
      </c>
      <c r="J7">
        <f>IF($F7=1,INDEX({10,12,13,14,15,16,17,18,19,20,21,23,24,25,26,27,28,29,30,31,32,34,35,36,37,38},1,FIND(MID($B7,4,1),"ABCDEFGHIJKLMNOPQRSTUVWXYZ")),"")</f>
        <v/>
      </c>
      <c r="K7">
        <f>IF($F7=1,FIND(MID($B7,5,1),"0123456789")-1,"")</f>
        <v/>
      </c>
      <c r="L7">
        <f>IF($F7=1,FIND(MID($B7,6,1),"0123456789")-1,"")</f>
        <v/>
      </c>
      <c r="M7">
        <f>IF($F7=1,FIND(MID($B7,7,1),"0123456789")-1,"")</f>
        <v/>
      </c>
      <c r="N7">
        <f>IF($F7=1,FIND(MID($B7,8,1),"0123456789")-1,"")</f>
        <v/>
      </c>
      <c r="O7">
        <f>IF($F7=1,FIND(MID($B7,9,1),"0123456789")-1,"")</f>
        <v/>
      </c>
      <c r="P7">
        <f>IF($F7=1,FIND(MID($B7,10,1),"0123456789")-1,"")</f>
        <v/>
      </c>
      <c r="Q7">
        <f>IF($F7=1,SUMPRODUCT($G7:$P7,{1,2,4,8,16,32,64,128,256,512}),"")</f>
        <v/>
      </c>
      <c r="R7">
        <f>IF($F7=1,MOD(MOD($Q7,11),10),"")</f>
        <v/>
      </c>
    </row>
    <row r="8">
      <c r="A8" s="6" t="n"/>
      <c r="B8" s="7">
        <f>IF($A8="","",UPPER(SUBSTITUTE(SUBSTITUTE(SUBSTITUTE(SUBSTITUTE(SUBSTITUTE(SUBSTITUTE($A8," ",""),"-",""),".",""),"/",""),"i","I"),"ı","?")))</f>
        <v/>
      </c>
      <c r="C8" s="8">
        <f>IF($F8=1,$R8,"")</f>
        <v/>
      </c>
      <c r="D8" s="7">
        <f>IF($A8="","",IF($F8=0,"Biçim hatalı",IF(FIND(MID($B8,11,1),"0123456789")-1=$R8,"Geçerli","Kontrol hanesi hatalı (doğrusu: "&amp;$R8&amp;")")))</f>
        <v/>
      </c>
      <c r="F8">
        <f>IF($A8="","",IF(AND(LEN($B8)=11,SUMPRODUCT(--ISNUMBER(FIND(MID($B8,{1,2,3},1),"ABCDEFGHIJKLMNOPQRSTUVWXYZ")))=3,ISNUMBER(FIND(MID($B8,4,1),"UJZ")),SUMPRODUCT(--ISNUMBER(FIND(MID($B8,{5,6,7,8,9,10,11},1),"0123456789")))=7),1,0))</f>
        <v/>
      </c>
      <c r="G8">
        <f>IF($F8=1,INDEX({10,12,13,14,15,16,17,18,19,20,21,23,24,25,26,27,28,29,30,31,32,34,35,36,37,38},1,FIND(MID($B8,1,1),"ABCDEFGHIJKLMNOPQRSTUVWXYZ")),"")</f>
        <v/>
      </c>
      <c r="H8">
        <f>IF($F8=1,INDEX({10,12,13,14,15,16,17,18,19,20,21,23,24,25,26,27,28,29,30,31,32,34,35,36,37,38},1,FIND(MID($B8,2,1),"ABCDEFGHIJKLMNOPQRSTUVWXYZ")),"")</f>
        <v/>
      </c>
      <c r="I8">
        <f>IF($F8=1,INDEX({10,12,13,14,15,16,17,18,19,20,21,23,24,25,26,27,28,29,30,31,32,34,35,36,37,38},1,FIND(MID($B8,3,1),"ABCDEFGHIJKLMNOPQRSTUVWXYZ")),"")</f>
        <v/>
      </c>
      <c r="J8">
        <f>IF($F8=1,INDEX({10,12,13,14,15,16,17,18,19,20,21,23,24,25,26,27,28,29,30,31,32,34,35,36,37,38},1,FIND(MID($B8,4,1),"ABCDEFGHIJKLMNOPQRSTUVWXYZ")),"")</f>
        <v/>
      </c>
      <c r="K8">
        <f>IF($F8=1,FIND(MID($B8,5,1),"0123456789")-1,"")</f>
        <v/>
      </c>
      <c r="L8">
        <f>IF($F8=1,FIND(MID($B8,6,1),"0123456789")-1,"")</f>
        <v/>
      </c>
      <c r="M8">
        <f>IF($F8=1,FIND(MID($B8,7,1),"0123456789")-1,"")</f>
        <v/>
      </c>
      <c r="N8">
        <f>IF($F8=1,FIND(MID($B8,8,1),"0123456789")-1,"")</f>
        <v/>
      </c>
      <c r="O8">
        <f>IF($F8=1,FIND(MID($B8,9,1),"0123456789")-1,"")</f>
        <v/>
      </c>
      <c r="P8">
        <f>IF($F8=1,FIND(MID($B8,10,1),"0123456789")-1,"")</f>
        <v/>
      </c>
      <c r="Q8">
        <f>IF($F8=1,SUMPRODUCT($G8:$P8,{1,2,4,8,16,32,64,128,256,512}),"")</f>
        <v/>
      </c>
      <c r="R8">
        <f>IF($F8=1,MOD(MOD($Q8,11),10),"")</f>
        <v/>
      </c>
    </row>
    <row r="9">
      <c r="A9" s="6" t="n"/>
      <c r="B9" s="7">
        <f>IF($A9="","",UPPER(SUBSTITUTE(SUBSTITUTE(SUBSTITUTE(SUBSTITUTE(SUBSTITUTE(SUBSTITUTE($A9," ",""),"-",""),".",""),"/",""),"i","I"),"ı","?")))</f>
        <v/>
      </c>
      <c r="C9" s="8">
        <f>IF($F9=1,$R9,"")</f>
        <v/>
      </c>
      <c r="D9" s="7">
        <f>IF($A9="","",IF($F9=0,"Biçim hatalı",IF(FIND(MID($B9,11,1),"0123456789")-1=$R9,"Geçerli","Kontrol hanesi hatalı (doğrusu: "&amp;$R9&amp;")")))</f>
        <v/>
      </c>
      <c r="F9">
        <f>IF($A9="","",IF(AND(LEN($B9)=11,SUMPRODUCT(--ISNUMBER(FIND(MID($B9,{1,2,3},1),"ABCDEFGHIJKLMNOPQRSTUVWXYZ")))=3,ISNUMBER(FIND(MID($B9,4,1),"UJZ")),SUMPRODUCT(--ISNUMBER(FIND(MID($B9,{5,6,7,8,9,10,11},1),"0123456789")))=7),1,0))</f>
        <v/>
      </c>
      <c r="G9">
        <f>IF($F9=1,INDEX({10,12,13,14,15,16,17,18,19,20,21,23,24,25,26,27,28,29,30,31,32,34,35,36,37,38},1,FIND(MID($B9,1,1),"ABCDEFGHIJKLMNOPQRSTUVWXYZ")),"")</f>
        <v/>
      </c>
      <c r="H9">
        <f>IF($F9=1,INDEX({10,12,13,14,15,16,17,18,19,20,21,23,24,25,26,27,28,29,30,31,32,34,35,36,37,38},1,FIND(MID($B9,2,1),"ABCDEFGHIJKLMNOPQRSTUVWXYZ")),"")</f>
        <v/>
      </c>
      <c r="I9">
        <f>IF($F9=1,INDEX({10,12,13,14,15,16,17,18,19,20,21,23,24,25,26,27,28,29,30,31,32,34,35,36,37,38},1,FIND(MID($B9,3,1),"ABCDEFGHIJKLMNOPQRSTUVWXYZ")),"")</f>
        <v/>
      </c>
      <c r="J9">
        <f>IF($F9=1,INDEX({10,12,13,14,15,16,17,18,19,20,21,23,24,25,26,27,28,29,30,31,32,34,35,36,37,38},1,FIND(MID($B9,4,1),"ABCDEFGHIJKLMNOPQRSTUVWXYZ")),"")</f>
        <v/>
      </c>
      <c r="K9">
        <f>IF($F9=1,FIND(MID($B9,5,1),"0123456789")-1,"")</f>
        <v/>
      </c>
      <c r="L9">
        <f>IF($F9=1,FIND(MID($B9,6,1),"0123456789")-1,"")</f>
        <v/>
      </c>
      <c r="M9">
        <f>IF($F9=1,FIND(MID($B9,7,1),"0123456789")-1,"")</f>
        <v/>
      </c>
      <c r="N9">
        <f>IF($F9=1,FIND(MID($B9,8,1),"0123456789")-1,"")</f>
        <v/>
      </c>
      <c r="O9">
        <f>IF($F9=1,FIND(MID($B9,9,1),"0123456789")-1,"")</f>
        <v/>
      </c>
      <c r="P9">
        <f>IF($F9=1,FIND(MID($B9,10,1),"0123456789")-1,"")</f>
        <v/>
      </c>
      <c r="Q9">
        <f>IF($F9=1,SUMPRODUCT($G9:$P9,{1,2,4,8,16,32,64,128,256,512}),"")</f>
        <v/>
      </c>
      <c r="R9">
        <f>IF($F9=1,MOD(MOD($Q9,11),10),"")</f>
        <v/>
      </c>
    </row>
    <row r="10">
      <c r="A10" s="6" t="n"/>
      <c r="B10" s="7">
        <f>IF($A10="","",UPPER(SUBSTITUTE(SUBSTITUTE(SUBSTITUTE(SUBSTITUTE(SUBSTITUTE(SUBSTITUTE($A10," ",""),"-",""),".",""),"/",""),"i","I"),"ı","?")))</f>
        <v/>
      </c>
      <c r="C10" s="8">
        <f>IF($F10=1,$R10,"")</f>
        <v/>
      </c>
      <c r="D10" s="7">
        <f>IF($A10="","",IF($F10=0,"Biçim hatalı",IF(FIND(MID($B10,11,1),"0123456789")-1=$R10,"Geçerli","Kontrol hanesi hatalı (doğrusu: "&amp;$R10&amp;")")))</f>
        <v/>
      </c>
      <c r="F10">
        <f>IF($A10="","",IF(AND(LEN($B10)=11,SUMPRODUCT(--ISNUMBER(FIND(MID($B10,{1,2,3},1),"ABCDEFGHIJKLMNOPQRSTUVWXYZ")))=3,ISNUMBER(FIND(MID($B10,4,1),"UJZ")),SUMPRODUCT(--ISNUMBER(FIND(MID($B10,{5,6,7,8,9,10,11},1),"0123456789")))=7),1,0))</f>
        <v/>
      </c>
      <c r="G10">
        <f>IF($F10=1,INDEX({10,12,13,14,15,16,17,18,19,20,21,23,24,25,26,27,28,29,30,31,32,34,35,36,37,38},1,FIND(MID($B10,1,1),"ABCDEFGHIJKLMNOPQRSTUVWXYZ")),"")</f>
        <v/>
      </c>
      <c r="H10">
        <f>IF($F10=1,INDEX({10,12,13,14,15,16,17,18,19,20,21,23,24,25,26,27,28,29,30,31,32,34,35,36,37,38},1,FIND(MID($B10,2,1),"ABCDEFGHIJKLMNOPQRSTUVWXYZ")),"")</f>
        <v/>
      </c>
      <c r="I10">
        <f>IF($F10=1,INDEX({10,12,13,14,15,16,17,18,19,20,21,23,24,25,26,27,28,29,30,31,32,34,35,36,37,38},1,FIND(MID($B10,3,1),"ABCDEFGHIJKLMNOPQRSTUVWXYZ")),"")</f>
        <v/>
      </c>
      <c r="J10">
        <f>IF($F10=1,INDEX({10,12,13,14,15,16,17,18,19,20,21,23,24,25,26,27,28,29,30,31,32,34,35,36,37,38},1,FIND(MID($B10,4,1),"ABCDEFGHIJKLMNOPQRSTUVWXYZ")),"")</f>
        <v/>
      </c>
      <c r="K10">
        <f>IF($F10=1,FIND(MID($B10,5,1),"0123456789")-1,"")</f>
        <v/>
      </c>
      <c r="L10">
        <f>IF($F10=1,FIND(MID($B10,6,1),"0123456789")-1,"")</f>
        <v/>
      </c>
      <c r="M10">
        <f>IF($F10=1,FIND(MID($B10,7,1),"0123456789")-1,"")</f>
        <v/>
      </c>
      <c r="N10">
        <f>IF($F10=1,FIND(MID($B10,8,1),"0123456789")-1,"")</f>
        <v/>
      </c>
      <c r="O10">
        <f>IF($F10=1,FIND(MID($B10,9,1),"0123456789")-1,"")</f>
        <v/>
      </c>
      <c r="P10">
        <f>IF($F10=1,FIND(MID($B10,10,1),"0123456789")-1,"")</f>
        <v/>
      </c>
      <c r="Q10">
        <f>IF($F10=1,SUMPRODUCT($G10:$P10,{1,2,4,8,16,32,64,128,256,512}),"")</f>
        <v/>
      </c>
      <c r="R10">
        <f>IF($F10=1,MOD(MOD($Q10,11),10),"")</f>
        <v/>
      </c>
    </row>
    <row r="11">
      <c r="A11" s="6" t="n"/>
      <c r="B11" s="7">
        <f>IF($A11="","",UPPER(SUBSTITUTE(SUBSTITUTE(SUBSTITUTE(SUBSTITUTE(SUBSTITUTE(SUBSTITUTE($A11," ",""),"-",""),".",""),"/",""),"i","I"),"ı","?")))</f>
        <v/>
      </c>
      <c r="C11" s="8">
        <f>IF($F11=1,$R11,"")</f>
        <v/>
      </c>
      <c r="D11" s="7">
        <f>IF($A11="","",IF($F11=0,"Biçim hatalı",IF(FIND(MID($B11,11,1),"0123456789")-1=$R11,"Geçerli","Kontrol hanesi hatalı (doğrusu: "&amp;$R11&amp;")")))</f>
        <v/>
      </c>
      <c r="F11">
        <f>IF($A11="","",IF(AND(LEN($B11)=11,SUMPRODUCT(--ISNUMBER(FIND(MID($B11,{1,2,3},1),"ABCDEFGHIJKLMNOPQRSTUVWXYZ")))=3,ISNUMBER(FIND(MID($B11,4,1),"UJZ")),SUMPRODUCT(--ISNUMBER(FIND(MID($B11,{5,6,7,8,9,10,11},1),"0123456789")))=7),1,0))</f>
        <v/>
      </c>
      <c r="G11">
        <f>IF($F11=1,INDEX({10,12,13,14,15,16,17,18,19,20,21,23,24,25,26,27,28,29,30,31,32,34,35,36,37,38},1,FIND(MID($B11,1,1),"ABCDEFGHIJKLMNOPQRSTUVWXYZ")),"")</f>
        <v/>
      </c>
      <c r="H11">
        <f>IF($F11=1,INDEX({10,12,13,14,15,16,17,18,19,20,21,23,24,25,26,27,28,29,30,31,32,34,35,36,37,38},1,FIND(MID($B11,2,1),"ABCDEFGHIJKLMNOPQRSTUVWXYZ")),"")</f>
        <v/>
      </c>
      <c r="I11">
        <f>IF($F11=1,INDEX({10,12,13,14,15,16,17,18,19,20,21,23,24,25,26,27,28,29,30,31,32,34,35,36,37,38},1,FIND(MID($B11,3,1),"ABCDEFGHIJKLMNOPQRSTUVWXYZ")),"")</f>
        <v/>
      </c>
      <c r="J11">
        <f>IF($F11=1,INDEX({10,12,13,14,15,16,17,18,19,20,21,23,24,25,26,27,28,29,30,31,32,34,35,36,37,38},1,FIND(MID($B11,4,1),"ABCDEFGHIJKLMNOPQRSTUVWXYZ")),"")</f>
        <v/>
      </c>
      <c r="K11">
        <f>IF($F11=1,FIND(MID($B11,5,1),"0123456789")-1,"")</f>
        <v/>
      </c>
      <c r="L11">
        <f>IF($F11=1,FIND(MID($B11,6,1),"0123456789")-1,"")</f>
        <v/>
      </c>
      <c r="M11">
        <f>IF($F11=1,FIND(MID($B11,7,1),"0123456789")-1,"")</f>
        <v/>
      </c>
      <c r="N11">
        <f>IF($F11=1,FIND(MID($B11,8,1),"0123456789")-1,"")</f>
        <v/>
      </c>
      <c r="O11">
        <f>IF($F11=1,FIND(MID($B11,9,1),"0123456789")-1,"")</f>
        <v/>
      </c>
      <c r="P11">
        <f>IF($F11=1,FIND(MID($B11,10,1),"0123456789")-1,"")</f>
        <v/>
      </c>
      <c r="Q11">
        <f>IF($F11=1,SUMPRODUCT($G11:$P11,{1,2,4,8,16,32,64,128,256,512}),"")</f>
        <v/>
      </c>
      <c r="R11">
        <f>IF($F11=1,MOD(MOD($Q11,11),10),"")</f>
        <v/>
      </c>
    </row>
    <row r="12">
      <c r="A12" s="6" t="n"/>
      <c r="B12" s="7">
        <f>IF($A12="","",UPPER(SUBSTITUTE(SUBSTITUTE(SUBSTITUTE(SUBSTITUTE(SUBSTITUTE(SUBSTITUTE($A12," ",""),"-",""),".",""),"/",""),"i","I"),"ı","?")))</f>
        <v/>
      </c>
      <c r="C12" s="8">
        <f>IF($F12=1,$R12,"")</f>
        <v/>
      </c>
      <c r="D12" s="7">
        <f>IF($A12="","",IF($F12=0,"Biçim hatalı",IF(FIND(MID($B12,11,1),"0123456789")-1=$R12,"Geçerli","Kontrol hanesi hatalı (doğrusu: "&amp;$R12&amp;")")))</f>
        <v/>
      </c>
      <c r="F12">
        <f>IF($A12="","",IF(AND(LEN($B12)=11,SUMPRODUCT(--ISNUMBER(FIND(MID($B12,{1,2,3},1),"ABCDEFGHIJKLMNOPQRSTUVWXYZ")))=3,ISNUMBER(FIND(MID($B12,4,1),"UJZ")),SUMPRODUCT(--ISNUMBER(FIND(MID($B12,{5,6,7,8,9,10,11},1),"0123456789")))=7),1,0))</f>
        <v/>
      </c>
      <c r="G12">
        <f>IF($F12=1,INDEX({10,12,13,14,15,16,17,18,19,20,21,23,24,25,26,27,28,29,30,31,32,34,35,36,37,38},1,FIND(MID($B12,1,1),"ABCDEFGHIJKLMNOPQRSTUVWXYZ")),"")</f>
        <v/>
      </c>
      <c r="H12">
        <f>IF($F12=1,INDEX({10,12,13,14,15,16,17,18,19,20,21,23,24,25,26,27,28,29,30,31,32,34,35,36,37,38},1,FIND(MID($B12,2,1),"ABCDEFGHIJKLMNOPQRSTUVWXYZ")),"")</f>
        <v/>
      </c>
      <c r="I12">
        <f>IF($F12=1,INDEX({10,12,13,14,15,16,17,18,19,20,21,23,24,25,26,27,28,29,30,31,32,34,35,36,37,38},1,FIND(MID($B12,3,1),"ABCDEFGHIJKLMNOPQRSTUVWXYZ")),"")</f>
        <v/>
      </c>
      <c r="J12">
        <f>IF($F12=1,INDEX({10,12,13,14,15,16,17,18,19,20,21,23,24,25,26,27,28,29,30,31,32,34,35,36,37,38},1,FIND(MID($B12,4,1),"ABCDEFGHIJKLMNOPQRSTUVWXYZ")),"")</f>
        <v/>
      </c>
      <c r="K12">
        <f>IF($F12=1,FIND(MID($B12,5,1),"0123456789")-1,"")</f>
        <v/>
      </c>
      <c r="L12">
        <f>IF($F12=1,FIND(MID($B12,6,1),"0123456789")-1,"")</f>
        <v/>
      </c>
      <c r="M12">
        <f>IF($F12=1,FIND(MID($B12,7,1),"0123456789")-1,"")</f>
        <v/>
      </c>
      <c r="N12">
        <f>IF($F12=1,FIND(MID($B12,8,1),"0123456789")-1,"")</f>
        <v/>
      </c>
      <c r="O12">
        <f>IF($F12=1,FIND(MID($B12,9,1),"0123456789")-1,"")</f>
        <v/>
      </c>
      <c r="P12">
        <f>IF($F12=1,FIND(MID($B12,10,1),"0123456789")-1,"")</f>
        <v/>
      </c>
      <c r="Q12">
        <f>IF($F12=1,SUMPRODUCT($G12:$P12,{1,2,4,8,16,32,64,128,256,512}),"")</f>
        <v/>
      </c>
      <c r="R12">
        <f>IF($F12=1,MOD(MOD($Q12,11),10),"")</f>
        <v/>
      </c>
    </row>
    <row r="13">
      <c r="A13" s="6" t="n"/>
      <c r="B13" s="7">
        <f>IF($A13="","",UPPER(SUBSTITUTE(SUBSTITUTE(SUBSTITUTE(SUBSTITUTE(SUBSTITUTE(SUBSTITUTE($A13," ",""),"-",""),".",""),"/",""),"i","I"),"ı","?")))</f>
        <v/>
      </c>
      <c r="C13" s="8">
        <f>IF($F13=1,$R13,"")</f>
        <v/>
      </c>
      <c r="D13" s="7">
        <f>IF($A13="","",IF($F13=0,"Biçim hatalı",IF(FIND(MID($B13,11,1),"0123456789")-1=$R13,"Geçerli","Kontrol hanesi hatalı (doğrusu: "&amp;$R13&amp;")")))</f>
        <v/>
      </c>
      <c r="F13">
        <f>IF($A13="","",IF(AND(LEN($B13)=11,SUMPRODUCT(--ISNUMBER(FIND(MID($B13,{1,2,3},1),"ABCDEFGHIJKLMNOPQRSTUVWXYZ")))=3,ISNUMBER(FIND(MID($B13,4,1),"UJZ")),SUMPRODUCT(--ISNUMBER(FIND(MID($B13,{5,6,7,8,9,10,11},1),"0123456789")))=7),1,0))</f>
        <v/>
      </c>
      <c r="G13">
        <f>IF($F13=1,INDEX({10,12,13,14,15,16,17,18,19,20,21,23,24,25,26,27,28,29,30,31,32,34,35,36,37,38},1,FIND(MID($B13,1,1),"ABCDEFGHIJKLMNOPQRSTUVWXYZ")),"")</f>
        <v/>
      </c>
      <c r="H13">
        <f>IF($F13=1,INDEX({10,12,13,14,15,16,17,18,19,20,21,23,24,25,26,27,28,29,30,31,32,34,35,36,37,38},1,FIND(MID($B13,2,1),"ABCDEFGHIJKLMNOPQRSTUVWXYZ")),"")</f>
        <v/>
      </c>
      <c r="I13">
        <f>IF($F13=1,INDEX({10,12,13,14,15,16,17,18,19,20,21,23,24,25,26,27,28,29,30,31,32,34,35,36,37,38},1,FIND(MID($B13,3,1),"ABCDEFGHIJKLMNOPQRSTUVWXYZ")),"")</f>
        <v/>
      </c>
      <c r="J13">
        <f>IF($F13=1,INDEX({10,12,13,14,15,16,17,18,19,20,21,23,24,25,26,27,28,29,30,31,32,34,35,36,37,38},1,FIND(MID($B13,4,1),"ABCDEFGHIJKLMNOPQRSTUVWXYZ")),"")</f>
        <v/>
      </c>
      <c r="K13">
        <f>IF($F13=1,FIND(MID($B13,5,1),"0123456789")-1,"")</f>
        <v/>
      </c>
      <c r="L13">
        <f>IF($F13=1,FIND(MID($B13,6,1),"0123456789")-1,"")</f>
        <v/>
      </c>
      <c r="M13">
        <f>IF($F13=1,FIND(MID($B13,7,1),"0123456789")-1,"")</f>
        <v/>
      </c>
      <c r="N13">
        <f>IF($F13=1,FIND(MID($B13,8,1),"0123456789")-1,"")</f>
        <v/>
      </c>
      <c r="O13">
        <f>IF($F13=1,FIND(MID($B13,9,1),"0123456789")-1,"")</f>
        <v/>
      </c>
      <c r="P13">
        <f>IF($F13=1,FIND(MID($B13,10,1),"0123456789")-1,"")</f>
        <v/>
      </c>
      <c r="Q13">
        <f>IF($F13=1,SUMPRODUCT($G13:$P13,{1,2,4,8,16,32,64,128,256,512}),"")</f>
        <v/>
      </c>
      <c r="R13">
        <f>IF($F13=1,MOD(MOD($Q13,11),10),"")</f>
        <v/>
      </c>
    </row>
    <row r="14">
      <c r="A14" s="6" t="n"/>
      <c r="B14" s="7">
        <f>IF($A14="","",UPPER(SUBSTITUTE(SUBSTITUTE(SUBSTITUTE(SUBSTITUTE(SUBSTITUTE(SUBSTITUTE($A14," ",""),"-",""),".",""),"/",""),"i","I"),"ı","?")))</f>
        <v/>
      </c>
      <c r="C14" s="8">
        <f>IF($F14=1,$R14,"")</f>
        <v/>
      </c>
      <c r="D14" s="7">
        <f>IF($A14="","",IF($F14=0,"Biçim hatalı",IF(FIND(MID($B14,11,1),"0123456789")-1=$R14,"Geçerli","Kontrol hanesi hatalı (doğrusu: "&amp;$R14&amp;")")))</f>
        <v/>
      </c>
      <c r="F14">
        <f>IF($A14="","",IF(AND(LEN($B14)=11,SUMPRODUCT(--ISNUMBER(FIND(MID($B14,{1,2,3},1),"ABCDEFGHIJKLMNOPQRSTUVWXYZ")))=3,ISNUMBER(FIND(MID($B14,4,1),"UJZ")),SUMPRODUCT(--ISNUMBER(FIND(MID($B14,{5,6,7,8,9,10,11},1),"0123456789")))=7),1,0))</f>
        <v/>
      </c>
      <c r="G14">
        <f>IF($F14=1,INDEX({10,12,13,14,15,16,17,18,19,20,21,23,24,25,26,27,28,29,30,31,32,34,35,36,37,38},1,FIND(MID($B14,1,1),"ABCDEFGHIJKLMNOPQRSTUVWXYZ")),"")</f>
        <v/>
      </c>
      <c r="H14">
        <f>IF($F14=1,INDEX({10,12,13,14,15,16,17,18,19,20,21,23,24,25,26,27,28,29,30,31,32,34,35,36,37,38},1,FIND(MID($B14,2,1),"ABCDEFGHIJKLMNOPQRSTUVWXYZ")),"")</f>
        <v/>
      </c>
      <c r="I14">
        <f>IF($F14=1,INDEX({10,12,13,14,15,16,17,18,19,20,21,23,24,25,26,27,28,29,30,31,32,34,35,36,37,38},1,FIND(MID($B14,3,1),"ABCDEFGHIJKLMNOPQRSTUVWXYZ")),"")</f>
        <v/>
      </c>
      <c r="J14">
        <f>IF($F14=1,INDEX({10,12,13,14,15,16,17,18,19,20,21,23,24,25,26,27,28,29,30,31,32,34,35,36,37,38},1,FIND(MID($B14,4,1),"ABCDEFGHIJKLMNOPQRSTUVWXYZ")),"")</f>
        <v/>
      </c>
      <c r="K14">
        <f>IF($F14=1,FIND(MID($B14,5,1),"0123456789")-1,"")</f>
        <v/>
      </c>
      <c r="L14">
        <f>IF($F14=1,FIND(MID($B14,6,1),"0123456789")-1,"")</f>
        <v/>
      </c>
      <c r="M14">
        <f>IF($F14=1,FIND(MID($B14,7,1),"0123456789")-1,"")</f>
        <v/>
      </c>
      <c r="N14">
        <f>IF($F14=1,FIND(MID($B14,8,1),"0123456789")-1,"")</f>
        <v/>
      </c>
      <c r="O14">
        <f>IF($F14=1,FIND(MID($B14,9,1),"0123456789")-1,"")</f>
        <v/>
      </c>
      <c r="P14">
        <f>IF($F14=1,FIND(MID($B14,10,1),"0123456789")-1,"")</f>
        <v/>
      </c>
      <c r="Q14">
        <f>IF($F14=1,SUMPRODUCT($G14:$P14,{1,2,4,8,16,32,64,128,256,512}),"")</f>
        <v/>
      </c>
      <c r="R14">
        <f>IF($F14=1,MOD(MOD($Q14,11),10),"")</f>
        <v/>
      </c>
    </row>
    <row r="15">
      <c r="A15" s="6" t="n"/>
      <c r="B15" s="7">
        <f>IF($A15="","",UPPER(SUBSTITUTE(SUBSTITUTE(SUBSTITUTE(SUBSTITUTE(SUBSTITUTE(SUBSTITUTE($A15," ",""),"-",""),".",""),"/",""),"i","I"),"ı","?")))</f>
        <v/>
      </c>
      <c r="C15" s="8">
        <f>IF($F15=1,$R15,"")</f>
        <v/>
      </c>
      <c r="D15" s="7">
        <f>IF($A15="","",IF($F15=0,"Biçim hatalı",IF(FIND(MID($B15,11,1),"0123456789")-1=$R15,"Geçerli","Kontrol hanesi hatalı (doğrusu: "&amp;$R15&amp;")")))</f>
        <v/>
      </c>
      <c r="F15">
        <f>IF($A15="","",IF(AND(LEN($B15)=11,SUMPRODUCT(--ISNUMBER(FIND(MID($B15,{1,2,3},1),"ABCDEFGHIJKLMNOPQRSTUVWXYZ")))=3,ISNUMBER(FIND(MID($B15,4,1),"UJZ")),SUMPRODUCT(--ISNUMBER(FIND(MID($B15,{5,6,7,8,9,10,11},1),"0123456789")))=7),1,0))</f>
        <v/>
      </c>
      <c r="G15">
        <f>IF($F15=1,INDEX({10,12,13,14,15,16,17,18,19,20,21,23,24,25,26,27,28,29,30,31,32,34,35,36,37,38},1,FIND(MID($B15,1,1),"ABCDEFGHIJKLMNOPQRSTUVWXYZ")),"")</f>
        <v/>
      </c>
      <c r="H15">
        <f>IF($F15=1,INDEX({10,12,13,14,15,16,17,18,19,20,21,23,24,25,26,27,28,29,30,31,32,34,35,36,37,38},1,FIND(MID($B15,2,1),"ABCDEFGHIJKLMNOPQRSTUVWXYZ")),"")</f>
        <v/>
      </c>
      <c r="I15">
        <f>IF($F15=1,INDEX({10,12,13,14,15,16,17,18,19,20,21,23,24,25,26,27,28,29,30,31,32,34,35,36,37,38},1,FIND(MID($B15,3,1),"ABCDEFGHIJKLMNOPQRSTUVWXYZ")),"")</f>
        <v/>
      </c>
      <c r="J15">
        <f>IF($F15=1,INDEX({10,12,13,14,15,16,17,18,19,20,21,23,24,25,26,27,28,29,30,31,32,34,35,36,37,38},1,FIND(MID($B15,4,1),"ABCDEFGHIJKLMNOPQRSTUVWXYZ")),"")</f>
        <v/>
      </c>
      <c r="K15">
        <f>IF($F15=1,FIND(MID($B15,5,1),"0123456789")-1,"")</f>
        <v/>
      </c>
      <c r="L15">
        <f>IF($F15=1,FIND(MID($B15,6,1),"0123456789")-1,"")</f>
        <v/>
      </c>
      <c r="M15">
        <f>IF($F15=1,FIND(MID($B15,7,1),"0123456789")-1,"")</f>
        <v/>
      </c>
      <c r="N15">
        <f>IF($F15=1,FIND(MID($B15,8,1),"0123456789")-1,"")</f>
        <v/>
      </c>
      <c r="O15">
        <f>IF($F15=1,FIND(MID($B15,9,1),"0123456789")-1,"")</f>
        <v/>
      </c>
      <c r="P15">
        <f>IF($F15=1,FIND(MID($B15,10,1),"0123456789")-1,"")</f>
        <v/>
      </c>
      <c r="Q15">
        <f>IF($F15=1,SUMPRODUCT($G15:$P15,{1,2,4,8,16,32,64,128,256,512}),"")</f>
        <v/>
      </c>
      <c r="R15">
        <f>IF($F15=1,MOD(MOD($Q15,11),10),"")</f>
        <v/>
      </c>
    </row>
    <row r="16">
      <c r="A16" s="6" t="n"/>
      <c r="B16" s="7">
        <f>IF($A16="","",UPPER(SUBSTITUTE(SUBSTITUTE(SUBSTITUTE(SUBSTITUTE(SUBSTITUTE(SUBSTITUTE($A16," ",""),"-",""),".",""),"/",""),"i","I"),"ı","?")))</f>
        <v/>
      </c>
      <c r="C16" s="8">
        <f>IF($F16=1,$R16,"")</f>
        <v/>
      </c>
      <c r="D16" s="7">
        <f>IF($A16="","",IF($F16=0,"Biçim hatalı",IF(FIND(MID($B16,11,1),"0123456789")-1=$R16,"Geçerli","Kontrol hanesi hatalı (doğrusu: "&amp;$R16&amp;")")))</f>
        <v/>
      </c>
      <c r="F16">
        <f>IF($A16="","",IF(AND(LEN($B16)=11,SUMPRODUCT(--ISNUMBER(FIND(MID($B16,{1,2,3},1),"ABCDEFGHIJKLMNOPQRSTUVWXYZ")))=3,ISNUMBER(FIND(MID($B16,4,1),"UJZ")),SUMPRODUCT(--ISNUMBER(FIND(MID($B16,{5,6,7,8,9,10,11},1),"0123456789")))=7),1,0))</f>
        <v/>
      </c>
      <c r="G16">
        <f>IF($F16=1,INDEX({10,12,13,14,15,16,17,18,19,20,21,23,24,25,26,27,28,29,30,31,32,34,35,36,37,38},1,FIND(MID($B16,1,1),"ABCDEFGHIJKLMNOPQRSTUVWXYZ")),"")</f>
        <v/>
      </c>
      <c r="H16">
        <f>IF($F16=1,INDEX({10,12,13,14,15,16,17,18,19,20,21,23,24,25,26,27,28,29,30,31,32,34,35,36,37,38},1,FIND(MID($B16,2,1),"ABCDEFGHIJKLMNOPQRSTUVWXYZ")),"")</f>
        <v/>
      </c>
      <c r="I16">
        <f>IF($F16=1,INDEX({10,12,13,14,15,16,17,18,19,20,21,23,24,25,26,27,28,29,30,31,32,34,35,36,37,38},1,FIND(MID($B16,3,1),"ABCDEFGHIJKLMNOPQRSTUVWXYZ")),"")</f>
        <v/>
      </c>
      <c r="J16">
        <f>IF($F16=1,INDEX({10,12,13,14,15,16,17,18,19,20,21,23,24,25,26,27,28,29,30,31,32,34,35,36,37,38},1,FIND(MID($B16,4,1),"ABCDEFGHIJKLMNOPQRSTUVWXYZ")),"")</f>
        <v/>
      </c>
      <c r="K16">
        <f>IF($F16=1,FIND(MID($B16,5,1),"0123456789")-1,"")</f>
        <v/>
      </c>
      <c r="L16">
        <f>IF($F16=1,FIND(MID($B16,6,1),"0123456789")-1,"")</f>
        <v/>
      </c>
      <c r="M16">
        <f>IF($F16=1,FIND(MID($B16,7,1),"0123456789")-1,"")</f>
        <v/>
      </c>
      <c r="N16">
        <f>IF($F16=1,FIND(MID($B16,8,1),"0123456789")-1,"")</f>
        <v/>
      </c>
      <c r="O16">
        <f>IF($F16=1,FIND(MID($B16,9,1),"0123456789")-1,"")</f>
        <v/>
      </c>
      <c r="P16">
        <f>IF($F16=1,FIND(MID($B16,10,1),"0123456789")-1,"")</f>
        <v/>
      </c>
      <c r="Q16">
        <f>IF($F16=1,SUMPRODUCT($G16:$P16,{1,2,4,8,16,32,64,128,256,512}),"")</f>
        <v/>
      </c>
      <c r="R16">
        <f>IF($F16=1,MOD(MOD($Q16,11),10),"")</f>
        <v/>
      </c>
    </row>
    <row r="17">
      <c r="A17" s="6" t="n"/>
      <c r="B17" s="7">
        <f>IF($A17="","",UPPER(SUBSTITUTE(SUBSTITUTE(SUBSTITUTE(SUBSTITUTE(SUBSTITUTE(SUBSTITUTE($A17," ",""),"-",""),".",""),"/",""),"i","I"),"ı","?")))</f>
        <v/>
      </c>
      <c r="C17" s="8">
        <f>IF($F17=1,$R17,"")</f>
        <v/>
      </c>
      <c r="D17" s="7">
        <f>IF($A17="","",IF($F17=0,"Biçim hatalı",IF(FIND(MID($B17,11,1),"0123456789")-1=$R17,"Geçerli","Kontrol hanesi hatalı (doğrusu: "&amp;$R17&amp;")")))</f>
        <v/>
      </c>
      <c r="F17">
        <f>IF($A17="","",IF(AND(LEN($B17)=11,SUMPRODUCT(--ISNUMBER(FIND(MID($B17,{1,2,3},1),"ABCDEFGHIJKLMNOPQRSTUVWXYZ")))=3,ISNUMBER(FIND(MID($B17,4,1),"UJZ")),SUMPRODUCT(--ISNUMBER(FIND(MID($B17,{5,6,7,8,9,10,11},1),"0123456789")))=7),1,0))</f>
        <v/>
      </c>
      <c r="G17">
        <f>IF($F17=1,INDEX({10,12,13,14,15,16,17,18,19,20,21,23,24,25,26,27,28,29,30,31,32,34,35,36,37,38},1,FIND(MID($B17,1,1),"ABCDEFGHIJKLMNOPQRSTUVWXYZ")),"")</f>
        <v/>
      </c>
      <c r="H17">
        <f>IF($F17=1,INDEX({10,12,13,14,15,16,17,18,19,20,21,23,24,25,26,27,28,29,30,31,32,34,35,36,37,38},1,FIND(MID($B17,2,1),"ABCDEFGHIJKLMNOPQRSTUVWXYZ")),"")</f>
        <v/>
      </c>
      <c r="I17">
        <f>IF($F17=1,INDEX({10,12,13,14,15,16,17,18,19,20,21,23,24,25,26,27,28,29,30,31,32,34,35,36,37,38},1,FIND(MID($B17,3,1),"ABCDEFGHIJKLMNOPQRSTUVWXYZ")),"")</f>
        <v/>
      </c>
      <c r="J17">
        <f>IF($F17=1,INDEX({10,12,13,14,15,16,17,18,19,20,21,23,24,25,26,27,28,29,30,31,32,34,35,36,37,38},1,FIND(MID($B17,4,1),"ABCDEFGHIJKLMNOPQRSTUVWXYZ")),"")</f>
        <v/>
      </c>
      <c r="K17">
        <f>IF($F17=1,FIND(MID($B17,5,1),"0123456789")-1,"")</f>
        <v/>
      </c>
      <c r="L17">
        <f>IF($F17=1,FIND(MID($B17,6,1),"0123456789")-1,"")</f>
        <v/>
      </c>
      <c r="M17">
        <f>IF($F17=1,FIND(MID($B17,7,1),"0123456789")-1,"")</f>
        <v/>
      </c>
      <c r="N17">
        <f>IF($F17=1,FIND(MID($B17,8,1),"0123456789")-1,"")</f>
        <v/>
      </c>
      <c r="O17">
        <f>IF($F17=1,FIND(MID($B17,9,1),"0123456789")-1,"")</f>
        <v/>
      </c>
      <c r="P17">
        <f>IF($F17=1,FIND(MID($B17,10,1),"0123456789")-1,"")</f>
        <v/>
      </c>
      <c r="Q17">
        <f>IF($F17=1,SUMPRODUCT($G17:$P17,{1,2,4,8,16,32,64,128,256,512}),"")</f>
        <v/>
      </c>
      <c r="R17">
        <f>IF($F17=1,MOD(MOD($Q17,11),10),"")</f>
        <v/>
      </c>
    </row>
    <row r="18">
      <c r="A18" s="6" t="n"/>
      <c r="B18" s="7">
        <f>IF($A18="","",UPPER(SUBSTITUTE(SUBSTITUTE(SUBSTITUTE(SUBSTITUTE(SUBSTITUTE(SUBSTITUTE($A18," ",""),"-",""),".",""),"/",""),"i","I"),"ı","?")))</f>
        <v/>
      </c>
      <c r="C18" s="8">
        <f>IF($F18=1,$R18,"")</f>
        <v/>
      </c>
      <c r="D18" s="7">
        <f>IF($A18="","",IF($F18=0,"Biçim hatalı",IF(FIND(MID($B18,11,1),"0123456789")-1=$R18,"Geçerli","Kontrol hanesi hatalı (doğrusu: "&amp;$R18&amp;")")))</f>
        <v/>
      </c>
      <c r="F18">
        <f>IF($A18="","",IF(AND(LEN($B18)=11,SUMPRODUCT(--ISNUMBER(FIND(MID($B18,{1,2,3},1),"ABCDEFGHIJKLMNOPQRSTUVWXYZ")))=3,ISNUMBER(FIND(MID($B18,4,1),"UJZ")),SUMPRODUCT(--ISNUMBER(FIND(MID($B18,{5,6,7,8,9,10,11},1),"0123456789")))=7),1,0))</f>
        <v/>
      </c>
      <c r="G18">
        <f>IF($F18=1,INDEX({10,12,13,14,15,16,17,18,19,20,21,23,24,25,26,27,28,29,30,31,32,34,35,36,37,38},1,FIND(MID($B18,1,1),"ABCDEFGHIJKLMNOPQRSTUVWXYZ")),"")</f>
        <v/>
      </c>
      <c r="H18">
        <f>IF($F18=1,INDEX({10,12,13,14,15,16,17,18,19,20,21,23,24,25,26,27,28,29,30,31,32,34,35,36,37,38},1,FIND(MID($B18,2,1),"ABCDEFGHIJKLMNOPQRSTUVWXYZ")),"")</f>
        <v/>
      </c>
      <c r="I18">
        <f>IF($F18=1,INDEX({10,12,13,14,15,16,17,18,19,20,21,23,24,25,26,27,28,29,30,31,32,34,35,36,37,38},1,FIND(MID($B18,3,1),"ABCDEFGHIJKLMNOPQRSTUVWXYZ")),"")</f>
        <v/>
      </c>
      <c r="J18">
        <f>IF($F18=1,INDEX({10,12,13,14,15,16,17,18,19,20,21,23,24,25,26,27,28,29,30,31,32,34,35,36,37,38},1,FIND(MID($B18,4,1),"ABCDEFGHIJKLMNOPQRSTUVWXYZ")),"")</f>
        <v/>
      </c>
      <c r="K18">
        <f>IF($F18=1,FIND(MID($B18,5,1),"0123456789")-1,"")</f>
        <v/>
      </c>
      <c r="L18">
        <f>IF($F18=1,FIND(MID($B18,6,1),"0123456789")-1,"")</f>
        <v/>
      </c>
      <c r="M18">
        <f>IF($F18=1,FIND(MID($B18,7,1),"0123456789")-1,"")</f>
        <v/>
      </c>
      <c r="N18">
        <f>IF($F18=1,FIND(MID($B18,8,1),"0123456789")-1,"")</f>
        <v/>
      </c>
      <c r="O18">
        <f>IF($F18=1,FIND(MID($B18,9,1),"0123456789")-1,"")</f>
        <v/>
      </c>
      <c r="P18">
        <f>IF($F18=1,FIND(MID($B18,10,1),"0123456789")-1,"")</f>
        <v/>
      </c>
      <c r="Q18">
        <f>IF($F18=1,SUMPRODUCT($G18:$P18,{1,2,4,8,16,32,64,128,256,512}),"")</f>
        <v/>
      </c>
      <c r="R18">
        <f>IF($F18=1,MOD(MOD($Q18,11),10),"")</f>
        <v/>
      </c>
    </row>
    <row r="19">
      <c r="A19" s="6" t="n"/>
      <c r="B19" s="7">
        <f>IF($A19="","",UPPER(SUBSTITUTE(SUBSTITUTE(SUBSTITUTE(SUBSTITUTE(SUBSTITUTE(SUBSTITUTE($A19," ",""),"-",""),".",""),"/",""),"i","I"),"ı","?")))</f>
        <v/>
      </c>
      <c r="C19" s="8">
        <f>IF($F19=1,$R19,"")</f>
        <v/>
      </c>
      <c r="D19" s="7">
        <f>IF($A19="","",IF($F19=0,"Biçim hatalı",IF(FIND(MID($B19,11,1),"0123456789")-1=$R19,"Geçerli","Kontrol hanesi hatalı (doğrusu: "&amp;$R19&amp;")")))</f>
        <v/>
      </c>
      <c r="F19">
        <f>IF($A19="","",IF(AND(LEN($B19)=11,SUMPRODUCT(--ISNUMBER(FIND(MID($B19,{1,2,3},1),"ABCDEFGHIJKLMNOPQRSTUVWXYZ")))=3,ISNUMBER(FIND(MID($B19,4,1),"UJZ")),SUMPRODUCT(--ISNUMBER(FIND(MID($B19,{5,6,7,8,9,10,11},1),"0123456789")))=7),1,0))</f>
        <v/>
      </c>
      <c r="G19">
        <f>IF($F19=1,INDEX({10,12,13,14,15,16,17,18,19,20,21,23,24,25,26,27,28,29,30,31,32,34,35,36,37,38},1,FIND(MID($B19,1,1),"ABCDEFGHIJKLMNOPQRSTUVWXYZ")),"")</f>
        <v/>
      </c>
      <c r="H19">
        <f>IF($F19=1,INDEX({10,12,13,14,15,16,17,18,19,20,21,23,24,25,26,27,28,29,30,31,32,34,35,36,37,38},1,FIND(MID($B19,2,1),"ABCDEFGHIJKLMNOPQRSTUVWXYZ")),"")</f>
        <v/>
      </c>
      <c r="I19">
        <f>IF($F19=1,INDEX({10,12,13,14,15,16,17,18,19,20,21,23,24,25,26,27,28,29,30,31,32,34,35,36,37,38},1,FIND(MID($B19,3,1),"ABCDEFGHIJKLMNOPQRSTUVWXYZ")),"")</f>
        <v/>
      </c>
      <c r="J19">
        <f>IF($F19=1,INDEX({10,12,13,14,15,16,17,18,19,20,21,23,24,25,26,27,28,29,30,31,32,34,35,36,37,38},1,FIND(MID($B19,4,1),"ABCDEFGHIJKLMNOPQRSTUVWXYZ")),"")</f>
        <v/>
      </c>
      <c r="K19">
        <f>IF($F19=1,FIND(MID($B19,5,1),"0123456789")-1,"")</f>
        <v/>
      </c>
      <c r="L19">
        <f>IF($F19=1,FIND(MID($B19,6,1),"0123456789")-1,"")</f>
        <v/>
      </c>
      <c r="M19">
        <f>IF($F19=1,FIND(MID($B19,7,1),"0123456789")-1,"")</f>
        <v/>
      </c>
      <c r="N19">
        <f>IF($F19=1,FIND(MID($B19,8,1),"0123456789")-1,"")</f>
        <v/>
      </c>
      <c r="O19">
        <f>IF($F19=1,FIND(MID($B19,9,1),"0123456789")-1,"")</f>
        <v/>
      </c>
      <c r="P19">
        <f>IF($F19=1,FIND(MID($B19,10,1),"0123456789")-1,"")</f>
        <v/>
      </c>
      <c r="Q19">
        <f>IF($F19=1,SUMPRODUCT($G19:$P19,{1,2,4,8,16,32,64,128,256,512}),"")</f>
        <v/>
      </c>
      <c r="R19">
        <f>IF($F19=1,MOD(MOD($Q19,11),10),"")</f>
        <v/>
      </c>
    </row>
    <row r="20">
      <c r="A20" s="6" t="n"/>
      <c r="B20" s="7">
        <f>IF($A20="","",UPPER(SUBSTITUTE(SUBSTITUTE(SUBSTITUTE(SUBSTITUTE(SUBSTITUTE(SUBSTITUTE($A20," ",""),"-",""),".",""),"/",""),"i","I"),"ı","?")))</f>
        <v/>
      </c>
      <c r="C20" s="8">
        <f>IF($F20=1,$R20,"")</f>
        <v/>
      </c>
      <c r="D20" s="7">
        <f>IF($A20="","",IF($F20=0,"Biçim hatalı",IF(FIND(MID($B20,11,1),"0123456789")-1=$R20,"Geçerli","Kontrol hanesi hatalı (doğrusu: "&amp;$R20&amp;")")))</f>
        <v/>
      </c>
      <c r="F20">
        <f>IF($A20="","",IF(AND(LEN($B20)=11,SUMPRODUCT(--ISNUMBER(FIND(MID($B20,{1,2,3},1),"ABCDEFGHIJKLMNOPQRSTUVWXYZ")))=3,ISNUMBER(FIND(MID($B20,4,1),"UJZ")),SUMPRODUCT(--ISNUMBER(FIND(MID($B20,{5,6,7,8,9,10,11},1),"0123456789")))=7),1,0))</f>
        <v/>
      </c>
      <c r="G20">
        <f>IF($F20=1,INDEX({10,12,13,14,15,16,17,18,19,20,21,23,24,25,26,27,28,29,30,31,32,34,35,36,37,38},1,FIND(MID($B20,1,1),"ABCDEFGHIJKLMNOPQRSTUVWXYZ")),"")</f>
        <v/>
      </c>
      <c r="H20">
        <f>IF($F20=1,INDEX({10,12,13,14,15,16,17,18,19,20,21,23,24,25,26,27,28,29,30,31,32,34,35,36,37,38},1,FIND(MID($B20,2,1),"ABCDEFGHIJKLMNOPQRSTUVWXYZ")),"")</f>
        <v/>
      </c>
      <c r="I20">
        <f>IF($F20=1,INDEX({10,12,13,14,15,16,17,18,19,20,21,23,24,25,26,27,28,29,30,31,32,34,35,36,37,38},1,FIND(MID($B20,3,1),"ABCDEFGHIJKLMNOPQRSTUVWXYZ")),"")</f>
        <v/>
      </c>
      <c r="J20">
        <f>IF($F20=1,INDEX({10,12,13,14,15,16,17,18,19,20,21,23,24,25,26,27,28,29,30,31,32,34,35,36,37,38},1,FIND(MID($B20,4,1),"ABCDEFGHIJKLMNOPQRSTUVWXYZ")),"")</f>
        <v/>
      </c>
      <c r="K20">
        <f>IF($F20=1,FIND(MID($B20,5,1),"0123456789")-1,"")</f>
        <v/>
      </c>
      <c r="L20">
        <f>IF($F20=1,FIND(MID($B20,6,1),"0123456789")-1,"")</f>
        <v/>
      </c>
      <c r="M20">
        <f>IF($F20=1,FIND(MID($B20,7,1),"0123456789")-1,"")</f>
        <v/>
      </c>
      <c r="N20">
        <f>IF($F20=1,FIND(MID($B20,8,1),"0123456789")-1,"")</f>
        <v/>
      </c>
      <c r="O20">
        <f>IF($F20=1,FIND(MID($B20,9,1),"0123456789")-1,"")</f>
        <v/>
      </c>
      <c r="P20">
        <f>IF($F20=1,FIND(MID($B20,10,1),"0123456789")-1,"")</f>
        <v/>
      </c>
      <c r="Q20">
        <f>IF($F20=1,SUMPRODUCT($G20:$P20,{1,2,4,8,16,32,64,128,256,512}),"")</f>
        <v/>
      </c>
      <c r="R20">
        <f>IF($F20=1,MOD(MOD($Q20,11),10),"")</f>
        <v/>
      </c>
    </row>
    <row r="21">
      <c r="A21" s="6" t="n"/>
      <c r="B21" s="7">
        <f>IF($A21="","",UPPER(SUBSTITUTE(SUBSTITUTE(SUBSTITUTE(SUBSTITUTE(SUBSTITUTE(SUBSTITUTE($A21," ",""),"-",""),".",""),"/",""),"i","I"),"ı","?")))</f>
        <v/>
      </c>
      <c r="C21" s="8">
        <f>IF($F21=1,$R21,"")</f>
        <v/>
      </c>
      <c r="D21" s="7">
        <f>IF($A21="","",IF($F21=0,"Biçim hatalı",IF(FIND(MID($B21,11,1),"0123456789")-1=$R21,"Geçerli","Kontrol hanesi hatalı (doğrusu: "&amp;$R21&amp;")")))</f>
        <v/>
      </c>
      <c r="F21">
        <f>IF($A21="","",IF(AND(LEN($B21)=11,SUMPRODUCT(--ISNUMBER(FIND(MID($B21,{1,2,3},1),"ABCDEFGHIJKLMNOPQRSTUVWXYZ")))=3,ISNUMBER(FIND(MID($B21,4,1),"UJZ")),SUMPRODUCT(--ISNUMBER(FIND(MID($B21,{5,6,7,8,9,10,11},1),"0123456789")))=7),1,0))</f>
        <v/>
      </c>
      <c r="G21">
        <f>IF($F21=1,INDEX({10,12,13,14,15,16,17,18,19,20,21,23,24,25,26,27,28,29,30,31,32,34,35,36,37,38},1,FIND(MID($B21,1,1),"ABCDEFGHIJKLMNOPQRSTUVWXYZ")),"")</f>
        <v/>
      </c>
      <c r="H21">
        <f>IF($F21=1,INDEX({10,12,13,14,15,16,17,18,19,20,21,23,24,25,26,27,28,29,30,31,32,34,35,36,37,38},1,FIND(MID($B21,2,1),"ABCDEFGHIJKLMNOPQRSTUVWXYZ")),"")</f>
        <v/>
      </c>
      <c r="I21">
        <f>IF($F21=1,INDEX({10,12,13,14,15,16,17,18,19,20,21,23,24,25,26,27,28,29,30,31,32,34,35,36,37,38},1,FIND(MID($B21,3,1),"ABCDEFGHIJKLMNOPQRSTUVWXYZ")),"")</f>
        <v/>
      </c>
      <c r="J21">
        <f>IF($F21=1,INDEX({10,12,13,14,15,16,17,18,19,20,21,23,24,25,26,27,28,29,30,31,32,34,35,36,37,38},1,FIND(MID($B21,4,1),"ABCDEFGHIJKLMNOPQRSTUVWXYZ")),"")</f>
        <v/>
      </c>
      <c r="K21">
        <f>IF($F21=1,FIND(MID($B21,5,1),"0123456789")-1,"")</f>
        <v/>
      </c>
      <c r="L21">
        <f>IF($F21=1,FIND(MID($B21,6,1),"0123456789")-1,"")</f>
        <v/>
      </c>
      <c r="M21">
        <f>IF($F21=1,FIND(MID($B21,7,1),"0123456789")-1,"")</f>
        <v/>
      </c>
      <c r="N21">
        <f>IF($F21=1,FIND(MID($B21,8,1),"0123456789")-1,"")</f>
        <v/>
      </c>
      <c r="O21">
        <f>IF($F21=1,FIND(MID($B21,9,1),"0123456789")-1,"")</f>
        <v/>
      </c>
      <c r="P21">
        <f>IF($F21=1,FIND(MID($B21,10,1),"0123456789")-1,"")</f>
        <v/>
      </c>
      <c r="Q21">
        <f>IF($F21=1,SUMPRODUCT($G21:$P21,{1,2,4,8,16,32,64,128,256,512}),"")</f>
        <v/>
      </c>
      <c r="R21">
        <f>IF($F21=1,MOD(MOD($Q21,11),10),"")</f>
        <v/>
      </c>
    </row>
    <row r="22">
      <c r="A22" s="6" t="n"/>
      <c r="B22" s="7">
        <f>IF($A22="","",UPPER(SUBSTITUTE(SUBSTITUTE(SUBSTITUTE(SUBSTITUTE(SUBSTITUTE(SUBSTITUTE($A22," ",""),"-",""),".",""),"/",""),"i","I"),"ı","?")))</f>
        <v/>
      </c>
      <c r="C22" s="8">
        <f>IF($F22=1,$R22,"")</f>
        <v/>
      </c>
      <c r="D22" s="7">
        <f>IF($A22="","",IF($F22=0,"Biçim hatalı",IF(FIND(MID($B22,11,1),"0123456789")-1=$R22,"Geçerli","Kontrol hanesi hatalı (doğrusu: "&amp;$R22&amp;")")))</f>
        <v/>
      </c>
      <c r="F22">
        <f>IF($A22="","",IF(AND(LEN($B22)=11,SUMPRODUCT(--ISNUMBER(FIND(MID($B22,{1,2,3},1),"ABCDEFGHIJKLMNOPQRSTUVWXYZ")))=3,ISNUMBER(FIND(MID($B22,4,1),"UJZ")),SUMPRODUCT(--ISNUMBER(FIND(MID($B22,{5,6,7,8,9,10,11},1),"0123456789")))=7),1,0))</f>
        <v/>
      </c>
      <c r="G22">
        <f>IF($F22=1,INDEX({10,12,13,14,15,16,17,18,19,20,21,23,24,25,26,27,28,29,30,31,32,34,35,36,37,38},1,FIND(MID($B22,1,1),"ABCDEFGHIJKLMNOPQRSTUVWXYZ")),"")</f>
        <v/>
      </c>
      <c r="H22">
        <f>IF($F22=1,INDEX({10,12,13,14,15,16,17,18,19,20,21,23,24,25,26,27,28,29,30,31,32,34,35,36,37,38},1,FIND(MID($B22,2,1),"ABCDEFGHIJKLMNOPQRSTUVWXYZ")),"")</f>
        <v/>
      </c>
      <c r="I22">
        <f>IF($F22=1,INDEX({10,12,13,14,15,16,17,18,19,20,21,23,24,25,26,27,28,29,30,31,32,34,35,36,37,38},1,FIND(MID($B22,3,1),"ABCDEFGHIJKLMNOPQRSTUVWXYZ")),"")</f>
        <v/>
      </c>
      <c r="J22">
        <f>IF($F22=1,INDEX({10,12,13,14,15,16,17,18,19,20,21,23,24,25,26,27,28,29,30,31,32,34,35,36,37,38},1,FIND(MID($B22,4,1),"ABCDEFGHIJKLMNOPQRSTUVWXYZ")),"")</f>
        <v/>
      </c>
      <c r="K22">
        <f>IF($F22=1,FIND(MID($B22,5,1),"0123456789")-1,"")</f>
        <v/>
      </c>
      <c r="L22">
        <f>IF($F22=1,FIND(MID($B22,6,1),"0123456789")-1,"")</f>
        <v/>
      </c>
      <c r="M22">
        <f>IF($F22=1,FIND(MID($B22,7,1),"0123456789")-1,"")</f>
        <v/>
      </c>
      <c r="N22">
        <f>IF($F22=1,FIND(MID($B22,8,1),"0123456789")-1,"")</f>
        <v/>
      </c>
      <c r="O22">
        <f>IF($F22=1,FIND(MID($B22,9,1),"0123456789")-1,"")</f>
        <v/>
      </c>
      <c r="P22">
        <f>IF($F22=1,FIND(MID($B22,10,1),"0123456789")-1,"")</f>
        <v/>
      </c>
      <c r="Q22">
        <f>IF($F22=1,SUMPRODUCT($G22:$P22,{1,2,4,8,16,32,64,128,256,512}),"")</f>
        <v/>
      </c>
      <c r="R22">
        <f>IF($F22=1,MOD(MOD($Q22,11),10),"")</f>
        <v/>
      </c>
    </row>
    <row r="23">
      <c r="A23" s="6" t="n"/>
      <c r="B23" s="7">
        <f>IF($A23="","",UPPER(SUBSTITUTE(SUBSTITUTE(SUBSTITUTE(SUBSTITUTE(SUBSTITUTE(SUBSTITUTE($A23," ",""),"-",""),".",""),"/",""),"i","I"),"ı","?")))</f>
        <v/>
      </c>
      <c r="C23" s="8">
        <f>IF($F23=1,$R23,"")</f>
        <v/>
      </c>
      <c r="D23" s="7">
        <f>IF($A23="","",IF($F23=0,"Biçim hatalı",IF(FIND(MID($B23,11,1),"0123456789")-1=$R23,"Geçerli","Kontrol hanesi hatalı (doğrusu: "&amp;$R23&amp;")")))</f>
        <v/>
      </c>
      <c r="F23">
        <f>IF($A23="","",IF(AND(LEN($B23)=11,SUMPRODUCT(--ISNUMBER(FIND(MID($B23,{1,2,3},1),"ABCDEFGHIJKLMNOPQRSTUVWXYZ")))=3,ISNUMBER(FIND(MID($B23,4,1),"UJZ")),SUMPRODUCT(--ISNUMBER(FIND(MID($B23,{5,6,7,8,9,10,11},1),"0123456789")))=7),1,0))</f>
        <v/>
      </c>
      <c r="G23">
        <f>IF($F23=1,INDEX({10,12,13,14,15,16,17,18,19,20,21,23,24,25,26,27,28,29,30,31,32,34,35,36,37,38},1,FIND(MID($B23,1,1),"ABCDEFGHIJKLMNOPQRSTUVWXYZ")),"")</f>
        <v/>
      </c>
      <c r="H23">
        <f>IF($F23=1,INDEX({10,12,13,14,15,16,17,18,19,20,21,23,24,25,26,27,28,29,30,31,32,34,35,36,37,38},1,FIND(MID($B23,2,1),"ABCDEFGHIJKLMNOPQRSTUVWXYZ")),"")</f>
        <v/>
      </c>
      <c r="I23">
        <f>IF($F23=1,INDEX({10,12,13,14,15,16,17,18,19,20,21,23,24,25,26,27,28,29,30,31,32,34,35,36,37,38},1,FIND(MID($B23,3,1),"ABCDEFGHIJKLMNOPQRSTUVWXYZ")),"")</f>
        <v/>
      </c>
      <c r="J23">
        <f>IF($F23=1,INDEX({10,12,13,14,15,16,17,18,19,20,21,23,24,25,26,27,28,29,30,31,32,34,35,36,37,38},1,FIND(MID($B23,4,1),"ABCDEFGHIJKLMNOPQRSTUVWXYZ")),"")</f>
        <v/>
      </c>
      <c r="K23">
        <f>IF($F23=1,FIND(MID($B23,5,1),"0123456789")-1,"")</f>
        <v/>
      </c>
      <c r="L23">
        <f>IF($F23=1,FIND(MID($B23,6,1),"0123456789")-1,"")</f>
        <v/>
      </c>
      <c r="M23">
        <f>IF($F23=1,FIND(MID($B23,7,1),"0123456789")-1,"")</f>
        <v/>
      </c>
      <c r="N23">
        <f>IF($F23=1,FIND(MID($B23,8,1),"0123456789")-1,"")</f>
        <v/>
      </c>
      <c r="O23">
        <f>IF($F23=1,FIND(MID($B23,9,1),"0123456789")-1,"")</f>
        <v/>
      </c>
      <c r="P23">
        <f>IF($F23=1,FIND(MID($B23,10,1),"0123456789")-1,"")</f>
        <v/>
      </c>
      <c r="Q23">
        <f>IF($F23=1,SUMPRODUCT($G23:$P23,{1,2,4,8,16,32,64,128,256,512}),"")</f>
        <v/>
      </c>
      <c r="R23">
        <f>IF($F23=1,MOD(MOD($Q23,11),10),"")</f>
        <v/>
      </c>
    </row>
    <row r="24">
      <c r="A24" s="6" t="n"/>
      <c r="B24" s="7">
        <f>IF($A24="","",UPPER(SUBSTITUTE(SUBSTITUTE(SUBSTITUTE(SUBSTITUTE(SUBSTITUTE(SUBSTITUTE($A24," ",""),"-",""),".",""),"/",""),"i","I"),"ı","?")))</f>
        <v/>
      </c>
      <c r="C24" s="8">
        <f>IF($F24=1,$R24,"")</f>
        <v/>
      </c>
      <c r="D24" s="7">
        <f>IF($A24="","",IF($F24=0,"Biçim hatalı",IF(FIND(MID($B24,11,1),"0123456789")-1=$R24,"Geçerli","Kontrol hanesi hatalı (doğrusu: "&amp;$R24&amp;")")))</f>
        <v/>
      </c>
      <c r="F24">
        <f>IF($A24="","",IF(AND(LEN($B24)=11,SUMPRODUCT(--ISNUMBER(FIND(MID($B24,{1,2,3},1),"ABCDEFGHIJKLMNOPQRSTUVWXYZ")))=3,ISNUMBER(FIND(MID($B24,4,1),"UJZ")),SUMPRODUCT(--ISNUMBER(FIND(MID($B24,{5,6,7,8,9,10,11},1),"0123456789")))=7),1,0))</f>
        <v/>
      </c>
      <c r="G24">
        <f>IF($F24=1,INDEX({10,12,13,14,15,16,17,18,19,20,21,23,24,25,26,27,28,29,30,31,32,34,35,36,37,38},1,FIND(MID($B24,1,1),"ABCDEFGHIJKLMNOPQRSTUVWXYZ")),"")</f>
        <v/>
      </c>
      <c r="H24">
        <f>IF($F24=1,INDEX({10,12,13,14,15,16,17,18,19,20,21,23,24,25,26,27,28,29,30,31,32,34,35,36,37,38},1,FIND(MID($B24,2,1),"ABCDEFGHIJKLMNOPQRSTUVWXYZ")),"")</f>
        <v/>
      </c>
      <c r="I24">
        <f>IF($F24=1,INDEX({10,12,13,14,15,16,17,18,19,20,21,23,24,25,26,27,28,29,30,31,32,34,35,36,37,38},1,FIND(MID($B24,3,1),"ABCDEFGHIJKLMNOPQRSTUVWXYZ")),"")</f>
        <v/>
      </c>
      <c r="J24">
        <f>IF($F24=1,INDEX({10,12,13,14,15,16,17,18,19,20,21,23,24,25,26,27,28,29,30,31,32,34,35,36,37,38},1,FIND(MID($B24,4,1),"ABCDEFGHIJKLMNOPQRSTUVWXYZ")),"")</f>
        <v/>
      </c>
      <c r="K24">
        <f>IF($F24=1,FIND(MID($B24,5,1),"0123456789")-1,"")</f>
        <v/>
      </c>
      <c r="L24">
        <f>IF($F24=1,FIND(MID($B24,6,1),"0123456789")-1,"")</f>
        <v/>
      </c>
      <c r="M24">
        <f>IF($F24=1,FIND(MID($B24,7,1),"0123456789")-1,"")</f>
        <v/>
      </c>
      <c r="N24">
        <f>IF($F24=1,FIND(MID($B24,8,1),"0123456789")-1,"")</f>
        <v/>
      </c>
      <c r="O24">
        <f>IF($F24=1,FIND(MID($B24,9,1),"0123456789")-1,"")</f>
        <v/>
      </c>
      <c r="P24">
        <f>IF($F24=1,FIND(MID($B24,10,1),"0123456789")-1,"")</f>
        <v/>
      </c>
      <c r="Q24">
        <f>IF($F24=1,SUMPRODUCT($G24:$P24,{1,2,4,8,16,32,64,128,256,512}),"")</f>
        <v/>
      </c>
      <c r="R24">
        <f>IF($F24=1,MOD(MOD($Q24,11),10),"")</f>
        <v/>
      </c>
    </row>
    <row r="25">
      <c r="A25" s="6" t="n"/>
      <c r="B25" s="7">
        <f>IF($A25="","",UPPER(SUBSTITUTE(SUBSTITUTE(SUBSTITUTE(SUBSTITUTE(SUBSTITUTE(SUBSTITUTE($A25," ",""),"-",""),".",""),"/",""),"i","I"),"ı","?")))</f>
        <v/>
      </c>
      <c r="C25" s="8">
        <f>IF($F25=1,$R25,"")</f>
        <v/>
      </c>
      <c r="D25" s="7">
        <f>IF($A25="","",IF($F25=0,"Biçim hatalı",IF(FIND(MID($B25,11,1),"0123456789")-1=$R25,"Geçerli","Kontrol hanesi hatalı (doğrusu: "&amp;$R25&amp;")")))</f>
        <v/>
      </c>
      <c r="F25">
        <f>IF($A25="","",IF(AND(LEN($B25)=11,SUMPRODUCT(--ISNUMBER(FIND(MID($B25,{1,2,3},1),"ABCDEFGHIJKLMNOPQRSTUVWXYZ")))=3,ISNUMBER(FIND(MID($B25,4,1),"UJZ")),SUMPRODUCT(--ISNUMBER(FIND(MID($B25,{5,6,7,8,9,10,11},1),"0123456789")))=7),1,0))</f>
        <v/>
      </c>
      <c r="G25">
        <f>IF($F25=1,INDEX({10,12,13,14,15,16,17,18,19,20,21,23,24,25,26,27,28,29,30,31,32,34,35,36,37,38},1,FIND(MID($B25,1,1),"ABCDEFGHIJKLMNOPQRSTUVWXYZ")),"")</f>
        <v/>
      </c>
      <c r="H25">
        <f>IF($F25=1,INDEX({10,12,13,14,15,16,17,18,19,20,21,23,24,25,26,27,28,29,30,31,32,34,35,36,37,38},1,FIND(MID($B25,2,1),"ABCDEFGHIJKLMNOPQRSTUVWXYZ")),"")</f>
        <v/>
      </c>
      <c r="I25">
        <f>IF($F25=1,INDEX({10,12,13,14,15,16,17,18,19,20,21,23,24,25,26,27,28,29,30,31,32,34,35,36,37,38},1,FIND(MID($B25,3,1),"ABCDEFGHIJKLMNOPQRSTUVWXYZ")),"")</f>
        <v/>
      </c>
      <c r="J25">
        <f>IF($F25=1,INDEX({10,12,13,14,15,16,17,18,19,20,21,23,24,25,26,27,28,29,30,31,32,34,35,36,37,38},1,FIND(MID($B25,4,1),"ABCDEFGHIJKLMNOPQRSTUVWXYZ")),"")</f>
        <v/>
      </c>
      <c r="K25">
        <f>IF($F25=1,FIND(MID($B25,5,1),"0123456789")-1,"")</f>
        <v/>
      </c>
      <c r="L25">
        <f>IF($F25=1,FIND(MID($B25,6,1),"0123456789")-1,"")</f>
        <v/>
      </c>
      <c r="M25">
        <f>IF($F25=1,FIND(MID($B25,7,1),"0123456789")-1,"")</f>
        <v/>
      </c>
      <c r="N25">
        <f>IF($F25=1,FIND(MID($B25,8,1),"0123456789")-1,"")</f>
        <v/>
      </c>
      <c r="O25">
        <f>IF($F25=1,FIND(MID($B25,9,1),"0123456789")-1,"")</f>
        <v/>
      </c>
      <c r="P25">
        <f>IF($F25=1,FIND(MID($B25,10,1),"0123456789")-1,"")</f>
        <v/>
      </c>
      <c r="Q25">
        <f>IF($F25=1,SUMPRODUCT($G25:$P25,{1,2,4,8,16,32,64,128,256,512}),"")</f>
        <v/>
      </c>
      <c r="R25">
        <f>IF($F25=1,MOD(MOD($Q25,11),10),"")</f>
        <v/>
      </c>
    </row>
    <row r="26">
      <c r="A26" s="6" t="n"/>
      <c r="B26" s="7">
        <f>IF($A26="","",UPPER(SUBSTITUTE(SUBSTITUTE(SUBSTITUTE(SUBSTITUTE(SUBSTITUTE(SUBSTITUTE($A26," ",""),"-",""),".",""),"/",""),"i","I"),"ı","?")))</f>
        <v/>
      </c>
      <c r="C26" s="8">
        <f>IF($F26=1,$R26,"")</f>
        <v/>
      </c>
      <c r="D26" s="7">
        <f>IF($A26="","",IF($F26=0,"Biçim hatalı",IF(FIND(MID($B26,11,1),"0123456789")-1=$R26,"Geçerli","Kontrol hanesi hatalı (doğrusu: "&amp;$R26&amp;")")))</f>
        <v/>
      </c>
      <c r="F26">
        <f>IF($A26="","",IF(AND(LEN($B26)=11,SUMPRODUCT(--ISNUMBER(FIND(MID($B26,{1,2,3},1),"ABCDEFGHIJKLMNOPQRSTUVWXYZ")))=3,ISNUMBER(FIND(MID($B26,4,1),"UJZ")),SUMPRODUCT(--ISNUMBER(FIND(MID($B26,{5,6,7,8,9,10,11},1),"0123456789")))=7),1,0))</f>
        <v/>
      </c>
      <c r="G26">
        <f>IF($F26=1,INDEX({10,12,13,14,15,16,17,18,19,20,21,23,24,25,26,27,28,29,30,31,32,34,35,36,37,38},1,FIND(MID($B26,1,1),"ABCDEFGHIJKLMNOPQRSTUVWXYZ")),"")</f>
        <v/>
      </c>
      <c r="H26">
        <f>IF($F26=1,INDEX({10,12,13,14,15,16,17,18,19,20,21,23,24,25,26,27,28,29,30,31,32,34,35,36,37,38},1,FIND(MID($B26,2,1),"ABCDEFGHIJKLMNOPQRSTUVWXYZ")),"")</f>
        <v/>
      </c>
      <c r="I26">
        <f>IF($F26=1,INDEX({10,12,13,14,15,16,17,18,19,20,21,23,24,25,26,27,28,29,30,31,32,34,35,36,37,38},1,FIND(MID($B26,3,1),"ABCDEFGHIJKLMNOPQRSTUVWXYZ")),"")</f>
        <v/>
      </c>
      <c r="J26">
        <f>IF($F26=1,INDEX({10,12,13,14,15,16,17,18,19,20,21,23,24,25,26,27,28,29,30,31,32,34,35,36,37,38},1,FIND(MID($B26,4,1),"ABCDEFGHIJKLMNOPQRSTUVWXYZ")),"")</f>
        <v/>
      </c>
      <c r="K26">
        <f>IF($F26=1,FIND(MID($B26,5,1),"0123456789")-1,"")</f>
        <v/>
      </c>
      <c r="L26">
        <f>IF($F26=1,FIND(MID($B26,6,1),"0123456789")-1,"")</f>
        <v/>
      </c>
      <c r="M26">
        <f>IF($F26=1,FIND(MID($B26,7,1),"0123456789")-1,"")</f>
        <v/>
      </c>
      <c r="N26">
        <f>IF($F26=1,FIND(MID($B26,8,1),"0123456789")-1,"")</f>
        <v/>
      </c>
      <c r="O26">
        <f>IF($F26=1,FIND(MID($B26,9,1),"0123456789")-1,"")</f>
        <v/>
      </c>
      <c r="P26">
        <f>IF($F26=1,FIND(MID($B26,10,1),"0123456789")-1,"")</f>
        <v/>
      </c>
      <c r="Q26">
        <f>IF($F26=1,SUMPRODUCT($G26:$P26,{1,2,4,8,16,32,64,128,256,512}),"")</f>
        <v/>
      </c>
      <c r="R26">
        <f>IF($F26=1,MOD(MOD($Q26,11),10),"")</f>
        <v/>
      </c>
    </row>
    <row r="27">
      <c r="A27" s="6" t="n"/>
      <c r="B27" s="7">
        <f>IF($A27="","",UPPER(SUBSTITUTE(SUBSTITUTE(SUBSTITUTE(SUBSTITUTE(SUBSTITUTE(SUBSTITUTE($A27," ",""),"-",""),".",""),"/",""),"i","I"),"ı","?")))</f>
        <v/>
      </c>
      <c r="C27" s="8">
        <f>IF($F27=1,$R27,"")</f>
        <v/>
      </c>
      <c r="D27" s="7">
        <f>IF($A27="","",IF($F27=0,"Biçim hatalı",IF(FIND(MID($B27,11,1),"0123456789")-1=$R27,"Geçerli","Kontrol hanesi hatalı (doğrusu: "&amp;$R27&amp;")")))</f>
        <v/>
      </c>
      <c r="F27">
        <f>IF($A27="","",IF(AND(LEN($B27)=11,SUMPRODUCT(--ISNUMBER(FIND(MID($B27,{1,2,3},1),"ABCDEFGHIJKLMNOPQRSTUVWXYZ")))=3,ISNUMBER(FIND(MID($B27,4,1),"UJZ")),SUMPRODUCT(--ISNUMBER(FIND(MID($B27,{5,6,7,8,9,10,11},1),"0123456789")))=7),1,0))</f>
        <v/>
      </c>
      <c r="G27">
        <f>IF($F27=1,INDEX({10,12,13,14,15,16,17,18,19,20,21,23,24,25,26,27,28,29,30,31,32,34,35,36,37,38},1,FIND(MID($B27,1,1),"ABCDEFGHIJKLMNOPQRSTUVWXYZ")),"")</f>
        <v/>
      </c>
      <c r="H27">
        <f>IF($F27=1,INDEX({10,12,13,14,15,16,17,18,19,20,21,23,24,25,26,27,28,29,30,31,32,34,35,36,37,38},1,FIND(MID($B27,2,1),"ABCDEFGHIJKLMNOPQRSTUVWXYZ")),"")</f>
        <v/>
      </c>
      <c r="I27">
        <f>IF($F27=1,INDEX({10,12,13,14,15,16,17,18,19,20,21,23,24,25,26,27,28,29,30,31,32,34,35,36,37,38},1,FIND(MID($B27,3,1),"ABCDEFGHIJKLMNOPQRSTUVWXYZ")),"")</f>
        <v/>
      </c>
      <c r="J27">
        <f>IF($F27=1,INDEX({10,12,13,14,15,16,17,18,19,20,21,23,24,25,26,27,28,29,30,31,32,34,35,36,37,38},1,FIND(MID($B27,4,1),"ABCDEFGHIJKLMNOPQRSTUVWXYZ")),"")</f>
        <v/>
      </c>
      <c r="K27">
        <f>IF($F27=1,FIND(MID($B27,5,1),"0123456789")-1,"")</f>
        <v/>
      </c>
      <c r="L27">
        <f>IF($F27=1,FIND(MID($B27,6,1),"0123456789")-1,"")</f>
        <v/>
      </c>
      <c r="M27">
        <f>IF($F27=1,FIND(MID($B27,7,1),"0123456789")-1,"")</f>
        <v/>
      </c>
      <c r="N27">
        <f>IF($F27=1,FIND(MID($B27,8,1),"0123456789")-1,"")</f>
        <v/>
      </c>
      <c r="O27">
        <f>IF($F27=1,FIND(MID($B27,9,1),"0123456789")-1,"")</f>
        <v/>
      </c>
      <c r="P27">
        <f>IF($F27=1,FIND(MID($B27,10,1),"0123456789")-1,"")</f>
        <v/>
      </c>
      <c r="Q27">
        <f>IF($F27=1,SUMPRODUCT($G27:$P27,{1,2,4,8,16,32,64,128,256,512}),"")</f>
        <v/>
      </c>
      <c r="R27">
        <f>IF($F27=1,MOD(MOD($Q27,11),10),"")</f>
        <v/>
      </c>
    </row>
    <row r="28">
      <c r="A28" s="6" t="n"/>
      <c r="B28" s="7">
        <f>IF($A28="","",UPPER(SUBSTITUTE(SUBSTITUTE(SUBSTITUTE(SUBSTITUTE(SUBSTITUTE(SUBSTITUTE($A28," ",""),"-",""),".",""),"/",""),"i","I"),"ı","?")))</f>
        <v/>
      </c>
      <c r="C28" s="8">
        <f>IF($F28=1,$R28,"")</f>
        <v/>
      </c>
      <c r="D28" s="7">
        <f>IF($A28="","",IF($F28=0,"Biçim hatalı",IF(FIND(MID($B28,11,1),"0123456789")-1=$R28,"Geçerli","Kontrol hanesi hatalı (doğrusu: "&amp;$R28&amp;")")))</f>
        <v/>
      </c>
      <c r="F28">
        <f>IF($A28="","",IF(AND(LEN($B28)=11,SUMPRODUCT(--ISNUMBER(FIND(MID($B28,{1,2,3},1),"ABCDEFGHIJKLMNOPQRSTUVWXYZ")))=3,ISNUMBER(FIND(MID($B28,4,1),"UJZ")),SUMPRODUCT(--ISNUMBER(FIND(MID($B28,{5,6,7,8,9,10,11},1),"0123456789")))=7),1,0))</f>
        <v/>
      </c>
      <c r="G28">
        <f>IF($F28=1,INDEX({10,12,13,14,15,16,17,18,19,20,21,23,24,25,26,27,28,29,30,31,32,34,35,36,37,38},1,FIND(MID($B28,1,1),"ABCDEFGHIJKLMNOPQRSTUVWXYZ")),"")</f>
        <v/>
      </c>
      <c r="H28">
        <f>IF($F28=1,INDEX({10,12,13,14,15,16,17,18,19,20,21,23,24,25,26,27,28,29,30,31,32,34,35,36,37,38},1,FIND(MID($B28,2,1),"ABCDEFGHIJKLMNOPQRSTUVWXYZ")),"")</f>
        <v/>
      </c>
      <c r="I28">
        <f>IF($F28=1,INDEX({10,12,13,14,15,16,17,18,19,20,21,23,24,25,26,27,28,29,30,31,32,34,35,36,37,38},1,FIND(MID($B28,3,1),"ABCDEFGHIJKLMNOPQRSTUVWXYZ")),"")</f>
        <v/>
      </c>
      <c r="J28">
        <f>IF($F28=1,INDEX({10,12,13,14,15,16,17,18,19,20,21,23,24,25,26,27,28,29,30,31,32,34,35,36,37,38},1,FIND(MID($B28,4,1),"ABCDEFGHIJKLMNOPQRSTUVWXYZ")),"")</f>
        <v/>
      </c>
      <c r="K28">
        <f>IF($F28=1,FIND(MID($B28,5,1),"0123456789")-1,"")</f>
        <v/>
      </c>
      <c r="L28">
        <f>IF($F28=1,FIND(MID($B28,6,1),"0123456789")-1,"")</f>
        <v/>
      </c>
      <c r="M28">
        <f>IF($F28=1,FIND(MID($B28,7,1),"0123456789")-1,"")</f>
        <v/>
      </c>
      <c r="N28">
        <f>IF($F28=1,FIND(MID($B28,8,1),"0123456789")-1,"")</f>
        <v/>
      </c>
      <c r="O28">
        <f>IF($F28=1,FIND(MID($B28,9,1),"0123456789")-1,"")</f>
        <v/>
      </c>
      <c r="P28">
        <f>IF($F28=1,FIND(MID($B28,10,1),"0123456789")-1,"")</f>
        <v/>
      </c>
      <c r="Q28">
        <f>IF($F28=1,SUMPRODUCT($G28:$P28,{1,2,4,8,16,32,64,128,256,512}),"")</f>
        <v/>
      </c>
      <c r="R28">
        <f>IF($F28=1,MOD(MOD($Q28,11),10),"")</f>
        <v/>
      </c>
    </row>
    <row r="29">
      <c r="A29" s="6" t="n"/>
      <c r="B29" s="7">
        <f>IF($A29="","",UPPER(SUBSTITUTE(SUBSTITUTE(SUBSTITUTE(SUBSTITUTE(SUBSTITUTE(SUBSTITUTE($A29," ",""),"-",""),".",""),"/",""),"i","I"),"ı","?")))</f>
        <v/>
      </c>
      <c r="C29" s="8">
        <f>IF($F29=1,$R29,"")</f>
        <v/>
      </c>
      <c r="D29" s="7">
        <f>IF($A29="","",IF($F29=0,"Biçim hatalı",IF(FIND(MID($B29,11,1),"0123456789")-1=$R29,"Geçerli","Kontrol hanesi hatalı (doğrusu: "&amp;$R29&amp;")")))</f>
        <v/>
      </c>
      <c r="F29">
        <f>IF($A29="","",IF(AND(LEN($B29)=11,SUMPRODUCT(--ISNUMBER(FIND(MID($B29,{1,2,3},1),"ABCDEFGHIJKLMNOPQRSTUVWXYZ")))=3,ISNUMBER(FIND(MID($B29,4,1),"UJZ")),SUMPRODUCT(--ISNUMBER(FIND(MID($B29,{5,6,7,8,9,10,11},1),"0123456789")))=7),1,0))</f>
        <v/>
      </c>
      <c r="G29">
        <f>IF($F29=1,INDEX({10,12,13,14,15,16,17,18,19,20,21,23,24,25,26,27,28,29,30,31,32,34,35,36,37,38},1,FIND(MID($B29,1,1),"ABCDEFGHIJKLMNOPQRSTUVWXYZ")),"")</f>
        <v/>
      </c>
      <c r="H29">
        <f>IF($F29=1,INDEX({10,12,13,14,15,16,17,18,19,20,21,23,24,25,26,27,28,29,30,31,32,34,35,36,37,38},1,FIND(MID($B29,2,1),"ABCDEFGHIJKLMNOPQRSTUVWXYZ")),"")</f>
        <v/>
      </c>
      <c r="I29">
        <f>IF($F29=1,INDEX({10,12,13,14,15,16,17,18,19,20,21,23,24,25,26,27,28,29,30,31,32,34,35,36,37,38},1,FIND(MID($B29,3,1),"ABCDEFGHIJKLMNOPQRSTUVWXYZ")),"")</f>
        <v/>
      </c>
      <c r="J29">
        <f>IF($F29=1,INDEX({10,12,13,14,15,16,17,18,19,20,21,23,24,25,26,27,28,29,30,31,32,34,35,36,37,38},1,FIND(MID($B29,4,1),"ABCDEFGHIJKLMNOPQRSTUVWXYZ")),"")</f>
        <v/>
      </c>
      <c r="K29">
        <f>IF($F29=1,FIND(MID($B29,5,1),"0123456789")-1,"")</f>
        <v/>
      </c>
      <c r="L29">
        <f>IF($F29=1,FIND(MID($B29,6,1),"0123456789")-1,"")</f>
        <v/>
      </c>
      <c r="M29">
        <f>IF($F29=1,FIND(MID($B29,7,1),"0123456789")-1,"")</f>
        <v/>
      </c>
      <c r="N29">
        <f>IF($F29=1,FIND(MID($B29,8,1),"0123456789")-1,"")</f>
        <v/>
      </c>
      <c r="O29">
        <f>IF($F29=1,FIND(MID($B29,9,1),"0123456789")-1,"")</f>
        <v/>
      </c>
      <c r="P29">
        <f>IF($F29=1,FIND(MID($B29,10,1),"0123456789")-1,"")</f>
        <v/>
      </c>
      <c r="Q29">
        <f>IF($F29=1,SUMPRODUCT($G29:$P29,{1,2,4,8,16,32,64,128,256,512}),"")</f>
        <v/>
      </c>
      <c r="R29">
        <f>IF($F29=1,MOD(MOD($Q29,11),10),"")</f>
        <v/>
      </c>
    </row>
    <row r="30">
      <c r="A30" s="6" t="n"/>
      <c r="B30" s="7">
        <f>IF($A30="","",UPPER(SUBSTITUTE(SUBSTITUTE(SUBSTITUTE(SUBSTITUTE(SUBSTITUTE(SUBSTITUTE($A30," ",""),"-",""),".",""),"/",""),"i","I"),"ı","?")))</f>
        <v/>
      </c>
      <c r="C30" s="8">
        <f>IF($F30=1,$R30,"")</f>
        <v/>
      </c>
      <c r="D30" s="7">
        <f>IF($A30="","",IF($F30=0,"Biçim hatalı",IF(FIND(MID($B30,11,1),"0123456789")-1=$R30,"Geçerli","Kontrol hanesi hatalı (doğrusu: "&amp;$R30&amp;")")))</f>
        <v/>
      </c>
      <c r="F30">
        <f>IF($A30="","",IF(AND(LEN($B30)=11,SUMPRODUCT(--ISNUMBER(FIND(MID($B30,{1,2,3},1),"ABCDEFGHIJKLMNOPQRSTUVWXYZ")))=3,ISNUMBER(FIND(MID($B30,4,1),"UJZ")),SUMPRODUCT(--ISNUMBER(FIND(MID($B30,{5,6,7,8,9,10,11},1),"0123456789")))=7),1,0))</f>
        <v/>
      </c>
      <c r="G30">
        <f>IF($F30=1,INDEX({10,12,13,14,15,16,17,18,19,20,21,23,24,25,26,27,28,29,30,31,32,34,35,36,37,38},1,FIND(MID($B30,1,1),"ABCDEFGHIJKLMNOPQRSTUVWXYZ")),"")</f>
        <v/>
      </c>
      <c r="H30">
        <f>IF($F30=1,INDEX({10,12,13,14,15,16,17,18,19,20,21,23,24,25,26,27,28,29,30,31,32,34,35,36,37,38},1,FIND(MID($B30,2,1),"ABCDEFGHIJKLMNOPQRSTUVWXYZ")),"")</f>
        <v/>
      </c>
      <c r="I30">
        <f>IF($F30=1,INDEX({10,12,13,14,15,16,17,18,19,20,21,23,24,25,26,27,28,29,30,31,32,34,35,36,37,38},1,FIND(MID($B30,3,1),"ABCDEFGHIJKLMNOPQRSTUVWXYZ")),"")</f>
        <v/>
      </c>
      <c r="J30">
        <f>IF($F30=1,INDEX({10,12,13,14,15,16,17,18,19,20,21,23,24,25,26,27,28,29,30,31,32,34,35,36,37,38},1,FIND(MID($B30,4,1),"ABCDEFGHIJKLMNOPQRSTUVWXYZ")),"")</f>
        <v/>
      </c>
      <c r="K30">
        <f>IF($F30=1,FIND(MID($B30,5,1),"0123456789")-1,"")</f>
        <v/>
      </c>
      <c r="L30">
        <f>IF($F30=1,FIND(MID($B30,6,1),"0123456789")-1,"")</f>
        <v/>
      </c>
      <c r="M30">
        <f>IF($F30=1,FIND(MID($B30,7,1),"0123456789")-1,"")</f>
        <v/>
      </c>
      <c r="N30">
        <f>IF($F30=1,FIND(MID($B30,8,1),"0123456789")-1,"")</f>
        <v/>
      </c>
      <c r="O30">
        <f>IF($F30=1,FIND(MID($B30,9,1),"0123456789")-1,"")</f>
        <v/>
      </c>
      <c r="P30">
        <f>IF($F30=1,FIND(MID($B30,10,1),"0123456789")-1,"")</f>
        <v/>
      </c>
      <c r="Q30">
        <f>IF($F30=1,SUMPRODUCT($G30:$P30,{1,2,4,8,16,32,64,128,256,512}),"")</f>
        <v/>
      </c>
      <c r="R30">
        <f>IF($F30=1,MOD(MOD($Q30,11),10),"")</f>
        <v/>
      </c>
    </row>
    <row r="31">
      <c r="A31" s="6" t="n"/>
      <c r="B31" s="7">
        <f>IF($A31="","",UPPER(SUBSTITUTE(SUBSTITUTE(SUBSTITUTE(SUBSTITUTE(SUBSTITUTE(SUBSTITUTE($A31," ",""),"-",""),".",""),"/",""),"i","I"),"ı","?")))</f>
        <v/>
      </c>
      <c r="C31" s="8">
        <f>IF($F31=1,$R31,"")</f>
        <v/>
      </c>
      <c r="D31" s="7">
        <f>IF($A31="","",IF($F31=0,"Biçim hatalı",IF(FIND(MID($B31,11,1),"0123456789")-1=$R31,"Geçerli","Kontrol hanesi hatalı (doğrusu: "&amp;$R31&amp;")")))</f>
        <v/>
      </c>
      <c r="F31">
        <f>IF($A31="","",IF(AND(LEN($B31)=11,SUMPRODUCT(--ISNUMBER(FIND(MID($B31,{1,2,3},1),"ABCDEFGHIJKLMNOPQRSTUVWXYZ")))=3,ISNUMBER(FIND(MID($B31,4,1),"UJZ")),SUMPRODUCT(--ISNUMBER(FIND(MID($B31,{5,6,7,8,9,10,11},1),"0123456789")))=7),1,0))</f>
        <v/>
      </c>
      <c r="G31">
        <f>IF($F31=1,INDEX({10,12,13,14,15,16,17,18,19,20,21,23,24,25,26,27,28,29,30,31,32,34,35,36,37,38},1,FIND(MID($B31,1,1),"ABCDEFGHIJKLMNOPQRSTUVWXYZ")),"")</f>
        <v/>
      </c>
      <c r="H31">
        <f>IF($F31=1,INDEX({10,12,13,14,15,16,17,18,19,20,21,23,24,25,26,27,28,29,30,31,32,34,35,36,37,38},1,FIND(MID($B31,2,1),"ABCDEFGHIJKLMNOPQRSTUVWXYZ")),"")</f>
        <v/>
      </c>
      <c r="I31">
        <f>IF($F31=1,INDEX({10,12,13,14,15,16,17,18,19,20,21,23,24,25,26,27,28,29,30,31,32,34,35,36,37,38},1,FIND(MID($B31,3,1),"ABCDEFGHIJKLMNOPQRSTUVWXYZ")),"")</f>
        <v/>
      </c>
      <c r="J31">
        <f>IF($F31=1,INDEX({10,12,13,14,15,16,17,18,19,20,21,23,24,25,26,27,28,29,30,31,32,34,35,36,37,38},1,FIND(MID($B31,4,1),"ABCDEFGHIJKLMNOPQRSTUVWXYZ")),"")</f>
        <v/>
      </c>
      <c r="K31">
        <f>IF($F31=1,FIND(MID($B31,5,1),"0123456789")-1,"")</f>
        <v/>
      </c>
      <c r="L31">
        <f>IF($F31=1,FIND(MID($B31,6,1),"0123456789")-1,"")</f>
        <v/>
      </c>
      <c r="M31">
        <f>IF($F31=1,FIND(MID($B31,7,1),"0123456789")-1,"")</f>
        <v/>
      </c>
      <c r="N31">
        <f>IF($F31=1,FIND(MID($B31,8,1),"0123456789")-1,"")</f>
        <v/>
      </c>
      <c r="O31">
        <f>IF($F31=1,FIND(MID($B31,9,1),"0123456789")-1,"")</f>
        <v/>
      </c>
      <c r="P31">
        <f>IF($F31=1,FIND(MID($B31,10,1),"0123456789")-1,"")</f>
        <v/>
      </c>
      <c r="Q31">
        <f>IF($F31=1,SUMPRODUCT($G31:$P31,{1,2,4,8,16,32,64,128,256,512}),"")</f>
        <v/>
      </c>
      <c r="R31">
        <f>IF($F31=1,MOD(MOD($Q31,11),10),"")</f>
        <v/>
      </c>
    </row>
    <row r="32">
      <c r="A32" s="6" t="n"/>
      <c r="B32" s="7">
        <f>IF($A32="","",UPPER(SUBSTITUTE(SUBSTITUTE(SUBSTITUTE(SUBSTITUTE(SUBSTITUTE(SUBSTITUTE($A32," ",""),"-",""),".",""),"/",""),"i","I"),"ı","?")))</f>
        <v/>
      </c>
      <c r="C32" s="8">
        <f>IF($F32=1,$R32,"")</f>
        <v/>
      </c>
      <c r="D32" s="7">
        <f>IF($A32="","",IF($F32=0,"Biçim hatalı",IF(FIND(MID($B32,11,1),"0123456789")-1=$R32,"Geçerli","Kontrol hanesi hatalı (doğrusu: "&amp;$R32&amp;")")))</f>
        <v/>
      </c>
      <c r="F32">
        <f>IF($A32="","",IF(AND(LEN($B32)=11,SUMPRODUCT(--ISNUMBER(FIND(MID($B32,{1,2,3},1),"ABCDEFGHIJKLMNOPQRSTUVWXYZ")))=3,ISNUMBER(FIND(MID($B32,4,1),"UJZ")),SUMPRODUCT(--ISNUMBER(FIND(MID($B32,{5,6,7,8,9,10,11},1),"0123456789")))=7),1,0))</f>
        <v/>
      </c>
      <c r="G32">
        <f>IF($F32=1,INDEX({10,12,13,14,15,16,17,18,19,20,21,23,24,25,26,27,28,29,30,31,32,34,35,36,37,38},1,FIND(MID($B32,1,1),"ABCDEFGHIJKLMNOPQRSTUVWXYZ")),"")</f>
        <v/>
      </c>
      <c r="H32">
        <f>IF($F32=1,INDEX({10,12,13,14,15,16,17,18,19,20,21,23,24,25,26,27,28,29,30,31,32,34,35,36,37,38},1,FIND(MID($B32,2,1),"ABCDEFGHIJKLMNOPQRSTUVWXYZ")),"")</f>
        <v/>
      </c>
      <c r="I32">
        <f>IF($F32=1,INDEX({10,12,13,14,15,16,17,18,19,20,21,23,24,25,26,27,28,29,30,31,32,34,35,36,37,38},1,FIND(MID($B32,3,1),"ABCDEFGHIJKLMNOPQRSTUVWXYZ")),"")</f>
        <v/>
      </c>
      <c r="J32">
        <f>IF($F32=1,INDEX({10,12,13,14,15,16,17,18,19,20,21,23,24,25,26,27,28,29,30,31,32,34,35,36,37,38},1,FIND(MID($B32,4,1),"ABCDEFGHIJKLMNOPQRSTUVWXYZ")),"")</f>
        <v/>
      </c>
      <c r="K32">
        <f>IF($F32=1,FIND(MID($B32,5,1),"0123456789")-1,"")</f>
        <v/>
      </c>
      <c r="L32">
        <f>IF($F32=1,FIND(MID($B32,6,1),"0123456789")-1,"")</f>
        <v/>
      </c>
      <c r="M32">
        <f>IF($F32=1,FIND(MID($B32,7,1),"0123456789")-1,"")</f>
        <v/>
      </c>
      <c r="N32">
        <f>IF($F32=1,FIND(MID($B32,8,1),"0123456789")-1,"")</f>
        <v/>
      </c>
      <c r="O32">
        <f>IF($F32=1,FIND(MID($B32,9,1),"0123456789")-1,"")</f>
        <v/>
      </c>
      <c r="P32">
        <f>IF($F32=1,FIND(MID($B32,10,1),"0123456789")-1,"")</f>
        <v/>
      </c>
      <c r="Q32">
        <f>IF($F32=1,SUMPRODUCT($G32:$P32,{1,2,4,8,16,32,64,128,256,512}),"")</f>
        <v/>
      </c>
      <c r="R32">
        <f>IF($F32=1,MOD(MOD($Q32,11),10),"")</f>
        <v/>
      </c>
    </row>
    <row r="33">
      <c r="A33" s="6" t="n"/>
      <c r="B33" s="7">
        <f>IF($A33="","",UPPER(SUBSTITUTE(SUBSTITUTE(SUBSTITUTE(SUBSTITUTE(SUBSTITUTE(SUBSTITUTE($A33," ",""),"-",""),".",""),"/",""),"i","I"),"ı","?")))</f>
        <v/>
      </c>
      <c r="C33" s="8">
        <f>IF($F33=1,$R33,"")</f>
        <v/>
      </c>
      <c r="D33" s="7">
        <f>IF($A33="","",IF($F33=0,"Biçim hatalı",IF(FIND(MID($B33,11,1),"0123456789")-1=$R33,"Geçerli","Kontrol hanesi hatalı (doğrusu: "&amp;$R33&amp;")")))</f>
        <v/>
      </c>
      <c r="F33">
        <f>IF($A33="","",IF(AND(LEN($B33)=11,SUMPRODUCT(--ISNUMBER(FIND(MID($B33,{1,2,3},1),"ABCDEFGHIJKLMNOPQRSTUVWXYZ")))=3,ISNUMBER(FIND(MID($B33,4,1),"UJZ")),SUMPRODUCT(--ISNUMBER(FIND(MID($B33,{5,6,7,8,9,10,11},1),"0123456789")))=7),1,0))</f>
        <v/>
      </c>
      <c r="G33">
        <f>IF($F33=1,INDEX({10,12,13,14,15,16,17,18,19,20,21,23,24,25,26,27,28,29,30,31,32,34,35,36,37,38},1,FIND(MID($B33,1,1),"ABCDEFGHIJKLMNOPQRSTUVWXYZ")),"")</f>
        <v/>
      </c>
      <c r="H33">
        <f>IF($F33=1,INDEX({10,12,13,14,15,16,17,18,19,20,21,23,24,25,26,27,28,29,30,31,32,34,35,36,37,38},1,FIND(MID($B33,2,1),"ABCDEFGHIJKLMNOPQRSTUVWXYZ")),"")</f>
        <v/>
      </c>
      <c r="I33">
        <f>IF($F33=1,INDEX({10,12,13,14,15,16,17,18,19,20,21,23,24,25,26,27,28,29,30,31,32,34,35,36,37,38},1,FIND(MID($B33,3,1),"ABCDEFGHIJKLMNOPQRSTUVWXYZ")),"")</f>
        <v/>
      </c>
      <c r="J33">
        <f>IF($F33=1,INDEX({10,12,13,14,15,16,17,18,19,20,21,23,24,25,26,27,28,29,30,31,32,34,35,36,37,38},1,FIND(MID($B33,4,1),"ABCDEFGHIJKLMNOPQRSTUVWXYZ")),"")</f>
        <v/>
      </c>
      <c r="K33">
        <f>IF($F33=1,FIND(MID($B33,5,1),"0123456789")-1,"")</f>
        <v/>
      </c>
      <c r="L33">
        <f>IF($F33=1,FIND(MID($B33,6,1),"0123456789")-1,"")</f>
        <v/>
      </c>
      <c r="M33">
        <f>IF($F33=1,FIND(MID($B33,7,1),"0123456789")-1,"")</f>
        <v/>
      </c>
      <c r="N33">
        <f>IF($F33=1,FIND(MID($B33,8,1),"0123456789")-1,"")</f>
        <v/>
      </c>
      <c r="O33">
        <f>IF($F33=1,FIND(MID($B33,9,1),"0123456789")-1,"")</f>
        <v/>
      </c>
      <c r="P33">
        <f>IF($F33=1,FIND(MID($B33,10,1),"0123456789")-1,"")</f>
        <v/>
      </c>
      <c r="Q33">
        <f>IF($F33=1,SUMPRODUCT($G33:$P33,{1,2,4,8,16,32,64,128,256,512}),"")</f>
        <v/>
      </c>
      <c r="R33">
        <f>IF($F33=1,MOD(MOD($Q33,11),10),"")</f>
        <v/>
      </c>
    </row>
    <row r="34">
      <c r="A34" s="6" t="n"/>
      <c r="B34" s="7">
        <f>IF($A34="","",UPPER(SUBSTITUTE(SUBSTITUTE(SUBSTITUTE(SUBSTITUTE(SUBSTITUTE(SUBSTITUTE($A34," ",""),"-",""),".",""),"/",""),"i","I"),"ı","?")))</f>
        <v/>
      </c>
      <c r="C34" s="8">
        <f>IF($F34=1,$R34,"")</f>
        <v/>
      </c>
      <c r="D34" s="7">
        <f>IF($A34="","",IF($F34=0,"Biçim hatalı",IF(FIND(MID($B34,11,1),"0123456789")-1=$R34,"Geçerli","Kontrol hanesi hatalı (doğrusu: "&amp;$R34&amp;")")))</f>
        <v/>
      </c>
      <c r="F34">
        <f>IF($A34="","",IF(AND(LEN($B34)=11,SUMPRODUCT(--ISNUMBER(FIND(MID($B34,{1,2,3},1),"ABCDEFGHIJKLMNOPQRSTUVWXYZ")))=3,ISNUMBER(FIND(MID($B34,4,1),"UJZ")),SUMPRODUCT(--ISNUMBER(FIND(MID($B34,{5,6,7,8,9,10,11},1),"0123456789")))=7),1,0))</f>
        <v/>
      </c>
      <c r="G34">
        <f>IF($F34=1,INDEX({10,12,13,14,15,16,17,18,19,20,21,23,24,25,26,27,28,29,30,31,32,34,35,36,37,38},1,FIND(MID($B34,1,1),"ABCDEFGHIJKLMNOPQRSTUVWXYZ")),"")</f>
        <v/>
      </c>
      <c r="H34">
        <f>IF($F34=1,INDEX({10,12,13,14,15,16,17,18,19,20,21,23,24,25,26,27,28,29,30,31,32,34,35,36,37,38},1,FIND(MID($B34,2,1),"ABCDEFGHIJKLMNOPQRSTUVWXYZ")),"")</f>
        <v/>
      </c>
      <c r="I34">
        <f>IF($F34=1,INDEX({10,12,13,14,15,16,17,18,19,20,21,23,24,25,26,27,28,29,30,31,32,34,35,36,37,38},1,FIND(MID($B34,3,1),"ABCDEFGHIJKLMNOPQRSTUVWXYZ")),"")</f>
        <v/>
      </c>
      <c r="J34">
        <f>IF($F34=1,INDEX({10,12,13,14,15,16,17,18,19,20,21,23,24,25,26,27,28,29,30,31,32,34,35,36,37,38},1,FIND(MID($B34,4,1),"ABCDEFGHIJKLMNOPQRSTUVWXYZ")),"")</f>
        <v/>
      </c>
      <c r="K34">
        <f>IF($F34=1,FIND(MID($B34,5,1),"0123456789")-1,"")</f>
        <v/>
      </c>
      <c r="L34">
        <f>IF($F34=1,FIND(MID($B34,6,1),"0123456789")-1,"")</f>
        <v/>
      </c>
      <c r="M34">
        <f>IF($F34=1,FIND(MID($B34,7,1),"0123456789")-1,"")</f>
        <v/>
      </c>
      <c r="N34">
        <f>IF($F34=1,FIND(MID($B34,8,1),"0123456789")-1,"")</f>
        <v/>
      </c>
      <c r="O34">
        <f>IF($F34=1,FIND(MID($B34,9,1),"0123456789")-1,"")</f>
        <v/>
      </c>
      <c r="P34">
        <f>IF($F34=1,FIND(MID($B34,10,1),"0123456789")-1,"")</f>
        <v/>
      </c>
      <c r="Q34">
        <f>IF($F34=1,SUMPRODUCT($G34:$P34,{1,2,4,8,16,32,64,128,256,512}),"")</f>
        <v/>
      </c>
      <c r="R34">
        <f>IF($F34=1,MOD(MOD($Q34,11),10),"")</f>
        <v/>
      </c>
    </row>
    <row r="35">
      <c r="A35" s="6" t="n"/>
      <c r="B35" s="7">
        <f>IF($A35="","",UPPER(SUBSTITUTE(SUBSTITUTE(SUBSTITUTE(SUBSTITUTE(SUBSTITUTE(SUBSTITUTE($A35," ",""),"-",""),".",""),"/",""),"i","I"),"ı","?")))</f>
        <v/>
      </c>
      <c r="C35" s="8">
        <f>IF($F35=1,$R35,"")</f>
        <v/>
      </c>
      <c r="D35" s="7">
        <f>IF($A35="","",IF($F35=0,"Biçim hatalı",IF(FIND(MID($B35,11,1),"0123456789")-1=$R35,"Geçerli","Kontrol hanesi hatalı (doğrusu: "&amp;$R35&amp;")")))</f>
        <v/>
      </c>
      <c r="F35">
        <f>IF($A35="","",IF(AND(LEN($B35)=11,SUMPRODUCT(--ISNUMBER(FIND(MID($B35,{1,2,3},1),"ABCDEFGHIJKLMNOPQRSTUVWXYZ")))=3,ISNUMBER(FIND(MID($B35,4,1),"UJZ")),SUMPRODUCT(--ISNUMBER(FIND(MID($B35,{5,6,7,8,9,10,11},1),"0123456789")))=7),1,0))</f>
        <v/>
      </c>
      <c r="G35">
        <f>IF($F35=1,INDEX({10,12,13,14,15,16,17,18,19,20,21,23,24,25,26,27,28,29,30,31,32,34,35,36,37,38},1,FIND(MID($B35,1,1),"ABCDEFGHIJKLMNOPQRSTUVWXYZ")),"")</f>
        <v/>
      </c>
      <c r="H35">
        <f>IF($F35=1,INDEX({10,12,13,14,15,16,17,18,19,20,21,23,24,25,26,27,28,29,30,31,32,34,35,36,37,38},1,FIND(MID($B35,2,1),"ABCDEFGHIJKLMNOPQRSTUVWXYZ")),"")</f>
        <v/>
      </c>
      <c r="I35">
        <f>IF($F35=1,INDEX({10,12,13,14,15,16,17,18,19,20,21,23,24,25,26,27,28,29,30,31,32,34,35,36,37,38},1,FIND(MID($B35,3,1),"ABCDEFGHIJKLMNOPQRSTUVWXYZ")),"")</f>
        <v/>
      </c>
      <c r="J35">
        <f>IF($F35=1,INDEX({10,12,13,14,15,16,17,18,19,20,21,23,24,25,26,27,28,29,30,31,32,34,35,36,37,38},1,FIND(MID($B35,4,1),"ABCDEFGHIJKLMNOPQRSTUVWXYZ")),"")</f>
        <v/>
      </c>
      <c r="K35">
        <f>IF($F35=1,FIND(MID($B35,5,1),"0123456789")-1,"")</f>
        <v/>
      </c>
      <c r="L35">
        <f>IF($F35=1,FIND(MID($B35,6,1),"0123456789")-1,"")</f>
        <v/>
      </c>
      <c r="M35">
        <f>IF($F35=1,FIND(MID($B35,7,1),"0123456789")-1,"")</f>
        <v/>
      </c>
      <c r="N35">
        <f>IF($F35=1,FIND(MID($B35,8,1),"0123456789")-1,"")</f>
        <v/>
      </c>
      <c r="O35">
        <f>IF($F35=1,FIND(MID($B35,9,1),"0123456789")-1,"")</f>
        <v/>
      </c>
      <c r="P35">
        <f>IF($F35=1,FIND(MID($B35,10,1),"0123456789")-1,"")</f>
        <v/>
      </c>
      <c r="Q35">
        <f>IF($F35=1,SUMPRODUCT($G35:$P35,{1,2,4,8,16,32,64,128,256,512}),"")</f>
        <v/>
      </c>
      <c r="R35">
        <f>IF($F35=1,MOD(MOD($Q35,11),10),"")</f>
        <v/>
      </c>
    </row>
    <row r="36">
      <c r="A36" s="6" t="n"/>
      <c r="B36" s="7">
        <f>IF($A36="","",UPPER(SUBSTITUTE(SUBSTITUTE(SUBSTITUTE(SUBSTITUTE(SUBSTITUTE(SUBSTITUTE($A36," ",""),"-",""),".",""),"/",""),"i","I"),"ı","?")))</f>
        <v/>
      </c>
      <c r="C36" s="8">
        <f>IF($F36=1,$R36,"")</f>
        <v/>
      </c>
      <c r="D36" s="7">
        <f>IF($A36="","",IF($F36=0,"Biçim hatalı",IF(FIND(MID($B36,11,1),"0123456789")-1=$R36,"Geçerli","Kontrol hanesi hatalı (doğrusu: "&amp;$R36&amp;")")))</f>
        <v/>
      </c>
      <c r="F36">
        <f>IF($A36="","",IF(AND(LEN($B36)=11,SUMPRODUCT(--ISNUMBER(FIND(MID($B36,{1,2,3},1),"ABCDEFGHIJKLMNOPQRSTUVWXYZ")))=3,ISNUMBER(FIND(MID($B36,4,1),"UJZ")),SUMPRODUCT(--ISNUMBER(FIND(MID($B36,{5,6,7,8,9,10,11},1),"0123456789")))=7),1,0))</f>
        <v/>
      </c>
      <c r="G36">
        <f>IF($F36=1,INDEX({10,12,13,14,15,16,17,18,19,20,21,23,24,25,26,27,28,29,30,31,32,34,35,36,37,38},1,FIND(MID($B36,1,1),"ABCDEFGHIJKLMNOPQRSTUVWXYZ")),"")</f>
        <v/>
      </c>
      <c r="H36">
        <f>IF($F36=1,INDEX({10,12,13,14,15,16,17,18,19,20,21,23,24,25,26,27,28,29,30,31,32,34,35,36,37,38},1,FIND(MID($B36,2,1),"ABCDEFGHIJKLMNOPQRSTUVWXYZ")),"")</f>
        <v/>
      </c>
      <c r="I36">
        <f>IF($F36=1,INDEX({10,12,13,14,15,16,17,18,19,20,21,23,24,25,26,27,28,29,30,31,32,34,35,36,37,38},1,FIND(MID($B36,3,1),"ABCDEFGHIJKLMNOPQRSTUVWXYZ")),"")</f>
        <v/>
      </c>
      <c r="J36">
        <f>IF($F36=1,INDEX({10,12,13,14,15,16,17,18,19,20,21,23,24,25,26,27,28,29,30,31,32,34,35,36,37,38},1,FIND(MID($B36,4,1),"ABCDEFGHIJKLMNOPQRSTUVWXYZ")),"")</f>
        <v/>
      </c>
      <c r="K36">
        <f>IF($F36=1,FIND(MID($B36,5,1),"0123456789")-1,"")</f>
        <v/>
      </c>
      <c r="L36">
        <f>IF($F36=1,FIND(MID($B36,6,1),"0123456789")-1,"")</f>
        <v/>
      </c>
      <c r="M36">
        <f>IF($F36=1,FIND(MID($B36,7,1),"0123456789")-1,"")</f>
        <v/>
      </c>
      <c r="N36">
        <f>IF($F36=1,FIND(MID($B36,8,1),"0123456789")-1,"")</f>
        <v/>
      </c>
      <c r="O36">
        <f>IF($F36=1,FIND(MID($B36,9,1),"0123456789")-1,"")</f>
        <v/>
      </c>
      <c r="P36">
        <f>IF($F36=1,FIND(MID($B36,10,1),"0123456789")-1,"")</f>
        <v/>
      </c>
      <c r="Q36">
        <f>IF($F36=1,SUMPRODUCT($G36:$P36,{1,2,4,8,16,32,64,128,256,512}),"")</f>
        <v/>
      </c>
      <c r="R36">
        <f>IF($F36=1,MOD(MOD($Q36,11),10),"")</f>
        <v/>
      </c>
    </row>
    <row r="37">
      <c r="A37" s="6" t="n"/>
      <c r="B37" s="7">
        <f>IF($A37="","",UPPER(SUBSTITUTE(SUBSTITUTE(SUBSTITUTE(SUBSTITUTE(SUBSTITUTE(SUBSTITUTE($A37," ",""),"-",""),".",""),"/",""),"i","I"),"ı","?")))</f>
        <v/>
      </c>
      <c r="C37" s="8">
        <f>IF($F37=1,$R37,"")</f>
        <v/>
      </c>
      <c r="D37" s="7">
        <f>IF($A37="","",IF($F37=0,"Biçim hatalı",IF(FIND(MID($B37,11,1),"0123456789")-1=$R37,"Geçerli","Kontrol hanesi hatalı (doğrusu: "&amp;$R37&amp;")")))</f>
        <v/>
      </c>
      <c r="F37">
        <f>IF($A37="","",IF(AND(LEN($B37)=11,SUMPRODUCT(--ISNUMBER(FIND(MID($B37,{1,2,3},1),"ABCDEFGHIJKLMNOPQRSTUVWXYZ")))=3,ISNUMBER(FIND(MID($B37,4,1),"UJZ")),SUMPRODUCT(--ISNUMBER(FIND(MID($B37,{5,6,7,8,9,10,11},1),"0123456789")))=7),1,0))</f>
        <v/>
      </c>
      <c r="G37">
        <f>IF($F37=1,INDEX({10,12,13,14,15,16,17,18,19,20,21,23,24,25,26,27,28,29,30,31,32,34,35,36,37,38},1,FIND(MID($B37,1,1),"ABCDEFGHIJKLMNOPQRSTUVWXYZ")),"")</f>
        <v/>
      </c>
      <c r="H37">
        <f>IF($F37=1,INDEX({10,12,13,14,15,16,17,18,19,20,21,23,24,25,26,27,28,29,30,31,32,34,35,36,37,38},1,FIND(MID($B37,2,1),"ABCDEFGHIJKLMNOPQRSTUVWXYZ")),"")</f>
        <v/>
      </c>
      <c r="I37">
        <f>IF($F37=1,INDEX({10,12,13,14,15,16,17,18,19,20,21,23,24,25,26,27,28,29,30,31,32,34,35,36,37,38},1,FIND(MID($B37,3,1),"ABCDEFGHIJKLMNOPQRSTUVWXYZ")),"")</f>
        <v/>
      </c>
      <c r="J37">
        <f>IF($F37=1,INDEX({10,12,13,14,15,16,17,18,19,20,21,23,24,25,26,27,28,29,30,31,32,34,35,36,37,38},1,FIND(MID($B37,4,1),"ABCDEFGHIJKLMNOPQRSTUVWXYZ")),"")</f>
        <v/>
      </c>
      <c r="K37">
        <f>IF($F37=1,FIND(MID($B37,5,1),"0123456789")-1,"")</f>
        <v/>
      </c>
      <c r="L37">
        <f>IF($F37=1,FIND(MID($B37,6,1),"0123456789")-1,"")</f>
        <v/>
      </c>
      <c r="M37">
        <f>IF($F37=1,FIND(MID($B37,7,1),"0123456789")-1,"")</f>
        <v/>
      </c>
      <c r="N37">
        <f>IF($F37=1,FIND(MID($B37,8,1),"0123456789")-1,"")</f>
        <v/>
      </c>
      <c r="O37">
        <f>IF($F37=1,FIND(MID($B37,9,1),"0123456789")-1,"")</f>
        <v/>
      </c>
      <c r="P37">
        <f>IF($F37=1,FIND(MID($B37,10,1),"0123456789")-1,"")</f>
        <v/>
      </c>
      <c r="Q37">
        <f>IF($F37=1,SUMPRODUCT($G37:$P37,{1,2,4,8,16,32,64,128,256,512}),"")</f>
        <v/>
      </c>
      <c r="R37">
        <f>IF($F37=1,MOD(MOD($Q37,11),10),"")</f>
        <v/>
      </c>
    </row>
    <row r="38">
      <c r="A38" s="6" t="n"/>
      <c r="B38" s="7">
        <f>IF($A38="","",UPPER(SUBSTITUTE(SUBSTITUTE(SUBSTITUTE(SUBSTITUTE(SUBSTITUTE(SUBSTITUTE($A38," ",""),"-",""),".",""),"/",""),"i","I"),"ı","?")))</f>
        <v/>
      </c>
      <c r="C38" s="8">
        <f>IF($F38=1,$R38,"")</f>
        <v/>
      </c>
      <c r="D38" s="7">
        <f>IF($A38="","",IF($F38=0,"Biçim hatalı",IF(FIND(MID($B38,11,1),"0123456789")-1=$R38,"Geçerli","Kontrol hanesi hatalı (doğrusu: "&amp;$R38&amp;")")))</f>
        <v/>
      </c>
      <c r="F38">
        <f>IF($A38="","",IF(AND(LEN($B38)=11,SUMPRODUCT(--ISNUMBER(FIND(MID($B38,{1,2,3},1),"ABCDEFGHIJKLMNOPQRSTUVWXYZ")))=3,ISNUMBER(FIND(MID($B38,4,1),"UJZ")),SUMPRODUCT(--ISNUMBER(FIND(MID($B38,{5,6,7,8,9,10,11},1),"0123456789")))=7),1,0))</f>
        <v/>
      </c>
      <c r="G38">
        <f>IF($F38=1,INDEX({10,12,13,14,15,16,17,18,19,20,21,23,24,25,26,27,28,29,30,31,32,34,35,36,37,38},1,FIND(MID($B38,1,1),"ABCDEFGHIJKLMNOPQRSTUVWXYZ")),"")</f>
        <v/>
      </c>
      <c r="H38">
        <f>IF($F38=1,INDEX({10,12,13,14,15,16,17,18,19,20,21,23,24,25,26,27,28,29,30,31,32,34,35,36,37,38},1,FIND(MID($B38,2,1),"ABCDEFGHIJKLMNOPQRSTUVWXYZ")),"")</f>
        <v/>
      </c>
      <c r="I38">
        <f>IF($F38=1,INDEX({10,12,13,14,15,16,17,18,19,20,21,23,24,25,26,27,28,29,30,31,32,34,35,36,37,38},1,FIND(MID($B38,3,1),"ABCDEFGHIJKLMNOPQRSTUVWXYZ")),"")</f>
        <v/>
      </c>
      <c r="J38">
        <f>IF($F38=1,INDEX({10,12,13,14,15,16,17,18,19,20,21,23,24,25,26,27,28,29,30,31,32,34,35,36,37,38},1,FIND(MID($B38,4,1),"ABCDEFGHIJKLMNOPQRSTUVWXYZ")),"")</f>
        <v/>
      </c>
      <c r="K38">
        <f>IF($F38=1,FIND(MID($B38,5,1),"0123456789")-1,"")</f>
        <v/>
      </c>
      <c r="L38">
        <f>IF($F38=1,FIND(MID($B38,6,1),"0123456789")-1,"")</f>
        <v/>
      </c>
      <c r="M38">
        <f>IF($F38=1,FIND(MID($B38,7,1),"0123456789")-1,"")</f>
        <v/>
      </c>
      <c r="N38">
        <f>IF($F38=1,FIND(MID($B38,8,1),"0123456789")-1,"")</f>
        <v/>
      </c>
      <c r="O38">
        <f>IF($F38=1,FIND(MID($B38,9,1),"0123456789")-1,"")</f>
        <v/>
      </c>
      <c r="P38">
        <f>IF($F38=1,FIND(MID($B38,10,1),"0123456789")-1,"")</f>
        <v/>
      </c>
      <c r="Q38">
        <f>IF($F38=1,SUMPRODUCT($G38:$P38,{1,2,4,8,16,32,64,128,256,512}),"")</f>
        <v/>
      </c>
      <c r="R38">
        <f>IF($F38=1,MOD(MOD($Q38,11),10),"")</f>
        <v/>
      </c>
    </row>
    <row r="39">
      <c r="A39" s="6" t="n"/>
      <c r="B39" s="7">
        <f>IF($A39="","",UPPER(SUBSTITUTE(SUBSTITUTE(SUBSTITUTE(SUBSTITUTE(SUBSTITUTE(SUBSTITUTE($A39," ",""),"-",""),".",""),"/",""),"i","I"),"ı","?")))</f>
        <v/>
      </c>
      <c r="C39" s="8">
        <f>IF($F39=1,$R39,"")</f>
        <v/>
      </c>
      <c r="D39" s="7">
        <f>IF($A39="","",IF($F39=0,"Biçim hatalı",IF(FIND(MID($B39,11,1),"0123456789")-1=$R39,"Geçerli","Kontrol hanesi hatalı (doğrusu: "&amp;$R39&amp;")")))</f>
        <v/>
      </c>
      <c r="F39">
        <f>IF($A39="","",IF(AND(LEN($B39)=11,SUMPRODUCT(--ISNUMBER(FIND(MID($B39,{1,2,3},1),"ABCDEFGHIJKLMNOPQRSTUVWXYZ")))=3,ISNUMBER(FIND(MID($B39,4,1),"UJZ")),SUMPRODUCT(--ISNUMBER(FIND(MID($B39,{5,6,7,8,9,10,11},1),"0123456789")))=7),1,0))</f>
        <v/>
      </c>
      <c r="G39">
        <f>IF($F39=1,INDEX({10,12,13,14,15,16,17,18,19,20,21,23,24,25,26,27,28,29,30,31,32,34,35,36,37,38},1,FIND(MID($B39,1,1),"ABCDEFGHIJKLMNOPQRSTUVWXYZ")),"")</f>
        <v/>
      </c>
      <c r="H39">
        <f>IF($F39=1,INDEX({10,12,13,14,15,16,17,18,19,20,21,23,24,25,26,27,28,29,30,31,32,34,35,36,37,38},1,FIND(MID($B39,2,1),"ABCDEFGHIJKLMNOPQRSTUVWXYZ")),"")</f>
        <v/>
      </c>
      <c r="I39">
        <f>IF($F39=1,INDEX({10,12,13,14,15,16,17,18,19,20,21,23,24,25,26,27,28,29,30,31,32,34,35,36,37,38},1,FIND(MID($B39,3,1),"ABCDEFGHIJKLMNOPQRSTUVWXYZ")),"")</f>
        <v/>
      </c>
      <c r="J39">
        <f>IF($F39=1,INDEX({10,12,13,14,15,16,17,18,19,20,21,23,24,25,26,27,28,29,30,31,32,34,35,36,37,38},1,FIND(MID($B39,4,1),"ABCDEFGHIJKLMNOPQRSTUVWXYZ")),"")</f>
        <v/>
      </c>
      <c r="K39">
        <f>IF($F39=1,FIND(MID($B39,5,1),"0123456789")-1,"")</f>
        <v/>
      </c>
      <c r="L39">
        <f>IF($F39=1,FIND(MID($B39,6,1),"0123456789")-1,"")</f>
        <v/>
      </c>
      <c r="M39">
        <f>IF($F39=1,FIND(MID($B39,7,1),"0123456789")-1,"")</f>
        <v/>
      </c>
      <c r="N39">
        <f>IF($F39=1,FIND(MID($B39,8,1),"0123456789")-1,"")</f>
        <v/>
      </c>
      <c r="O39">
        <f>IF($F39=1,FIND(MID($B39,9,1),"0123456789")-1,"")</f>
        <v/>
      </c>
      <c r="P39">
        <f>IF($F39=1,FIND(MID($B39,10,1),"0123456789")-1,"")</f>
        <v/>
      </c>
      <c r="Q39">
        <f>IF($F39=1,SUMPRODUCT($G39:$P39,{1,2,4,8,16,32,64,128,256,512}),"")</f>
        <v/>
      </c>
      <c r="R39">
        <f>IF($F39=1,MOD(MOD($Q39,11),10),"")</f>
        <v/>
      </c>
    </row>
    <row r="40">
      <c r="A40" s="6" t="n"/>
      <c r="B40" s="7">
        <f>IF($A40="","",UPPER(SUBSTITUTE(SUBSTITUTE(SUBSTITUTE(SUBSTITUTE(SUBSTITUTE(SUBSTITUTE($A40," ",""),"-",""),".",""),"/",""),"i","I"),"ı","?")))</f>
        <v/>
      </c>
      <c r="C40" s="8">
        <f>IF($F40=1,$R40,"")</f>
        <v/>
      </c>
      <c r="D40" s="7">
        <f>IF($A40="","",IF($F40=0,"Biçim hatalı",IF(FIND(MID($B40,11,1),"0123456789")-1=$R40,"Geçerli","Kontrol hanesi hatalı (doğrusu: "&amp;$R40&amp;")")))</f>
        <v/>
      </c>
      <c r="F40">
        <f>IF($A40="","",IF(AND(LEN($B40)=11,SUMPRODUCT(--ISNUMBER(FIND(MID($B40,{1,2,3},1),"ABCDEFGHIJKLMNOPQRSTUVWXYZ")))=3,ISNUMBER(FIND(MID($B40,4,1),"UJZ")),SUMPRODUCT(--ISNUMBER(FIND(MID($B40,{5,6,7,8,9,10,11},1),"0123456789")))=7),1,0))</f>
        <v/>
      </c>
      <c r="G40">
        <f>IF($F40=1,INDEX({10,12,13,14,15,16,17,18,19,20,21,23,24,25,26,27,28,29,30,31,32,34,35,36,37,38},1,FIND(MID($B40,1,1),"ABCDEFGHIJKLMNOPQRSTUVWXYZ")),"")</f>
        <v/>
      </c>
      <c r="H40">
        <f>IF($F40=1,INDEX({10,12,13,14,15,16,17,18,19,20,21,23,24,25,26,27,28,29,30,31,32,34,35,36,37,38},1,FIND(MID($B40,2,1),"ABCDEFGHIJKLMNOPQRSTUVWXYZ")),"")</f>
        <v/>
      </c>
      <c r="I40">
        <f>IF($F40=1,INDEX({10,12,13,14,15,16,17,18,19,20,21,23,24,25,26,27,28,29,30,31,32,34,35,36,37,38},1,FIND(MID($B40,3,1),"ABCDEFGHIJKLMNOPQRSTUVWXYZ")),"")</f>
        <v/>
      </c>
      <c r="J40">
        <f>IF($F40=1,INDEX({10,12,13,14,15,16,17,18,19,20,21,23,24,25,26,27,28,29,30,31,32,34,35,36,37,38},1,FIND(MID($B40,4,1),"ABCDEFGHIJKLMNOPQRSTUVWXYZ")),"")</f>
        <v/>
      </c>
      <c r="K40">
        <f>IF($F40=1,FIND(MID($B40,5,1),"0123456789")-1,"")</f>
        <v/>
      </c>
      <c r="L40">
        <f>IF($F40=1,FIND(MID($B40,6,1),"0123456789")-1,"")</f>
        <v/>
      </c>
      <c r="M40">
        <f>IF($F40=1,FIND(MID($B40,7,1),"0123456789")-1,"")</f>
        <v/>
      </c>
      <c r="N40">
        <f>IF($F40=1,FIND(MID($B40,8,1),"0123456789")-1,"")</f>
        <v/>
      </c>
      <c r="O40">
        <f>IF($F40=1,FIND(MID($B40,9,1),"0123456789")-1,"")</f>
        <v/>
      </c>
      <c r="P40">
        <f>IF($F40=1,FIND(MID($B40,10,1),"0123456789")-1,"")</f>
        <v/>
      </c>
      <c r="Q40">
        <f>IF($F40=1,SUMPRODUCT($G40:$P40,{1,2,4,8,16,32,64,128,256,512}),"")</f>
        <v/>
      </c>
      <c r="R40">
        <f>IF($F40=1,MOD(MOD($Q40,11),10),"")</f>
        <v/>
      </c>
    </row>
    <row r="41">
      <c r="A41" s="6" t="n"/>
      <c r="B41" s="7">
        <f>IF($A41="","",UPPER(SUBSTITUTE(SUBSTITUTE(SUBSTITUTE(SUBSTITUTE(SUBSTITUTE(SUBSTITUTE($A41," ",""),"-",""),".",""),"/",""),"i","I"),"ı","?")))</f>
        <v/>
      </c>
      <c r="C41" s="8">
        <f>IF($F41=1,$R41,"")</f>
        <v/>
      </c>
      <c r="D41" s="7">
        <f>IF($A41="","",IF($F41=0,"Biçim hatalı",IF(FIND(MID($B41,11,1),"0123456789")-1=$R41,"Geçerli","Kontrol hanesi hatalı (doğrusu: "&amp;$R41&amp;")")))</f>
        <v/>
      </c>
      <c r="F41">
        <f>IF($A41="","",IF(AND(LEN($B41)=11,SUMPRODUCT(--ISNUMBER(FIND(MID($B41,{1,2,3},1),"ABCDEFGHIJKLMNOPQRSTUVWXYZ")))=3,ISNUMBER(FIND(MID($B41,4,1),"UJZ")),SUMPRODUCT(--ISNUMBER(FIND(MID($B41,{5,6,7,8,9,10,11},1),"0123456789")))=7),1,0))</f>
        <v/>
      </c>
      <c r="G41">
        <f>IF($F41=1,INDEX({10,12,13,14,15,16,17,18,19,20,21,23,24,25,26,27,28,29,30,31,32,34,35,36,37,38},1,FIND(MID($B41,1,1),"ABCDEFGHIJKLMNOPQRSTUVWXYZ")),"")</f>
        <v/>
      </c>
      <c r="H41">
        <f>IF($F41=1,INDEX({10,12,13,14,15,16,17,18,19,20,21,23,24,25,26,27,28,29,30,31,32,34,35,36,37,38},1,FIND(MID($B41,2,1),"ABCDEFGHIJKLMNOPQRSTUVWXYZ")),"")</f>
        <v/>
      </c>
      <c r="I41">
        <f>IF($F41=1,INDEX({10,12,13,14,15,16,17,18,19,20,21,23,24,25,26,27,28,29,30,31,32,34,35,36,37,38},1,FIND(MID($B41,3,1),"ABCDEFGHIJKLMNOPQRSTUVWXYZ")),"")</f>
        <v/>
      </c>
      <c r="J41">
        <f>IF($F41=1,INDEX({10,12,13,14,15,16,17,18,19,20,21,23,24,25,26,27,28,29,30,31,32,34,35,36,37,38},1,FIND(MID($B41,4,1),"ABCDEFGHIJKLMNOPQRSTUVWXYZ")),"")</f>
        <v/>
      </c>
      <c r="K41">
        <f>IF($F41=1,FIND(MID($B41,5,1),"0123456789")-1,"")</f>
        <v/>
      </c>
      <c r="L41">
        <f>IF($F41=1,FIND(MID($B41,6,1),"0123456789")-1,"")</f>
        <v/>
      </c>
      <c r="M41">
        <f>IF($F41=1,FIND(MID($B41,7,1),"0123456789")-1,"")</f>
        <v/>
      </c>
      <c r="N41">
        <f>IF($F41=1,FIND(MID($B41,8,1),"0123456789")-1,"")</f>
        <v/>
      </c>
      <c r="O41">
        <f>IF($F41=1,FIND(MID($B41,9,1),"0123456789")-1,"")</f>
        <v/>
      </c>
      <c r="P41">
        <f>IF($F41=1,FIND(MID($B41,10,1),"0123456789")-1,"")</f>
        <v/>
      </c>
      <c r="Q41">
        <f>IF($F41=1,SUMPRODUCT($G41:$P41,{1,2,4,8,16,32,64,128,256,512}),"")</f>
        <v/>
      </c>
      <c r="R41">
        <f>IF($F41=1,MOD(MOD($Q41,11),10),"")</f>
        <v/>
      </c>
    </row>
    <row r="42">
      <c r="A42" s="6" t="n"/>
      <c r="B42" s="7">
        <f>IF($A42="","",UPPER(SUBSTITUTE(SUBSTITUTE(SUBSTITUTE(SUBSTITUTE(SUBSTITUTE(SUBSTITUTE($A42," ",""),"-",""),".",""),"/",""),"i","I"),"ı","?")))</f>
        <v/>
      </c>
      <c r="C42" s="8">
        <f>IF($F42=1,$R42,"")</f>
        <v/>
      </c>
      <c r="D42" s="7">
        <f>IF($A42="","",IF($F42=0,"Biçim hatalı",IF(FIND(MID($B42,11,1),"0123456789")-1=$R42,"Geçerli","Kontrol hanesi hatalı (doğrusu: "&amp;$R42&amp;")")))</f>
        <v/>
      </c>
      <c r="F42">
        <f>IF($A42="","",IF(AND(LEN($B42)=11,SUMPRODUCT(--ISNUMBER(FIND(MID($B42,{1,2,3},1),"ABCDEFGHIJKLMNOPQRSTUVWXYZ")))=3,ISNUMBER(FIND(MID($B42,4,1),"UJZ")),SUMPRODUCT(--ISNUMBER(FIND(MID($B42,{5,6,7,8,9,10,11},1),"0123456789")))=7),1,0))</f>
        <v/>
      </c>
      <c r="G42">
        <f>IF($F42=1,INDEX({10,12,13,14,15,16,17,18,19,20,21,23,24,25,26,27,28,29,30,31,32,34,35,36,37,38},1,FIND(MID($B42,1,1),"ABCDEFGHIJKLMNOPQRSTUVWXYZ")),"")</f>
        <v/>
      </c>
      <c r="H42">
        <f>IF($F42=1,INDEX({10,12,13,14,15,16,17,18,19,20,21,23,24,25,26,27,28,29,30,31,32,34,35,36,37,38},1,FIND(MID($B42,2,1),"ABCDEFGHIJKLMNOPQRSTUVWXYZ")),"")</f>
        <v/>
      </c>
      <c r="I42">
        <f>IF($F42=1,INDEX({10,12,13,14,15,16,17,18,19,20,21,23,24,25,26,27,28,29,30,31,32,34,35,36,37,38},1,FIND(MID($B42,3,1),"ABCDEFGHIJKLMNOPQRSTUVWXYZ")),"")</f>
        <v/>
      </c>
      <c r="J42">
        <f>IF($F42=1,INDEX({10,12,13,14,15,16,17,18,19,20,21,23,24,25,26,27,28,29,30,31,32,34,35,36,37,38},1,FIND(MID($B42,4,1),"ABCDEFGHIJKLMNOPQRSTUVWXYZ")),"")</f>
        <v/>
      </c>
      <c r="K42">
        <f>IF($F42=1,FIND(MID($B42,5,1),"0123456789")-1,"")</f>
        <v/>
      </c>
      <c r="L42">
        <f>IF($F42=1,FIND(MID($B42,6,1),"0123456789")-1,"")</f>
        <v/>
      </c>
      <c r="M42">
        <f>IF($F42=1,FIND(MID($B42,7,1),"0123456789")-1,"")</f>
        <v/>
      </c>
      <c r="N42">
        <f>IF($F42=1,FIND(MID($B42,8,1),"0123456789")-1,"")</f>
        <v/>
      </c>
      <c r="O42">
        <f>IF($F42=1,FIND(MID($B42,9,1),"0123456789")-1,"")</f>
        <v/>
      </c>
      <c r="P42">
        <f>IF($F42=1,FIND(MID($B42,10,1),"0123456789")-1,"")</f>
        <v/>
      </c>
      <c r="Q42">
        <f>IF($F42=1,SUMPRODUCT($G42:$P42,{1,2,4,8,16,32,64,128,256,512}),"")</f>
        <v/>
      </c>
      <c r="R42">
        <f>IF($F42=1,MOD(MOD($Q42,11),10),"")</f>
        <v/>
      </c>
    </row>
    <row r="43">
      <c r="A43" s="6" t="n"/>
      <c r="B43" s="7">
        <f>IF($A43="","",UPPER(SUBSTITUTE(SUBSTITUTE(SUBSTITUTE(SUBSTITUTE(SUBSTITUTE(SUBSTITUTE($A43," ",""),"-",""),".",""),"/",""),"i","I"),"ı","?")))</f>
        <v/>
      </c>
      <c r="C43" s="8">
        <f>IF($F43=1,$R43,"")</f>
        <v/>
      </c>
      <c r="D43" s="7">
        <f>IF($A43="","",IF($F43=0,"Biçim hatalı",IF(FIND(MID($B43,11,1),"0123456789")-1=$R43,"Geçerli","Kontrol hanesi hatalı (doğrusu: "&amp;$R43&amp;")")))</f>
        <v/>
      </c>
      <c r="F43">
        <f>IF($A43="","",IF(AND(LEN($B43)=11,SUMPRODUCT(--ISNUMBER(FIND(MID($B43,{1,2,3},1),"ABCDEFGHIJKLMNOPQRSTUVWXYZ")))=3,ISNUMBER(FIND(MID($B43,4,1),"UJZ")),SUMPRODUCT(--ISNUMBER(FIND(MID($B43,{5,6,7,8,9,10,11},1),"0123456789")))=7),1,0))</f>
        <v/>
      </c>
      <c r="G43">
        <f>IF($F43=1,INDEX({10,12,13,14,15,16,17,18,19,20,21,23,24,25,26,27,28,29,30,31,32,34,35,36,37,38},1,FIND(MID($B43,1,1),"ABCDEFGHIJKLMNOPQRSTUVWXYZ")),"")</f>
        <v/>
      </c>
      <c r="H43">
        <f>IF($F43=1,INDEX({10,12,13,14,15,16,17,18,19,20,21,23,24,25,26,27,28,29,30,31,32,34,35,36,37,38},1,FIND(MID($B43,2,1),"ABCDEFGHIJKLMNOPQRSTUVWXYZ")),"")</f>
        <v/>
      </c>
      <c r="I43">
        <f>IF($F43=1,INDEX({10,12,13,14,15,16,17,18,19,20,21,23,24,25,26,27,28,29,30,31,32,34,35,36,37,38},1,FIND(MID($B43,3,1),"ABCDEFGHIJKLMNOPQRSTUVWXYZ")),"")</f>
        <v/>
      </c>
      <c r="J43">
        <f>IF($F43=1,INDEX({10,12,13,14,15,16,17,18,19,20,21,23,24,25,26,27,28,29,30,31,32,34,35,36,37,38},1,FIND(MID($B43,4,1),"ABCDEFGHIJKLMNOPQRSTUVWXYZ")),"")</f>
        <v/>
      </c>
      <c r="K43">
        <f>IF($F43=1,FIND(MID($B43,5,1),"0123456789")-1,"")</f>
        <v/>
      </c>
      <c r="L43">
        <f>IF($F43=1,FIND(MID($B43,6,1),"0123456789")-1,"")</f>
        <v/>
      </c>
      <c r="M43">
        <f>IF($F43=1,FIND(MID($B43,7,1),"0123456789")-1,"")</f>
        <v/>
      </c>
      <c r="N43">
        <f>IF($F43=1,FIND(MID($B43,8,1),"0123456789")-1,"")</f>
        <v/>
      </c>
      <c r="O43">
        <f>IF($F43=1,FIND(MID($B43,9,1),"0123456789")-1,"")</f>
        <v/>
      </c>
      <c r="P43">
        <f>IF($F43=1,FIND(MID($B43,10,1),"0123456789")-1,"")</f>
        <v/>
      </c>
      <c r="Q43">
        <f>IF($F43=1,SUMPRODUCT($G43:$P43,{1,2,4,8,16,32,64,128,256,512}),"")</f>
        <v/>
      </c>
      <c r="R43">
        <f>IF($F43=1,MOD(MOD($Q43,11),10),"")</f>
        <v/>
      </c>
    </row>
    <row r="44">
      <c r="A44" s="6" t="n"/>
      <c r="B44" s="7">
        <f>IF($A44="","",UPPER(SUBSTITUTE(SUBSTITUTE(SUBSTITUTE(SUBSTITUTE(SUBSTITUTE(SUBSTITUTE($A44," ",""),"-",""),".",""),"/",""),"i","I"),"ı","?")))</f>
        <v/>
      </c>
      <c r="C44" s="8">
        <f>IF($F44=1,$R44,"")</f>
        <v/>
      </c>
      <c r="D44" s="7">
        <f>IF($A44="","",IF($F44=0,"Biçim hatalı",IF(FIND(MID($B44,11,1),"0123456789")-1=$R44,"Geçerli","Kontrol hanesi hatalı (doğrusu: "&amp;$R44&amp;")")))</f>
        <v/>
      </c>
      <c r="F44">
        <f>IF($A44="","",IF(AND(LEN($B44)=11,SUMPRODUCT(--ISNUMBER(FIND(MID($B44,{1,2,3},1),"ABCDEFGHIJKLMNOPQRSTUVWXYZ")))=3,ISNUMBER(FIND(MID($B44,4,1),"UJZ")),SUMPRODUCT(--ISNUMBER(FIND(MID($B44,{5,6,7,8,9,10,11},1),"0123456789")))=7),1,0))</f>
        <v/>
      </c>
      <c r="G44">
        <f>IF($F44=1,INDEX({10,12,13,14,15,16,17,18,19,20,21,23,24,25,26,27,28,29,30,31,32,34,35,36,37,38},1,FIND(MID($B44,1,1),"ABCDEFGHIJKLMNOPQRSTUVWXYZ")),"")</f>
        <v/>
      </c>
      <c r="H44">
        <f>IF($F44=1,INDEX({10,12,13,14,15,16,17,18,19,20,21,23,24,25,26,27,28,29,30,31,32,34,35,36,37,38},1,FIND(MID($B44,2,1),"ABCDEFGHIJKLMNOPQRSTUVWXYZ")),"")</f>
        <v/>
      </c>
      <c r="I44">
        <f>IF($F44=1,INDEX({10,12,13,14,15,16,17,18,19,20,21,23,24,25,26,27,28,29,30,31,32,34,35,36,37,38},1,FIND(MID($B44,3,1),"ABCDEFGHIJKLMNOPQRSTUVWXYZ")),"")</f>
        <v/>
      </c>
      <c r="J44">
        <f>IF($F44=1,INDEX({10,12,13,14,15,16,17,18,19,20,21,23,24,25,26,27,28,29,30,31,32,34,35,36,37,38},1,FIND(MID($B44,4,1),"ABCDEFGHIJKLMNOPQRSTUVWXYZ")),"")</f>
        <v/>
      </c>
      <c r="K44">
        <f>IF($F44=1,FIND(MID($B44,5,1),"0123456789")-1,"")</f>
        <v/>
      </c>
      <c r="L44">
        <f>IF($F44=1,FIND(MID($B44,6,1),"0123456789")-1,"")</f>
        <v/>
      </c>
      <c r="M44">
        <f>IF($F44=1,FIND(MID($B44,7,1),"0123456789")-1,"")</f>
        <v/>
      </c>
      <c r="N44">
        <f>IF($F44=1,FIND(MID($B44,8,1),"0123456789")-1,"")</f>
        <v/>
      </c>
      <c r="O44">
        <f>IF($F44=1,FIND(MID($B44,9,1),"0123456789")-1,"")</f>
        <v/>
      </c>
      <c r="P44">
        <f>IF($F44=1,FIND(MID($B44,10,1),"0123456789")-1,"")</f>
        <v/>
      </c>
      <c r="Q44">
        <f>IF($F44=1,SUMPRODUCT($G44:$P44,{1,2,4,8,16,32,64,128,256,512}),"")</f>
        <v/>
      </c>
      <c r="R44">
        <f>IF($F44=1,MOD(MOD($Q44,11),10),"")</f>
        <v/>
      </c>
    </row>
    <row r="45">
      <c r="A45" s="6" t="n"/>
      <c r="B45" s="7">
        <f>IF($A45="","",UPPER(SUBSTITUTE(SUBSTITUTE(SUBSTITUTE(SUBSTITUTE(SUBSTITUTE(SUBSTITUTE($A45," ",""),"-",""),".",""),"/",""),"i","I"),"ı","?")))</f>
        <v/>
      </c>
      <c r="C45" s="8">
        <f>IF($F45=1,$R45,"")</f>
        <v/>
      </c>
      <c r="D45" s="7">
        <f>IF($A45="","",IF($F45=0,"Biçim hatalı",IF(FIND(MID($B45,11,1),"0123456789")-1=$R45,"Geçerli","Kontrol hanesi hatalı (doğrusu: "&amp;$R45&amp;")")))</f>
        <v/>
      </c>
      <c r="F45">
        <f>IF($A45="","",IF(AND(LEN($B45)=11,SUMPRODUCT(--ISNUMBER(FIND(MID($B45,{1,2,3},1),"ABCDEFGHIJKLMNOPQRSTUVWXYZ")))=3,ISNUMBER(FIND(MID($B45,4,1),"UJZ")),SUMPRODUCT(--ISNUMBER(FIND(MID($B45,{5,6,7,8,9,10,11},1),"0123456789")))=7),1,0))</f>
        <v/>
      </c>
      <c r="G45">
        <f>IF($F45=1,INDEX({10,12,13,14,15,16,17,18,19,20,21,23,24,25,26,27,28,29,30,31,32,34,35,36,37,38},1,FIND(MID($B45,1,1),"ABCDEFGHIJKLMNOPQRSTUVWXYZ")),"")</f>
        <v/>
      </c>
      <c r="H45">
        <f>IF($F45=1,INDEX({10,12,13,14,15,16,17,18,19,20,21,23,24,25,26,27,28,29,30,31,32,34,35,36,37,38},1,FIND(MID($B45,2,1),"ABCDEFGHIJKLMNOPQRSTUVWXYZ")),"")</f>
        <v/>
      </c>
      <c r="I45">
        <f>IF($F45=1,INDEX({10,12,13,14,15,16,17,18,19,20,21,23,24,25,26,27,28,29,30,31,32,34,35,36,37,38},1,FIND(MID($B45,3,1),"ABCDEFGHIJKLMNOPQRSTUVWXYZ")),"")</f>
        <v/>
      </c>
      <c r="J45">
        <f>IF($F45=1,INDEX({10,12,13,14,15,16,17,18,19,20,21,23,24,25,26,27,28,29,30,31,32,34,35,36,37,38},1,FIND(MID($B45,4,1),"ABCDEFGHIJKLMNOPQRSTUVWXYZ")),"")</f>
        <v/>
      </c>
      <c r="K45">
        <f>IF($F45=1,FIND(MID($B45,5,1),"0123456789")-1,"")</f>
        <v/>
      </c>
      <c r="L45">
        <f>IF($F45=1,FIND(MID($B45,6,1),"0123456789")-1,"")</f>
        <v/>
      </c>
      <c r="M45">
        <f>IF($F45=1,FIND(MID($B45,7,1),"0123456789")-1,"")</f>
        <v/>
      </c>
      <c r="N45">
        <f>IF($F45=1,FIND(MID($B45,8,1),"0123456789")-1,"")</f>
        <v/>
      </c>
      <c r="O45">
        <f>IF($F45=1,FIND(MID($B45,9,1),"0123456789")-1,"")</f>
        <v/>
      </c>
      <c r="P45">
        <f>IF($F45=1,FIND(MID($B45,10,1),"0123456789")-1,"")</f>
        <v/>
      </c>
      <c r="Q45">
        <f>IF($F45=1,SUMPRODUCT($G45:$P45,{1,2,4,8,16,32,64,128,256,512}),"")</f>
        <v/>
      </c>
      <c r="R45">
        <f>IF($F45=1,MOD(MOD($Q45,11),10),"")</f>
        <v/>
      </c>
    </row>
    <row r="46">
      <c r="A46" s="6" t="n"/>
      <c r="B46" s="7">
        <f>IF($A46="","",UPPER(SUBSTITUTE(SUBSTITUTE(SUBSTITUTE(SUBSTITUTE(SUBSTITUTE(SUBSTITUTE($A46," ",""),"-",""),".",""),"/",""),"i","I"),"ı","?")))</f>
        <v/>
      </c>
      <c r="C46" s="8">
        <f>IF($F46=1,$R46,"")</f>
        <v/>
      </c>
      <c r="D46" s="7">
        <f>IF($A46="","",IF($F46=0,"Biçim hatalı",IF(FIND(MID($B46,11,1),"0123456789")-1=$R46,"Geçerli","Kontrol hanesi hatalı (doğrusu: "&amp;$R46&amp;")")))</f>
        <v/>
      </c>
      <c r="F46">
        <f>IF($A46="","",IF(AND(LEN($B46)=11,SUMPRODUCT(--ISNUMBER(FIND(MID($B46,{1,2,3},1),"ABCDEFGHIJKLMNOPQRSTUVWXYZ")))=3,ISNUMBER(FIND(MID($B46,4,1),"UJZ")),SUMPRODUCT(--ISNUMBER(FIND(MID($B46,{5,6,7,8,9,10,11},1),"0123456789")))=7),1,0))</f>
        <v/>
      </c>
      <c r="G46">
        <f>IF($F46=1,INDEX({10,12,13,14,15,16,17,18,19,20,21,23,24,25,26,27,28,29,30,31,32,34,35,36,37,38},1,FIND(MID($B46,1,1),"ABCDEFGHIJKLMNOPQRSTUVWXYZ")),"")</f>
        <v/>
      </c>
      <c r="H46">
        <f>IF($F46=1,INDEX({10,12,13,14,15,16,17,18,19,20,21,23,24,25,26,27,28,29,30,31,32,34,35,36,37,38},1,FIND(MID($B46,2,1),"ABCDEFGHIJKLMNOPQRSTUVWXYZ")),"")</f>
        <v/>
      </c>
      <c r="I46">
        <f>IF($F46=1,INDEX({10,12,13,14,15,16,17,18,19,20,21,23,24,25,26,27,28,29,30,31,32,34,35,36,37,38},1,FIND(MID($B46,3,1),"ABCDEFGHIJKLMNOPQRSTUVWXYZ")),"")</f>
        <v/>
      </c>
      <c r="J46">
        <f>IF($F46=1,INDEX({10,12,13,14,15,16,17,18,19,20,21,23,24,25,26,27,28,29,30,31,32,34,35,36,37,38},1,FIND(MID($B46,4,1),"ABCDEFGHIJKLMNOPQRSTUVWXYZ")),"")</f>
        <v/>
      </c>
      <c r="K46">
        <f>IF($F46=1,FIND(MID($B46,5,1),"0123456789")-1,"")</f>
        <v/>
      </c>
      <c r="L46">
        <f>IF($F46=1,FIND(MID($B46,6,1),"0123456789")-1,"")</f>
        <v/>
      </c>
      <c r="M46">
        <f>IF($F46=1,FIND(MID($B46,7,1),"0123456789")-1,"")</f>
        <v/>
      </c>
      <c r="N46">
        <f>IF($F46=1,FIND(MID($B46,8,1),"0123456789")-1,"")</f>
        <v/>
      </c>
      <c r="O46">
        <f>IF($F46=1,FIND(MID($B46,9,1),"0123456789")-1,"")</f>
        <v/>
      </c>
      <c r="P46">
        <f>IF($F46=1,FIND(MID($B46,10,1),"0123456789")-1,"")</f>
        <v/>
      </c>
      <c r="Q46">
        <f>IF($F46=1,SUMPRODUCT($G46:$P46,{1,2,4,8,16,32,64,128,256,512}),"")</f>
        <v/>
      </c>
      <c r="R46">
        <f>IF($F46=1,MOD(MOD($Q46,11),10),"")</f>
        <v/>
      </c>
    </row>
    <row r="47">
      <c r="A47" s="6" t="n"/>
      <c r="B47" s="7">
        <f>IF($A47="","",UPPER(SUBSTITUTE(SUBSTITUTE(SUBSTITUTE(SUBSTITUTE(SUBSTITUTE(SUBSTITUTE($A47," ",""),"-",""),".",""),"/",""),"i","I"),"ı","?")))</f>
        <v/>
      </c>
      <c r="C47" s="8">
        <f>IF($F47=1,$R47,"")</f>
        <v/>
      </c>
      <c r="D47" s="7">
        <f>IF($A47="","",IF($F47=0,"Biçim hatalı",IF(FIND(MID($B47,11,1),"0123456789")-1=$R47,"Geçerli","Kontrol hanesi hatalı (doğrusu: "&amp;$R47&amp;")")))</f>
        <v/>
      </c>
      <c r="F47">
        <f>IF($A47="","",IF(AND(LEN($B47)=11,SUMPRODUCT(--ISNUMBER(FIND(MID($B47,{1,2,3},1),"ABCDEFGHIJKLMNOPQRSTUVWXYZ")))=3,ISNUMBER(FIND(MID($B47,4,1),"UJZ")),SUMPRODUCT(--ISNUMBER(FIND(MID($B47,{5,6,7,8,9,10,11},1),"0123456789")))=7),1,0))</f>
        <v/>
      </c>
      <c r="G47">
        <f>IF($F47=1,INDEX({10,12,13,14,15,16,17,18,19,20,21,23,24,25,26,27,28,29,30,31,32,34,35,36,37,38},1,FIND(MID($B47,1,1),"ABCDEFGHIJKLMNOPQRSTUVWXYZ")),"")</f>
        <v/>
      </c>
      <c r="H47">
        <f>IF($F47=1,INDEX({10,12,13,14,15,16,17,18,19,20,21,23,24,25,26,27,28,29,30,31,32,34,35,36,37,38},1,FIND(MID($B47,2,1),"ABCDEFGHIJKLMNOPQRSTUVWXYZ")),"")</f>
        <v/>
      </c>
      <c r="I47">
        <f>IF($F47=1,INDEX({10,12,13,14,15,16,17,18,19,20,21,23,24,25,26,27,28,29,30,31,32,34,35,36,37,38},1,FIND(MID($B47,3,1),"ABCDEFGHIJKLMNOPQRSTUVWXYZ")),"")</f>
        <v/>
      </c>
      <c r="J47">
        <f>IF($F47=1,INDEX({10,12,13,14,15,16,17,18,19,20,21,23,24,25,26,27,28,29,30,31,32,34,35,36,37,38},1,FIND(MID($B47,4,1),"ABCDEFGHIJKLMNOPQRSTUVWXYZ")),"")</f>
        <v/>
      </c>
      <c r="K47">
        <f>IF($F47=1,FIND(MID($B47,5,1),"0123456789")-1,"")</f>
        <v/>
      </c>
      <c r="L47">
        <f>IF($F47=1,FIND(MID($B47,6,1),"0123456789")-1,"")</f>
        <v/>
      </c>
      <c r="M47">
        <f>IF($F47=1,FIND(MID($B47,7,1),"0123456789")-1,"")</f>
        <v/>
      </c>
      <c r="N47">
        <f>IF($F47=1,FIND(MID($B47,8,1),"0123456789")-1,"")</f>
        <v/>
      </c>
      <c r="O47">
        <f>IF($F47=1,FIND(MID($B47,9,1),"0123456789")-1,"")</f>
        <v/>
      </c>
      <c r="P47">
        <f>IF($F47=1,FIND(MID($B47,10,1),"0123456789")-1,"")</f>
        <v/>
      </c>
      <c r="Q47">
        <f>IF($F47=1,SUMPRODUCT($G47:$P47,{1,2,4,8,16,32,64,128,256,512}),"")</f>
        <v/>
      </c>
      <c r="R47">
        <f>IF($F47=1,MOD(MOD($Q47,11),10),"")</f>
        <v/>
      </c>
    </row>
    <row r="48">
      <c r="A48" s="6" t="n"/>
      <c r="B48" s="7">
        <f>IF($A48="","",UPPER(SUBSTITUTE(SUBSTITUTE(SUBSTITUTE(SUBSTITUTE(SUBSTITUTE(SUBSTITUTE($A48," ",""),"-",""),".",""),"/",""),"i","I"),"ı","?")))</f>
        <v/>
      </c>
      <c r="C48" s="8">
        <f>IF($F48=1,$R48,"")</f>
        <v/>
      </c>
      <c r="D48" s="7">
        <f>IF($A48="","",IF($F48=0,"Biçim hatalı",IF(FIND(MID($B48,11,1),"0123456789")-1=$R48,"Geçerli","Kontrol hanesi hatalı (doğrusu: "&amp;$R48&amp;")")))</f>
        <v/>
      </c>
      <c r="F48">
        <f>IF($A48="","",IF(AND(LEN($B48)=11,SUMPRODUCT(--ISNUMBER(FIND(MID($B48,{1,2,3},1),"ABCDEFGHIJKLMNOPQRSTUVWXYZ")))=3,ISNUMBER(FIND(MID($B48,4,1),"UJZ")),SUMPRODUCT(--ISNUMBER(FIND(MID($B48,{5,6,7,8,9,10,11},1),"0123456789")))=7),1,0))</f>
        <v/>
      </c>
      <c r="G48">
        <f>IF($F48=1,INDEX({10,12,13,14,15,16,17,18,19,20,21,23,24,25,26,27,28,29,30,31,32,34,35,36,37,38},1,FIND(MID($B48,1,1),"ABCDEFGHIJKLMNOPQRSTUVWXYZ")),"")</f>
        <v/>
      </c>
      <c r="H48">
        <f>IF($F48=1,INDEX({10,12,13,14,15,16,17,18,19,20,21,23,24,25,26,27,28,29,30,31,32,34,35,36,37,38},1,FIND(MID($B48,2,1),"ABCDEFGHIJKLMNOPQRSTUVWXYZ")),"")</f>
        <v/>
      </c>
      <c r="I48">
        <f>IF($F48=1,INDEX({10,12,13,14,15,16,17,18,19,20,21,23,24,25,26,27,28,29,30,31,32,34,35,36,37,38},1,FIND(MID($B48,3,1),"ABCDEFGHIJKLMNOPQRSTUVWXYZ")),"")</f>
        <v/>
      </c>
      <c r="J48">
        <f>IF($F48=1,INDEX({10,12,13,14,15,16,17,18,19,20,21,23,24,25,26,27,28,29,30,31,32,34,35,36,37,38},1,FIND(MID($B48,4,1),"ABCDEFGHIJKLMNOPQRSTUVWXYZ")),"")</f>
        <v/>
      </c>
      <c r="K48">
        <f>IF($F48=1,FIND(MID($B48,5,1),"0123456789")-1,"")</f>
        <v/>
      </c>
      <c r="L48">
        <f>IF($F48=1,FIND(MID($B48,6,1),"0123456789")-1,"")</f>
        <v/>
      </c>
      <c r="M48">
        <f>IF($F48=1,FIND(MID($B48,7,1),"0123456789")-1,"")</f>
        <v/>
      </c>
      <c r="N48">
        <f>IF($F48=1,FIND(MID($B48,8,1),"0123456789")-1,"")</f>
        <v/>
      </c>
      <c r="O48">
        <f>IF($F48=1,FIND(MID($B48,9,1),"0123456789")-1,"")</f>
        <v/>
      </c>
      <c r="P48">
        <f>IF($F48=1,FIND(MID($B48,10,1),"0123456789")-1,"")</f>
        <v/>
      </c>
      <c r="Q48">
        <f>IF($F48=1,SUMPRODUCT($G48:$P48,{1,2,4,8,16,32,64,128,256,512}),"")</f>
        <v/>
      </c>
      <c r="R48">
        <f>IF($F48=1,MOD(MOD($Q48,11),10),"")</f>
        <v/>
      </c>
    </row>
    <row r="49">
      <c r="A49" s="6" t="n"/>
      <c r="B49" s="7">
        <f>IF($A49="","",UPPER(SUBSTITUTE(SUBSTITUTE(SUBSTITUTE(SUBSTITUTE(SUBSTITUTE(SUBSTITUTE($A49," ",""),"-",""),".",""),"/",""),"i","I"),"ı","?")))</f>
        <v/>
      </c>
      <c r="C49" s="8">
        <f>IF($F49=1,$R49,"")</f>
        <v/>
      </c>
      <c r="D49" s="7">
        <f>IF($A49="","",IF($F49=0,"Biçim hatalı",IF(FIND(MID($B49,11,1),"0123456789")-1=$R49,"Geçerli","Kontrol hanesi hatalı (doğrusu: "&amp;$R49&amp;")")))</f>
        <v/>
      </c>
      <c r="F49">
        <f>IF($A49="","",IF(AND(LEN($B49)=11,SUMPRODUCT(--ISNUMBER(FIND(MID($B49,{1,2,3},1),"ABCDEFGHIJKLMNOPQRSTUVWXYZ")))=3,ISNUMBER(FIND(MID($B49,4,1),"UJZ")),SUMPRODUCT(--ISNUMBER(FIND(MID($B49,{5,6,7,8,9,10,11},1),"0123456789")))=7),1,0))</f>
        <v/>
      </c>
      <c r="G49">
        <f>IF($F49=1,INDEX({10,12,13,14,15,16,17,18,19,20,21,23,24,25,26,27,28,29,30,31,32,34,35,36,37,38},1,FIND(MID($B49,1,1),"ABCDEFGHIJKLMNOPQRSTUVWXYZ")),"")</f>
        <v/>
      </c>
      <c r="H49">
        <f>IF($F49=1,INDEX({10,12,13,14,15,16,17,18,19,20,21,23,24,25,26,27,28,29,30,31,32,34,35,36,37,38},1,FIND(MID($B49,2,1),"ABCDEFGHIJKLMNOPQRSTUVWXYZ")),"")</f>
        <v/>
      </c>
      <c r="I49">
        <f>IF($F49=1,INDEX({10,12,13,14,15,16,17,18,19,20,21,23,24,25,26,27,28,29,30,31,32,34,35,36,37,38},1,FIND(MID($B49,3,1),"ABCDEFGHIJKLMNOPQRSTUVWXYZ")),"")</f>
        <v/>
      </c>
      <c r="J49">
        <f>IF($F49=1,INDEX({10,12,13,14,15,16,17,18,19,20,21,23,24,25,26,27,28,29,30,31,32,34,35,36,37,38},1,FIND(MID($B49,4,1),"ABCDEFGHIJKLMNOPQRSTUVWXYZ")),"")</f>
        <v/>
      </c>
      <c r="K49">
        <f>IF($F49=1,FIND(MID($B49,5,1),"0123456789")-1,"")</f>
        <v/>
      </c>
      <c r="L49">
        <f>IF($F49=1,FIND(MID($B49,6,1),"0123456789")-1,"")</f>
        <v/>
      </c>
      <c r="M49">
        <f>IF($F49=1,FIND(MID($B49,7,1),"0123456789")-1,"")</f>
        <v/>
      </c>
      <c r="N49">
        <f>IF($F49=1,FIND(MID($B49,8,1),"0123456789")-1,"")</f>
        <v/>
      </c>
      <c r="O49">
        <f>IF($F49=1,FIND(MID($B49,9,1),"0123456789")-1,"")</f>
        <v/>
      </c>
      <c r="P49">
        <f>IF($F49=1,FIND(MID($B49,10,1),"0123456789")-1,"")</f>
        <v/>
      </c>
      <c r="Q49">
        <f>IF($F49=1,SUMPRODUCT($G49:$P49,{1,2,4,8,16,32,64,128,256,512}),"")</f>
        <v/>
      </c>
      <c r="R49">
        <f>IF($F49=1,MOD(MOD($Q49,11),10),"")</f>
        <v/>
      </c>
    </row>
    <row r="50">
      <c r="A50" s="6" t="n"/>
      <c r="B50" s="7">
        <f>IF($A50="","",UPPER(SUBSTITUTE(SUBSTITUTE(SUBSTITUTE(SUBSTITUTE(SUBSTITUTE(SUBSTITUTE($A50," ",""),"-",""),".",""),"/",""),"i","I"),"ı","?")))</f>
        <v/>
      </c>
      <c r="C50" s="8">
        <f>IF($F50=1,$R50,"")</f>
        <v/>
      </c>
      <c r="D50" s="7">
        <f>IF($A50="","",IF($F50=0,"Biçim hatalı",IF(FIND(MID($B50,11,1),"0123456789")-1=$R50,"Geçerli","Kontrol hanesi hatalı (doğrusu: "&amp;$R50&amp;")")))</f>
        <v/>
      </c>
      <c r="F50">
        <f>IF($A50="","",IF(AND(LEN($B50)=11,SUMPRODUCT(--ISNUMBER(FIND(MID($B50,{1,2,3},1),"ABCDEFGHIJKLMNOPQRSTUVWXYZ")))=3,ISNUMBER(FIND(MID($B50,4,1),"UJZ")),SUMPRODUCT(--ISNUMBER(FIND(MID($B50,{5,6,7,8,9,10,11},1),"0123456789")))=7),1,0))</f>
        <v/>
      </c>
      <c r="G50">
        <f>IF($F50=1,INDEX({10,12,13,14,15,16,17,18,19,20,21,23,24,25,26,27,28,29,30,31,32,34,35,36,37,38},1,FIND(MID($B50,1,1),"ABCDEFGHIJKLMNOPQRSTUVWXYZ")),"")</f>
        <v/>
      </c>
      <c r="H50">
        <f>IF($F50=1,INDEX({10,12,13,14,15,16,17,18,19,20,21,23,24,25,26,27,28,29,30,31,32,34,35,36,37,38},1,FIND(MID($B50,2,1),"ABCDEFGHIJKLMNOPQRSTUVWXYZ")),"")</f>
        <v/>
      </c>
      <c r="I50">
        <f>IF($F50=1,INDEX({10,12,13,14,15,16,17,18,19,20,21,23,24,25,26,27,28,29,30,31,32,34,35,36,37,38},1,FIND(MID($B50,3,1),"ABCDEFGHIJKLMNOPQRSTUVWXYZ")),"")</f>
        <v/>
      </c>
      <c r="J50">
        <f>IF($F50=1,INDEX({10,12,13,14,15,16,17,18,19,20,21,23,24,25,26,27,28,29,30,31,32,34,35,36,37,38},1,FIND(MID($B50,4,1),"ABCDEFGHIJKLMNOPQRSTUVWXYZ")),"")</f>
        <v/>
      </c>
      <c r="K50">
        <f>IF($F50=1,FIND(MID($B50,5,1),"0123456789")-1,"")</f>
        <v/>
      </c>
      <c r="L50">
        <f>IF($F50=1,FIND(MID($B50,6,1),"0123456789")-1,"")</f>
        <v/>
      </c>
      <c r="M50">
        <f>IF($F50=1,FIND(MID($B50,7,1),"0123456789")-1,"")</f>
        <v/>
      </c>
      <c r="N50">
        <f>IF($F50=1,FIND(MID($B50,8,1),"0123456789")-1,"")</f>
        <v/>
      </c>
      <c r="O50">
        <f>IF($F50=1,FIND(MID($B50,9,1),"0123456789")-1,"")</f>
        <v/>
      </c>
      <c r="P50">
        <f>IF($F50=1,FIND(MID($B50,10,1),"0123456789")-1,"")</f>
        <v/>
      </c>
      <c r="Q50">
        <f>IF($F50=1,SUMPRODUCT($G50:$P50,{1,2,4,8,16,32,64,128,256,512}),"")</f>
        <v/>
      </c>
      <c r="R50">
        <f>IF($F50=1,MOD(MOD($Q50,11),10),"")</f>
        <v/>
      </c>
    </row>
    <row r="51">
      <c r="A51" s="6" t="n"/>
      <c r="B51" s="7">
        <f>IF($A51="","",UPPER(SUBSTITUTE(SUBSTITUTE(SUBSTITUTE(SUBSTITUTE(SUBSTITUTE(SUBSTITUTE($A51," ",""),"-",""),".",""),"/",""),"i","I"),"ı","?")))</f>
        <v/>
      </c>
      <c r="C51" s="8">
        <f>IF($F51=1,$R51,"")</f>
        <v/>
      </c>
      <c r="D51" s="7">
        <f>IF($A51="","",IF($F51=0,"Biçim hatalı",IF(FIND(MID($B51,11,1),"0123456789")-1=$R51,"Geçerli","Kontrol hanesi hatalı (doğrusu: "&amp;$R51&amp;")")))</f>
        <v/>
      </c>
      <c r="F51">
        <f>IF($A51="","",IF(AND(LEN($B51)=11,SUMPRODUCT(--ISNUMBER(FIND(MID($B51,{1,2,3},1),"ABCDEFGHIJKLMNOPQRSTUVWXYZ")))=3,ISNUMBER(FIND(MID($B51,4,1),"UJZ")),SUMPRODUCT(--ISNUMBER(FIND(MID($B51,{5,6,7,8,9,10,11},1),"0123456789")))=7),1,0))</f>
        <v/>
      </c>
      <c r="G51">
        <f>IF($F51=1,INDEX({10,12,13,14,15,16,17,18,19,20,21,23,24,25,26,27,28,29,30,31,32,34,35,36,37,38},1,FIND(MID($B51,1,1),"ABCDEFGHIJKLMNOPQRSTUVWXYZ")),"")</f>
        <v/>
      </c>
      <c r="H51">
        <f>IF($F51=1,INDEX({10,12,13,14,15,16,17,18,19,20,21,23,24,25,26,27,28,29,30,31,32,34,35,36,37,38},1,FIND(MID($B51,2,1),"ABCDEFGHIJKLMNOPQRSTUVWXYZ")),"")</f>
        <v/>
      </c>
      <c r="I51">
        <f>IF($F51=1,INDEX({10,12,13,14,15,16,17,18,19,20,21,23,24,25,26,27,28,29,30,31,32,34,35,36,37,38},1,FIND(MID($B51,3,1),"ABCDEFGHIJKLMNOPQRSTUVWXYZ")),"")</f>
        <v/>
      </c>
      <c r="J51">
        <f>IF($F51=1,INDEX({10,12,13,14,15,16,17,18,19,20,21,23,24,25,26,27,28,29,30,31,32,34,35,36,37,38},1,FIND(MID($B51,4,1),"ABCDEFGHIJKLMNOPQRSTUVWXYZ")),"")</f>
        <v/>
      </c>
      <c r="K51">
        <f>IF($F51=1,FIND(MID($B51,5,1),"0123456789")-1,"")</f>
        <v/>
      </c>
      <c r="L51">
        <f>IF($F51=1,FIND(MID($B51,6,1),"0123456789")-1,"")</f>
        <v/>
      </c>
      <c r="M51">
        <f>IF($F51=1,FIND(MID($B51,7,1),"0123456789")-1,"")</f>
        <v/>
      </c>
      <c r="N51">
        <f>IF($F51=1,FIND(MID($B51,8,1),"0123456789")-1,"")</f>
        <v/>
      </c>
      <c r="O51">
        <f>IF($F51=1,FIND(MID($B51,9,1),"0123456789")-1,"")</f>
        <v/>
      </c>
      <c r="P51">
        <f>IF($F51=1,FIND(MID($B51,10,1),"0123456789")-1,"")</f>
        <v/>
      </c>
      <c r="Q51">
        <f>IF($F51=1,SUMPRODUCT($G51:$P51,{1,2,4,8,16,32,64,128,256,512}),"")</f>
        <v/>
      </c>
      <c r="R51">
        <f>IF($F51=1,MOD(MOD($Q51,11),10),"")</f>
        <v/>
      </c>
    </row>
    <row r="52">
      <c r="A52" s="6" t="n"/>
      <c r="B52" s="7">
        <f>IF($A52="","",UPPER(SUBSTITUTE(SUBSTITUTE(SUBSTITUTE(SUBSTITUTE(SUBSTITUTE(SUBSTITUTE($A52," ",""),"-",""),".",""),"/",""),"i","I"),"ı","?")))</f>
        <v/>
      </c>
      <c r="C52" s="8">
        <f>IF($F52=1,$R52,"")</f>
        <v/>
      </c>
      <c r="D52" s="7">
        <f>IF($A52="","",IF($F52=0,"Biçim hatalı",IF(FIND(MID($B52,11,1),"0123456789")-1=$R52,"Geçerli","Kontrol hanesi hatalı (doğrusu: "&amp;$R52&amp;")")))</f>
        <v/>
      </c>
      <c r="F52">
        <f>IF($A52="","",IF(AND(LEN($B52)=11,SUMPRODUCT(--ISNUMBER(FIND(MID($B52,{1,2,3},1),"ABCDEFGHIJKLMNOPQRSTUVWXYZ")))=3,ISNUMBER(FIND(MID($B52,4,1),"UJZ")),SUMPRODUCT(--ISNUMBER(FIND(MID($B52,{5,6,7,8,9,10,11},1),"0123456789")))=7),1,0))</f>
        <v/>
      </c>
      <c r="G52">
        <f>IF($F52=1,INDEX({10,12,13,14,15,16,17,18,19,20,21,23,24,25,26,27,28,29,30,31,32,34,35,36,37,38},1,FIND(MID($B52,1,1),"ABCDEFGHIJKLMNOPQRSTUVWXYZ")),"")</f>
        <v/>
      </c>
      <c r="H52">
        <f>IF($F52=1,INDEX({10,12,13,14,15,16,17,18,19,20,21,23,24,25,26,27,28,29,30,31,32,34,35,36,37,38},1,FIND(MID($B52,2,1),"ABCDEFGHIJKLMNOPQRSTUVWXYZ")),"")</f>
        <v/>
      </c>
      <c r="I52">
        <f>IF($F52=1,INDEX({10,12,13,14,15,16,17,18,19,20,21,23,24,25,26,27,28,29,30,31,32,34,35,36,37,38},1,FIND(MID($B52,3,1),"ABCDEFGHIJKLMNOPQRSTUVWXYZ")),"")</f>
        <v/>
      </c>
      <c r="J52">
        <f>IF($F52=1,INDEX({10,12,13,14,15,16,17,18,19,20,21,23,24,25,26,27,28,29,30,31,32,34,35,36,37,38},1,FIND(MID($B52,4,1),"ABCDEFGHIJKLMNOPQRSTUVWXYZ")),"")</f>
        <v/>
      </c>
      <c r="K52">
        <f>IF($F52=1,FIND(MID($B52,5,1),"0123456789")-1,"")</f>
        <v/>
      </c>
      <c r="L52">
        <f>IF($F52=1,FIND(MID($B52,6,1),"0123456789")-1,"")</f>
        <v/>
      </c>
      <c r="M52">
        <f>IF($F52=1,FIND(MID($B52,7,1),"0123456789")-1,"")</f>
        <v/>
      </c>
      <c r="N52">
        <f>IF($F52=1,FIND(MID($B52,8,1),"0123456789")-1,"")</f>
        <v/>
      </c>
      <c r="O52">
        <f>IF($F52=1,FIND(MID($B52,9,1),"0123456789")-1,"")</f>
        <v/>
      </c>
      <c r="P52">
        <f>IF($F52=1,FIND(MID($B52,10,1),"0123456789")-1,"")</f>
        <v/>
      </c>
      <c r="Q52">
        <f>IF($F52=1,SUMPRODUCT($G52:$P52,{1,2,4,8,16,32,64,128,256,512}),"")</f>
        <v/>
      </c>
      <c r="R52">
        <f>IF($F52=1,MOD(MOD($Q52,11),10),"")</f>
        <v/>
      </c>
    </row>
    <row r="53">
      <c r="A53" s="6" t="n"/>
      <c r="B53" s="7">
        <f>IF($A53="","",UPPER(SUBSTITUTE(SUBSTITUTE(SUBSTITUTE(SUBSTITUTE(SUBSTITUTE(SUBSTITUTE($A53," ",""),"-",""),".",""),"/",""),"i","I"),"ı","?")))</f>
        <v/>
      </c>
      <c r="C53" s="8">
        <f>IF($F53=1,$R53,"")</f>
        <v/>
      </c>
      <c r="D53" s="7">
        <f>IF($A53="","",IF($F53=0,"Biçim hatalı",IF(FIND(MID($B53,11,1),"0123456789")-1=$R53,"Geçerli","Kontrol hanesi hatalı (doğrusu: "&amp;$R53&amp;")")))</f>
        <v/>
      </c>
      <c r="F53">
        <f>IF($A53="","",IF(AND(LEN($B53)=11,SUMPRODUCT(--ISNUMBER(FIND(MID($B53,{1,2,3},1),"ABCDEFGHIJKLMNOPQRSTUVWXYZ")))=3,ISNUMBER(FIND(MID($B53,4,1),"UJZ")),SUMPRODUCT(--ISNUMBER(FIND(MID($B53,{5,6,7,8,9,10,11},1),"0123456789")))=7),1,0))</f>
        <v/>
      </c>
      <c r="G53">
        <f>IF($F53=1,INDEX({10,12,13,14,15,16,17,18,19,20,21,23,24,25,26,27,28,29,30,31,32,34,35,36,37,38},1,FIND(MID($B53,1,1),"ABCDEFGHIJKLMNOPQRSTUVWXYZ")),"")</f>
        <v/>
      </c>
      <c r="H53">
        <f>IF($F53=1,INDEX({10,12,13,14,15,16,17,18,19,20,21,23,24,25,26,27,28,29,30,31,32,34,35,36,37,38},1,FIND(MID($B53,2,1),"ABCDEFGHIJKLMNOPQRSTUVWXYZ")),"")</f>
        <v/>
      </c>
      <c r="I53">
        <f>IF($F53=1,INDEX({10,12,13,14,15,16,17,18,19,20,21,23,24,25,26,27,28,29,30,31,32,34,35,36,37,38},1,FIND(MID($B53,3,1),"ABCDEFGHIJKLMNOPQRSTUVWXYZ")),"")</f>
        <v/>
      </c>
      <c r="J53">
        <f>IF($F53=1,INDEX({10,12,13,14,15,16,17,18,19,20,21,23,24,25,26,27,28,29,30,31,32,34,35,36,37,38},1,FIND(MID($B53,4,1),"ABCDEFGHIJKLMNOPQRSTUVWXYZ")),"")</f>
        <v/>
      </c>
      <c r="K53">
        <f>IF($F53=1,FIND(MID($B53,5,1),"0123456789")-1,"")</f>
        <v/>
      </c>
      <c r="L53">
        <f>IF($F53=1,FIND(MID($B53,6,1),"0123456789")-1,"")</f>
        <v/>
      </c>
      <c r="M53">
        <f>IF($F53=1,FIND(MID($B53,7,1),"0123456789")-1,"")</f>
        <v/>
      </c>
      <c r="N53">
        <f>IF($F53=1,FIND(MID($B53,8,1),"0123456789")-1,"")</f>
        <v/>
      </c>
      <c r="O53">
        <f>IF($F53=1,FIND(MID($B53,9,1),"0123456789")-1,"")</f>
        <v/>
      </c>
      <c r="P53">
        <f>IF($F53=1,FIND(MID($B53,10,1),"0123456789")-1,"")</f>
        <v/>
      </c>
      <c r="Q53">
        <f>IF($F53=1,SUMPRODUCT($G53:$P53,{1,2,4,8,16,32,64,128,256,512}),"")</f>
        <v/>
      </c>
      <c r="R53">
        <f>IF($F53=1,MOD(MOD($Q53,11),10),"")</f>
        <v/>
      </c>
    </row>
    <row r="54">
      <c r="A54" s="6" t="n"/>
      <c r="B54" s="7">
        <f>IF($A54="","",UPPER(SUBSTITUTE(SUBSTITUTE(SUBSTITUTE(SUBSTITUTE(SUBSTITUTE(SUBSTITUTE($A54," ",""),"-",""),".",""),"/",""),"i","I"),"ı","?")))</f>
        <v/>
      </c>
      <c r="C54" s="8">
        <f>IF($F54=1,$R54,"")</f>
        <v/>
      </c>
      <c r="D54" s="7">
        <f>IF($A54="","",IF($F54=0,"Biçim hatalı",IF(FIND(MID($B54,11,1),"0123456789")-1=$R54,"Geçerli","Kontrol hanesi hatalı (doğrusu: "&amp;$R54&amp;")")))</f>
        <v/>
      </c>
      <c r="F54">
        <f>IF($A54="","",IF(AND(LEN($B54)=11,SUMPRODUCT(--ISNUMBER(FIND(MID($B54,{1,2,3},1),"ABCDEFGHIJKLMNOPQRSTUVWXYZ")))=3,ISNUMBER(FIND(MID($B54,4,1),"UJZ")),SUMPRODUCT(--ISNUMBER(FIND(MID($B54,{5,6,7,8,9,10,11},1),"0123456789")))=7),1,0))</f>
        <v/>
      </c>
      <c r="G54">
        <f>IF($F54=1,INDEX({10,12,13,14,15,16,17,18,19,20,21,23,24,25,26,27,28,29,30,31,32,34,35,36,37,38},1,FIND(MID($B54,1,1),"ABCDEFGHIJKLMNOPQRSTUVWXYZ")),"")</f>
        <v/>
      </c>
      <c r="H54">
        <f>IF($F54=1,INDEX({10,12,13,14,15,16,17,18,19,20,21,23,24,25,26,27,28,29,30,31,32,34,35,36,37,38},1,FIND(MID($B54,2,1),"ABCDEFGHIJKLMNOPQRSTUVWXYZ")),"")</f>
        <v/>
      </c>
      <c r="I54">
        <f>IF($F54=1,INDEX({10,12,13,14,15,16,17,18,19,20,21,23,24,25,26,27,28,29,30,31,32,34,35,36,37,38},1,FIND(MID($B54,3,1),"ABCDEFGHIJKLMNOPQRSTUVWXYZ")),"")</f>
        <v/>
      </c>
      <c r="J54">
        <f>IF($F54=1,INDEX({10,12,13,14,15,16,17,18,19,20,21,23,24,25,26,27,28,29,30,31,32,34,35,36,37,38},1,FIND(MID($B54,4,1),"ABCDEFGHIJKLMNOPQRSTUVWXYZ")),"")</f>
        <v/>
      </c>
      <c r="K54">
        <f>IF($F54=1,FIND(MID($B54,5,1),"0123456789")-1,"")</f>
        <v/>
      </c>
      <c r="L54">
        <f>IF($F54=1,FIND(MID($B54,6,1),"0123456789")-1,"")</f>
        <v/>
      </c>
      <c r="M54">
        <f>IF($F54=1,FIND(MID($B54,7,1),"0123456789")-1,"")</f>
        <v/>
      </c>
      <c r="N54">
        <f>IF($F54=1,FIND(MID($B54,8,1),"0123456789")-1,"")</f>
        <v/>
      </c>
      <c r="O54">
        <f>IF($F54=1,FIND(MID($B54,9,1),"0123456789")-1,"")</f>
        <v/>
      </c>
      <c r="P54">
        <f>IF($F54=1,FIND(MID($B54,10,1),"0123456789")-1,"")</f>
        <v/>
      </c>
      <c r="Q54">
        <f>IF($F54=1,SUMPRODUCT($G54:$P54,{1,2,4,8,16,32,64,128,256,512}),"")</f>
        <v/>
      </c>
      <c r="R54">
        <f>IF($F54=1,MOD(MOD($Q54,11),10),"")</f>
        <v/>
      </c>
    </row>
    <row r="55">
      <c r="A55" s="6" t="n"/>
      <c r="B55" s="7">
        <f>IF($A55="","",UPPER(SUBSTITUTE(SUBSTITUTE(SUBSTITUTE(SUBSTITUTE(SUBSTITUTE(SUBSTITUTE($A55," ",""),"-",""),".",""),"/",""),"i","I"),"ı","?")))</f>
        <v/>
      </c>
      <c r="C55" s="8">
        <f>IF($F55=1,$R55,"")</f>
        <v/>
      </c>
      <c r="D55" s="7">
        <f>IF($A55="","",IF($F55=0,"Biçim hatalı",IF(FIND(MID($B55,11,1),"0123456789")-1=$R55,"Geçerli","Kontrol hanesi hatalı (doğrusu: "&amp;$R55&amp;")")))</f>
        <v/>
      </c>
      <c r="F55">
        <f>IF($A55="","",IF(AND(LEN($B55)=11,SUMPRODUCT(--ISNUMBER(FIND(MID($B55,{1,2,3},1),"ABCDEFGHIJKLMNOPQRSTUVWXYZ")))=3,ISNUMBER(FIND(MID($B55,4,1),"UJZ")),SUMPRODUCT(--ISNUMBER(FIND(MID($B55,{5,6,7,8,9,10,11},1),"0123456789")))=7),1,0))</f>
        <v/>
      </c>
      <c r="G55">
        <f>IF($F55=1,INDEX({10,12,13,14,15,16,17,18,19,20,21,23,24,25,26,27,28,29,30,31,32,34,35,36,37,38},1,FIND(MID($B55,1,1),"ABCDEFGHIJKLMNOPQRSTUVWXYZ")),"")</f>
        <v/>
      </c>
      <c r="H55">
        <f>IF($F55=1,INDEX({10,12,13,14,15,16,17,18,19,20,21,23,24,25,26,27,28,29,30,31,32,34,35,36,37,38},1,FIND(MID($B55,2,1),"ABCDEFGHIJKLMNOPQRSTUVWXYZ")),"")</f>
        <v/>
      </c>
      <c r="I55">
        <f>IF($F55=1,INDEX({10,12,13,14,15,16,17,18,19,20,21,23,24,25,26,27,28,29,30,31,32,34,35,36,37,38},1,FIND(MID($B55,3,1),"ABCDEFGHIJKLMNOPQRSTUVWXYZ")),"")</f>
        <v/>
      </c>
      <c r="J55">
        <f>IF($F55=1,INDEX({10,12,13,14,15,16,17,18,19,20,21,23,24,25,26,27,28,29,30,31,32,34,35,36,37,38},1,FIND(MID($B55,4,1),"ABCDEFGHIJKLMNOPQRSTUVWXYZ")),"")</f>
        <v/>
      </c>
      <c r="K55">
        <f>IF($F55=1,FIND(MID($B55,5,1),"0123456789")-1,"")</f>
        <v/>
      </c>
      <c r="L55">
        <f>IF($F55=1,FIND(MID($B55,6,1),"0123456789")-1,"")</f>
        <v/>
      </c>
      <c r="M55">
        <f>IF($F55=1,FIND(MID($B55,7,1),"0123456789")-1,"")</f>
        <v/>
      </c>
      <c r="N55">
        <f>IF($F55=1,FIND(MID($B55,8,1),"0123456789")-1,"")</f>
        <v/>
      </c>
      <c r="O55">
        <f>IF($F55=1,FIND(MID($B55,9,1),"0123456789")-1,"")</f>
        <v/>
      </c>
      <c r="P55">
        <f>IF($F55=1,FIND(MID($B55,10,1),"0123456789")-1,"")</f>
        <v/>
      </c>
      <c r="Q55">
        <f>IF($F55=1,SUMPRODUCT($G55:$P55,{1,2,4,8,16,32,64,128,256,512}),"")</f>
        <v/>
      </c>
      <c r="R55">
        <f>IF($F55=1,MOD(MOD($Q55,11),10),"")</f>
        <v/>
      </c>
    </row>
    <row r="56">
      <c r="A56" s="6" t="n"/>
      <c r="B56" s="7">
        <f>IF($A56="","",UPPER(SUBSTITUTE(SUBSTITUTE(SUBSTITUTE(SUBSTITUTE(SUBSTITUTE(SUBSTITUTE($A56," ",""),"-",""),".",""),"/",""),"i","I"),"ı","?")))</f>
        <v/>
      </c>
      <c r="C56" s="8">
        <f>IF($F56=1,$R56,"")</f>
        <v/>
      </c>
      <c r="D56" s="7">
        <f>IF($A56="","",IF($F56=0,"Biçim hatalı",IF(FIND(MID($B56,11,1),"0123456789")-1=$R56,"Geçerli","Kontrol hanesi hatalı (doğrusu: "&amp;$R56&amp;")")))</f>
        <v/>
      </c>
      <c r="F56">
        <f>IF($A56="","",IF(AND(LEN($B56)=11,SUMPRODUCT(--ISNUMBER(FIND(MID($B56,{1,2,3},1),"ABCDEFGHIJKLMNOPQRSTUVWXYZ")))=3,ISNUMBER(FIND(MID($B56,4,1),"UJZ")),SUMPRODUCT(--ISNUMBER(FIND(MID($B56,{5,6,7,8,9,10,11},1),"0123456789")))=7),1,0))</f>
        <v/>
      </c>
      <c r="G56">
        <f>IF($F56=1,INDEX({10,12,13,14,15,16,17,18,19,20,21,23,24,25,26,27,28,29,30,31,32,34,35,36,37,38},1,FIND(MID($B56,1,1),"ABCDEFGHIJKLMNOPQRSTUVWXYZ")),"")</f>
        <v/>
      </c>
      <c r="H56">
        <f>IF($F56=1,INDEX({10,12,13,14,15,16,17,18,19,20,21,23,24,25,26,27,28,29,30,31,32,34,35,36,37,38},1,FIND(MID($B56,2,1),"ABCDEFGHIJKLMNOPQRSTUVWXYZ")),"")</f>
        <v/>
      </c>
      <c r="I56">
        <f>IF($F56=1,INDEX({10,12,13,14,15,16,17,18,19,20,21,23,24,25,26,27,28,29,30,31,32,34,35,36,37,38},1,FIND(MID($B56,3,1),"ABCDEFGHIJKLMNOPQRSTUVWXYZ")),"")</f>
        <v/>
      </c>
      <c r="J56">
        <f>IF($F56=1,INDEX({10,12,13,14,15,16,17,18,19,20,21,23,24,25,26,27,28,29,30,31,32,34,35,36,37,38},1,FIND(MID($B56,4,1),"ABCDEFGHIJKLMNOPQRSTUVWXYZ")),"")</f>
        <v/>
      </c>
      <c r="K56">
        <f>IF($F56=1,FIND(MID($B56,5,1),"0123456789")-1,"")</f>
        <v/>
      </c>
      <c r="L56">
        <f>IF($F56=1,FIND(MID($B56,6,1),"0123456789")-1,"")</f>
        <v/>
      </c>
      <c r="M56">
        <f>IF($F56=1,FIND(MID($B56,7,1),"0123456789")-1,"")</f>
        <v/>
      </c>
      <c r="N56">
        <f>IF($F56=1,FIND(MID($B56,8,1),"0123456789")-1,"")</f>
        <v/>
      </c>
      <c r="O56">
        <f>IF($F56=1,FIND(MID($B56,9,1),"0123456789")-1,"")</f>
        <v/>
      </c>
      <c r="P56">
        <f>IF($F56=1,FIND(MID($B56,10,1),"0123456789")-1,"")</f>
        <v/>
      </c>
      <c r="Q56">
        <f>IF($F56=1,SUMPRODUCT($G56:$P56,{1,2,4,8,16,32,64,128,256,512}),"")</f>
        <v/>
      </c>
      <c r="R56">
        <f>IF($F56=1,MOD(MOD($Q56,11),10),"")</f>
        <v/>
      </c>
    </row>
    <row r="57">
      <c r="A57" s="6" t="n"/>
      <c r="B57" s="7">
        <f>IF($A57="","",UPPER(SUBSTITUTE(SUBSTITUTE(SUBSTITUTE(SUBSTITUTE(SUBSTITUTE(SUBSTITUTE($A57," ",""),"-",""),".",""),"/",""),"i","I"),"ı","?")))</f>
        <v/>
      </c>
      <c r="C57" s="8">
        <f>IF($F57=1,$R57,"")</f>
        <v/>
      </c>
      <c r="D57" s="7">
        <f>IF($A57="","",IF($F57=0,"Biçim hatalı",IF(FIND(MID($B57,11,1),"0123456789")-1=$R57,"Geçerli","Kontrol hanesi hatalı (doğrusu: "&amp;$R57&amp;")")))</f>
        <v/>
      </c>
      <c r="F57">
        <f>IF($A57="","",IF(AND(LEN($B57)=11,SUMPRODUCT(--ISNUMBER(FIND(MID($B57,{1,2,3},1),"ABCDEFGHIJKLMNOPQRSTUVWXYZ")))=3,ISNUMBER(FIND(MID($B57,4,1),"UJZ")),SUMPRODUCT(--ISNUMBER(FIND(MID($B57,{5,6,7,8,9,10,11},1),"0123456789")))=7),1,0))</f>
        <v/>
      </c>
      <c r="G57">
        <f>IF($F57=1,INDEX({10,12,13,14,15,16,17,18,19,20,21,23,24,25,26,27,28,29,30,31,32,34,35,36,37,38},1,FIND(MID($B57,1,1),"ABCDEFGHIJKLMNOPQRSTUVWXYZ")),"")</f>
        <v/>
      </c>
      <c r="H57">
        <f>IF($F57=1,INDEX({10,12,13,14,15,16,17,18,19,20,21,23,24,25,26,27,28,29,30,31,32,34,35,36,37,38},1,FIND(MID($B57,2,1),"ABCDEFGHIJKLMNOPQRSTUVWXYZ")),"")</f>
        <v/>
      </c>
      <c r="I57">
        <f>IF($F57=1,INDEX({10,12,13,14,15,16,17,18,19,20,21,23,24,25,26,27,28,29,30,31,32,34,35,36,37,38},1,FIND(MID($B57,3,1),"ABCDEFGHIJKLMNOPQRSTUVWXYZ")),"")</f>
        <v/>
      </c>
      <c r="J57">
        <f>IF($F57=1,INDEX({10,12,13,14,15,16,17,18,19,20,21,23,24,25,26,27,28,29,30,31,32,34,35,36,37,38},1,FIND(MID($B57,4,1),"ABCDEFGHIJKLMNOPQRSTUVWXYZ")),"")</f>
        <v/>
      </c>
      <c r="K57">
        <f>IF($F57=1,FIND(MID($B57,5,1),"0123456789")-1,"")</f>
        <v/>
      </c>
      <c r="L57">
        <f>IF($F57=1,FIND(MID($B57,6,1),"0123456789")-1,"")</f>
        <v/>
      </c>
      <c r="M57">
        <f>IF($F57=1,FIND(MID($B57,7,1),"0123456789")-1,"")</f>
        <v/>
      </c>
      <c r="N57">
        <f>IF($F57=1,FIND(MID($B57,8,1),"0123456789")-1,"")</f>
        <v/>
      </c>
      <c r="O57">
        <f>IF($F57=1,FIND(MID($B57,9,1),"0123456789")-1,"")</f>
        <v/>
      </c>
      <c r="P57">
        <f>IF($F57=1,FIND(MID($B57,10,1),"0123456789")-1,"")</f>
        <v/>
      </c>
      <c r="Q57">
        <f>IF($F57=1,SUMPRODUCT($G57:$P57,{1,2,4,8,16,32,64,128,256,512}),"")</f>
        <v/>
      </c>
      <c r="R57">
        <f>IF($F57=1,MOD(MOD($Q57,11),10),"")</f>
        <v/>
      </c>
    </row>
    <row r="58">
      <c r="A58" s="6" t="n"/>
      <c r="B58" s="7">
        <f>IF($A58="","",UPPER(SUBSTITUTE(SUBSTITUTE(SUBSTITUTE(SUBSTITUTE(SUBSTITUTE(SUBSTITUTE($A58," ",""),"-",""),".",""),"/",""),"i","I"),"ı","?")))</f>
        <v/>
      </c>
      <c r="C58" s="8">
        <f>IF($F58=1,$R58,"")</f>
        <v/>
      </c>
      <c r="D58" s="7">
        <f>IF($A58="","",IF($F58=0,"Biçim hatalı",IF(FIND(MID($B58,11,1),"0123456789")-1=$R58,"Geçerli","Kontrol hanesi hatalı (doğrusu: "&amp;$R58&amp;")")))</f>
        <v/>
      </c>
      <c r="F58">
        <f>IF($A58="","",IF(AND(LEN($B58)=11,SUMPRODUCT(--ISNUMBER(FIND(MID($B58,{1,2,3},1),"ABCDEFGHIJKLMNOPQRSTUVWXYZ")))=3,ISNUMBER(FIND(MID($B58,4,1),"UJZ")),SUMPRODUCT(--ISNUMBER(FIND(MID($B58,{5,6,7,8,9,10,11},1),"0123456789")))=7),1,0))</f>
        <v/>
      </c>
      <c r="G58">
        <f>IF($F58=1,INDEX({10,12,13,14,15,16,17,18,19,20,21,23,24,25,26,27,28,29,30,31,32,34,35,36,37,38},1,FIND(MID($B58,1,1),"ABCDEFGHIJKLMNOPQRSTUVWXYZ")),"")</f>
        <v/>
      </c>
      <c r="H58">
        <f>IF($F58=1,INDEX({10,12,13,14,15,16,17,18,19,20,21,23,24,25,26,27,28,29,30,31,32,34,35,36,37,38},1,FIND(MID($B58,2,1),"ABCDEFGHIJKLMNOPQRSTUVWXYZ")),"")</f>
        <v/>
      </c>
      <c r="I58">
        <f>IF($F58=1,INDEX({10,12,13,14,15,16,17,18,19,20,21,23,24,25,26,27,28,29,30,31,32,34,35,36,37,38},1,FIND(MID($B58,3,1),"ABCDEFGHIJKLMNOPQRSTUVWXYZ")),"")</f>
        <v/>
      </c>
      <c r="J58">
        <f>IF($F58=1,INDEX({10,12,13,14,15,16,17,18,19,20,21,23,24,25,26,27,28,29,30,31,32,34,35,36,37,38},1,FIND(MID($B58,4,1),"ABCDEFGHIJKLMNOPQRSTUVWXYZ")),"")</f>
        <v/>
      </c>
      <c r="K58">
        <f>IF($F58=1,FIND(MID($B58,5,1),"0123456789")-1,"")</f>
        <v/>
      </c>
      <c r="L58">
        <f>IF($F58=1,FIND(MID($B58,6,1),"0123456789")-1,"")</f>
        <v/>
      </c>
      <c r="M58">
        <f>IF($F58=1,FIND(MID($B58,7,1),"0123456789")-1,"")</f>
        <v/>
      </c>
      <c r="N58">
        <f>IF($F58=1,FIND(MID($B58,8,1),"0123456789")-1,"")</f>
        <v/>
      </c>
      <c r="O58">
        <f>IF($F58=1,FIND(MID($B58,9,1),"0123456789")-1,"")</f>
        <v/>
      </c>
      <c r="P58">
        <f>IF($F58=1,FIND(MID($B58,10,1),"0123456789")-1,"")</f>
        <v/>
      </c>
      <c r="Q58">
        <f>IF($F58=1,SUMPRODUCT($G58:$P58,{1,2,4,8,16,32,64,128,256,512}),"")</f>
        <v/>
      </c>
      <c r="R58">
        <f>IF($F58=1,MOD(MOD($Q58,11),10),"")</f>
        <v/>
      </c>
    </row>
    <row r="59">
      <c r="A59" s="6" t="n"/>
      <c r="B59" s="7">
        <f>IF($A59="","",UPPER(SUBSTITUTE(SUBSTITUTE(SUBSTITUTE(SUBSTITUTE(SUBSTITUTE(SUBSTITUTE($A59," ",""),"-",""),".",""),"/",""),"i","I"),"ı","?")))</f>
        <v/>
      </c>
      <c r="C59" s="8">
        <f>IF($F59=1,$R59,"")</f>
        <v/>
      </c>
      <c r="D59" s="7">
        <f>IF($A59="","",IF($F59=0,"Biçim hatalı",IF(FIND(MID($B59,11,1),"0123456789")-1=$R59,"Geçerli","Kontrol hanesi hatalı (doğrusu: "&amp;$R59&amp;")")))</f>
        <v/>
      </c>
      <c r="F59">
        <f>IF($A59="","",IF(AND(LEN($B59)=11,SUMPRODUCT(--ISNUMBER(FIND(MID($B59,{1,2,3},1),"ABCDEFGHIJKLMNOPQRSTUVWXYZ")))=3,ISNUMBER(FIND(MID($B59,4,1),"UJZ")),SUMPRODUCT(--ISNUMBER(FIND(MID($B59,{5,6,7,8,9,10,11},1),"0123456789")))=7),1,0))</f>
        <v/>
      </c>
      <c r="G59">
        <f>IF($F59=1,INDEX({10,12,13,14,15,16,17,18,19,20,21,23,24,25,26,27,28,29,30,31,32,34,35,36,37,38},1,FIND(MID($B59,1,1),"ABCDEFGHIJKLMNOPQRSTUVWXYZ")),"")</f>
        <v/>
      </c>
      <c r="H59">
        <f>IF($F59=1,INDEX({10,12,13,14,15,16,17,18,19,20,21,23,24,25,26,27,28,29,30,31,32,34,35,36,37,38},1,FIND(MID($B59,2,1),"ABCDEFGHIJKLMNOPQRSTUVWXYZ")),"")</f>
        <v/>
      </c>
      <c r="I59">
        <f>IF($F59=1,INDEX({10,12,13,14,15,16,17,18,19,20,21,23,24,25,26,27,28,29,30,31,32,34,35,36,37,38},1,FIND(MID($B59,3,1),"ABCDEFGHIJKLMNOPQRSTUVWXYZ")),"")</f>
        <v/>
      </c>
      <c r="J59">
        <f>IF($F59=1,INDEX({10,12,13,14,15,16,17,18,19,20,21,23,24,25,26,27,28,29,30,31,32,34,35,36,37,38},1,FIND(MID($B59,4,1),"ABCDEFGHIJKLMNOPQRSTUVWXYZ")),"")</f>
        <v/>
      </c>
      <c r="K59">
        <f>IF($F59=1,FIND(MID($B59,5,1),"0123456789")-1,"")</f>
        <v/>
      </c>
      <c r="L59">
        <f>IF($F59=1,FIND(MID($B59,6,1),"0123456789")-1,"")</f>
        <v/>
      </c>
      <c r="M59">
        <f>IF($F59=1,FIND(MID($B59,7,1),"0123456789")-1,"")</f>
        <v/>
      </c>
      <c r="N59">
        <f>IF($F59=1,FIND(MID($B59,8,1),"0123456789")-1,"")</f>
        <v/>
      </c>
      <c r="O59">
        <f>IF($F59=1,FIND(MID($B59,9,1),"0123456789")-1,"")</f>
        <v/>
      </c>
      <c r="P59">
        <f>IF($F59=1,FIND(MID($B59,10,1),"0123456789")-1,"")</f>
        <v/>
      </c>
      <c r="Q59">
        <f>IF($F59=1,SUMPRODUCT($G59:$P59,{1,2,4,8,16,32,64,128,256,512}),"")</f>
        <v/>
      </c>
      <c r="R59">
        <f>IF($F59=1,MOD(MOD($Q59,11),10),"")</f>
        <v/>
      </c>
    </row>
    <row r="60">
      <c r="A60" s="6" t="n"/>
      <c r="B60" s="7">
        <f>IF($A60="","",UPPER(SUBSTITUTE(SUBSTITUTE(SUBSTITUTE(SUBSTITUTE(SUBSTITUTE(SUBSTITUTE($A60," ",""),"-",""),".",""),"/",""),"i","I"),"ı","?")))</f>
        <v/>
      </c>
      <c r="C60" s="8">
        <f>IF($F60=1,$R60,"")</f>
        <v/>
      </c>
      <c r="D60" s="7">
        <f>IF($A60="","",IF($F60=0,"Biçim hatalı",IF(FIND(MID($B60,11,1),"0123456789")-1=$R60,"Geçerli","Kontrol hanesi hatalı (doğrusu: "&amp;$R60&amp;")")))</f>
        <v/>
      </c>
      <c r="F60">
        <f>IF($A60="","",IF(AND(LEN($B60)=11,SUMPRODUCT(--ISNUMBER(FIND(MID($B60,{1,2,3},1),"ABCDEFGHIJKLMNOPQRSTUVWXYZ")))=3,ISNUMBER(FIND(MID($B60,4,1),"UJZ")),SUMPRODUCT(--ISNUMBER(FIND(MID($B60,{5,6,7,8,9,10,11},1),"0123456789")))=7),1,0))</f>
        <v/>
      </c>
      <c r="G60">
        <f>IF($F60=1,INDEX({10,12,13,14,15,16,17,18,19,20,21,23,24,25,26,27,28,29,30,31,32,34,35,36,37,38},1,FIND(MID($B60,1,1),"ABCDEFGHIJKLMNOPQRSTUVWXYZ")),"")</f>
        <v/>
      </c>
      <c r="H60">
        <f>IF($F60=1,INDEX({10,12,13,14,15,16,17,18,19,20,21,23,24,25,26,27,28,29,30,31,32,34,35,36,37,38},1,FIND(MID($B60,2,1),"ABCDEFGHIJKLMNOPQRSTUVWXYZ")),"")</f>
        <v/>
      </c>
      <c r="I60">
        <f>IF($F60=1,INDEX({10,12,13,14,15,16,17,18,19,20,21,23,24,25,26,27,28,29,30,31,32,34,35,36,37,38},1,FIND(MID($B60,3,1),"ABCDEFGHIJKLMNOPQRSTUVWXYZ")),"")</f>
        <v/>
      </c>
      <c r="J60">
        <f>IF($F60=1,INDEX({10,12,13,14,15,16,17,18,19,20,21,23,24,25,26,27,28,29,30,31,32,34,35,36,37,38},1,FIND(MID($B60,4,1),"ABCDEFGHIJKLMNOPQRSTUVWXYZ")),"")</f>
        <v/>
      </c>
      <c r="K60">
        <f>IF($F60=1,FIND(MID($B60,5,1),"0123456789")-1,"")</f>
        <v/>
      </c>
      <c r="L60">
        <f>IF($F60=1,FIND(MID($B60,6,1),"0123456789")-1,"")</f>
        <v/>
      </c>
      <c r="M60">
        <f>IF($F60=1,FIND(MID($B60,7,1),"0123456789")-1,"")</f>
        <v/>
      </c>
      <c r="N60">
        <f>IF($F60=1,FIND(MID($B60,8,1),"0123456789")-1,"")</f>
        <v/>
      </c>
      <c r="O60">
        <f>IF($F60=1,FIND(MID($B60,9,1),"0123456789")-1,"")</f>
        <v/>
      </c>
      <c r="P60">
        <f>IF($F60=1,FIND(MID($B60,10,1),"0123456789")-1,"")</f>
        <v/>
      </c>
      <c r="Q60">
        <f>IF($F60=1,SUMPRODUCT($G60:$P60,{1,2,4,8,16,32,64,128,256,512}),"")</f>
        <v/>
      </c>
      <c r="R60">
        <f>IF($F60=1,MOD(MOD($Q60,11),10),"")</f>
        <v/>
      </c>
    </row>
    <row r="61">
      <c r="A61" s="6" t="n"/>
      <c r="B61" s="7">
        <f>IF($A61="","",UPPER(SUBSTITUTE(SUBSTITUTE(SUBSTITUTE(SUBSTITUTE(SUBSTITUTE(SUBSTITUTE($A61," ",""),"-",""),".",""),"/",""),"i","I"),"ı","?")))</f>
        <v/>
      </c>
      <c r="C61" s="8">
        <f>IF($F61=1,$R61,"")</f>
        <v/>
      </c>
      <c r="D61" s="7">
        <f>IF($A61="","",IF($F61=0,"Biçim hatalı",IF(FIND(MID($B61,11,1),"0123456789")-1=$R61,"Geçerli","Kontrol hanesi hatalı (doğrusu: "&amp;$R61&amp;")")))</f>
        <v/>
      </c>
      <c r="F61">
        <f>IF($A61="","",IF(AND(LEN($B61)=11,SUMPRODUCT(--ISNUMBER(FIND(MID($B61,{1,2,3},1),"ABCDEFGHIJKLMNOPQRSTUVWXYZ")))=3,ISNUMBER(FIND(MID($B61,4,1),"UJZ")),SUMPRODUCT(--ISNUMBER(FIND(MID($B61,{5,6,7,8,9,10,11},1),"0123456789")))=7),1,0))</f>
        <v/>
      </c>
      <c r="G61">
        <f>IF($F61=1,INDEX({10,12,13,14,15,16,17,18,19,20,21,23,24,25,26,27,28,29,30,31,32,34,35,36,37,38},1,FIND(MID($B61,1,1),"ABCDEFGHIJKLMNOPQRSTUVWXYZ")),"")</f>
        <v/>
      </c>
      <c r="H61">
        <f>IF($F61=1,INDEX({10,12,13,14,15,16,17,18,19,20,21,23,24,25,26,27,28,29,30,31,32,34,35,36,37,38},1,FIND(MID($B61,2,1),"ABCDEFGHIJKLMNOPQRSTUVWXYZ")),"")</f>
        <v/>
      </c>
      <c r="I61">
        <f>IF($F61=1,INDEX({10,12,13,14,15,16,17,18,19,20,21,23,24,25,26,27,28,29,30,31,32,34,35,36,37,38},1,FIND(MID($B61,3,1),"ABCDEFGHIJKLMNOPQRSTUVWXYZ")),"")</f>
        <v/>
      </c>
      <c r="J61">
        <f>IF($F61=1,INDEX({10,12,13,14,15,16,17,18,19,20,21,23,24,25,26,27,28,29,30,31,32,34,35,36,37,38},1,FIND(MID($B61,4,1),"ABCDEFGHIJKLMNOPQRSTUVWXYZ")),"")</f>
        <v/>
      </c>
      <c r="K61">
        <f>IF($F61=1,FIND(MID($B61,5,1),"0123456789")-1,"")</f>
        <v/>
      </c>
      <c r="L61">
        <f>IF($F61=1,FIND(MID($B61,6,1),"0123456789")-1,"")</f>
        <v/>
      </c>
      <c r="M61">
        <f>IF($F61=1,FIND(MID($B61,7,1),"0123456789")-1,"")</f>
        <v/>
      </c>
      <c r="N61">
        <f>IF($F61=1,FIND(MID($B61,8,1),"0123456789")-1,"")</f>
        <v/>
      </c>
      <c r="O61">
        <f>IF($F61=1,FIND(MID($B61,9,1),"0123456789")-1,"")</f>
        <v/>
      </c>
      <c r="P61">
        <f>IF($F61=1,FIND(MID($B61,10,1),"0123456789")-1,"")</f>
        <v/>
      </c>
      <c r="Q61">
        <f>IF($F61=1,SUMPRODUCT($G61:$P61,{1,2,4,8,16,32,64,128,256,512}),"")</f>
        <v/>
      </c>
      <c r="R61">
        <f>IF($F61=1,MOD(MOD($Q61,11),10),"")</f>
        <v/>
      </c>
    </row>
    <row r="62">
      <c r="A62" s="6" t="n"/>
      <c r="B62" s="7">
        <f>IF($A62="","",UPPER(SUBSTITUTE(SUBSTITUTE(SUBSTITUTE(SUBSTITUTE(SUBSTITUTE(SUBSTITUTE($A62," ",""),"-",""),".",""),"/",""),"i","I"),"ı","?")))</f>
        <v/>
      </c>
      <c r="C62" s="8">
        <f>IF($F62=1,$R62,"")</f>
        <v/>
      </c>
      <c r="D62" s="7">
        <f>IF($A62="","",IF($F62=0,"Biçim hatalı",IF(FIND(MID($B62,11,1),"0123456789")-1=$R62,"Geçerli","Kontrol hanesi hatalı (doğrusu: "&amp;$R62&amp;")")))</f>
        <v/>
      </c>
      <c r="F62">
        <f>IF($A62="","",IF(AND(LEN($B62)=11,SUMPRODUCT(--ISNUMBER(FIND(MID($B62,{1,2,3},1),"ABCDEFGHIJKLMNOPQRSTUVWXYZ")))=3,ISNUMBER(FIND(MID($B62,4,1),"UJZ")),SUMPRODUCT(--ISNUMBER(FIND(MID($B62,{5,6,7,8,9,10,11},1),"0123456789")))=7),1,0))</f>
        <v/>
      </c>
      <c r="G62">
        <f>IF($F62=1,INDEX({10,12,13,14,15,16,17,18,19,20,21,23,24,25,26,27,28,29,30,31,32,34,35,36,37,38},1,FIND(MID($B62,1,1),"ABCDEFGHIJKLMNOPQRSTUVWXYZ")),"")</f>
        <v/>
      </c>
      <c r="H62">
        <f>IF($F62=1,INDEX({10,12,13,14,15,16,17,18,19,20,21,23,24,25,26,27,28,29,30,31,32,34,35,36,37,38},1,FIND(MID($B62,2,1),"ABCDEFGHIJKLMNOPQRSTUVWXYZ")),"")</f>
        <v/>
      </c>
      <c r="I62">
        <f>IF($F62=1,INDEX({10,12,13,14,15,16,17,18,19,20,21,23,24,25,26,27,28,29,30,31,32,34,35,36,37,38},1,FIND(MID($B62,3,1),"ABCDEFGHIJKLMNOPQRSTUVWXYZ")),"")</f>
        <v/>
      </c>
      <c r="J62">
        <f>IF($F62=1,INDEX({10,12,13,14,15,16,17,18,19,20,21,23,24,25,26,27,28,29,30,31,32,34,35,36,37,38},1,FIND(MID($B62,4,1),"ABCDEFGHIJKLMNOPQRSTUVWXYZ")),"")</f>
        <v/>
      </c>
      <c r="K62">
        <f>IF($F62=1,FIND(MID($B62,5,1),"0123456789")-1,"")</f>
        <v/>
      </c>
      <c r="L62">
        <f>IF($F62=1,FIND(MID($B62,6,1),"0123456789")-1,"")</f>
        <v/>
      </c>
      <c r="M62">
        <f>IF($F62=1,FIND(MID($B62,7,1),"0123456789")-1,"")</f>
        <v/>
      </c>
      <c r="N62">
        <f>IF($F62=1,FIND(MID($B62,8,1),"0123456789")-1,"")</f>
        <v/>
      </c>
      <c r="O62">
        <f>IF($F62=1,FIND(MID($B62,9,1),"0123456789")-1,"")</f>
        <v/>
      </c>
      <c r="P62">
        <f>IF($F62=1,FIND(MID($B62,10,1),"0123456789")-1,"")</f>
        <v/>
      </c>
      <c r="Q62">
        <f>IF($F62=1,SUMPRODUCT($G62:$P62,{1,2,4,8,16,32,64,128,256,512}),"")</f>
        <v/>
      </c>
      <c r="R62">
        <f>IF($F62=1,MOD(MOD($Q62,11),10),"")</f>
        <v/>
      </c>
    </row>
    <row r="63">
      <c r="A63" s="6" t="n"/>
      <c r="B63" s="7">
        <f>IF($A63="","",UPPER(SUBSTITUTE(SUBSTITUTE(SUBSTITUTE(SUBSTITUTE(SUBSTITUTE(SUBSTITUTE($A63," ",""),"-",""),".",""),"/",""),"i","I"),"ı","?")))</f>
        <v/>
      </c>
      <c r="C63" s="8">
        <f>IF($F63=1,$R63,"")</f>
        <v/>
      </c>
      <c r="D63" s="7">
        <f>IF($A63="","",IF($F63=0,"Biçim hatalı",IF(FIND(MID($B63,11,1),"0123456789")-1=$R63,"Geçerli","Kontrol hanesi hatalı (doğrusu: "&amp;$R63&amp;")")))</f>
        <v/>
      </c>
      <c r="F63">
        <f>IF($A63="","",IF(AND(LEN($B63)=11,SUMPRODUCT(--ISNUMBER(FIND(MID($B63,{1,2,3},1),"ABCDEFGHIJKLMNOPQRSTUVWXYZ")))=3,ISNUMBER(FIND(MID($B63,4,1),"UJZ")),SUMPRODUCT(--ISNUMBER(FIND(MID($B63,{5,6,7,8,9,10,11},1),"0123456789")))=7),1,0))</f>
        <v/>
      </c>
      <c r="G63">
        <f>IF($F63=1,INDEX({10,12,13,14,15,16,17,18,19,20,21,23,24,25,26,27,28,29,30,31,32,34,35,36,37,38},1,FIND(MID($B63,1,1),"ABCDEFGHIJKLMNOPQRSTUVWXYZ")),"")</f>
        <v/>
      </c>
      <c r="H63">
        <f>IF($F63=1,INDEX({10,12,13,14,15,16,17,18,19,20,21,23,24,25,26,27,28,29,30,31,32,34,35,36,37,38},1,FIND(MID($B63,2,1),"ABCDEFGHIJKLMNOPQRSTUVWXYZ")),"")</f>
        <v/>
      </c>
      <c r="I63">
        <f>IF($F63=1,INDEX({10,12,13,14,15,16,17,18,19,20,21,23,24,25,26,27,28,29,30,31,32,34,35,36,37,38},1,FIND(MID($B63,3,1),"ABCDEFGHIJKLMNOPQRSTUVWXYZ")),"")</f>
        <v/>
      </c>
      <c r="J63">
        <f>IF($F63=1,INDEX({10,12,13,14,15,16,17,18,19,20,21,23,24,25,26,27,28,29,30,31,32,34,35,36,37,38},1,FIND(MID($B63,4,1),"ABCDEFGHIJKLMNOPQRSTUVWXYZ")),"")</f>
        <v/>
      </c>
      <c r="K63">
        <f>IF($F63=1,FIND(MID($B63,5,1),"0123456789")-1,"")</f>
        <v/>
      </c>
      <c r="L63">
        <f>IF($F63=1,FIND(MID($B63,6,1),"0123456789")-1,"")</f>
        <v/>
      </c>
      <c r="M63">
        <f>IF($F63=1,FIND(MID($B63,7,1),"0123456789")-1,"")</f>
        <v/>
      </c>
      <c r="N63">
        <f>IF($F63=1,FIND(MID($B63,8,1),"0123456789")-1,"")</f>
        <v/>
      </c>
      <c r="O63">
        <f>IF($F63=1,FIND(MID($B63,9,1),"0123456789")-1,"")</f>
        <v/>
      </c>
      <c r="P63">
        <f>IF($F63=1,FIND(MID($B63,10,1),"0123456789")-1,"")</f>
        <v/>
      </c>
      <c r="Q63">
        <f>IF($F63=1,SUMPRODUCT($G63:$P63,{1,2,4,8,16,32,64,128,256,512}),"")</f>
        <v/>
      </c>
      <c r="R63">
        <f>IF($F63=1,MOD(MOD($Q63,11),10),"")</f>
        <v/>
      </c>
    </row>
    <row r="64">
      <c r="A64" s="6" t="n"/>
      <c r="B64" s="7">
        <f>IF($A64="","",UPPER(SUBSTITUTE(SUBSTITUTE(SUBSTITUTE(SUBSTITUTE(SUBSTITUTE(SUBSTITUTE($A64," ",""),"-",""),".",""),"/",""),"i","I"),"ı","?")))</f>
        <v/>
      </c>
      <c r="C64" s="8">
        <f>IF($F64=1,$R64,"")</f>
        <v/>
      </c>
      <c r="D64" s="7">
        <f>IF($A64="","",IF($F64=0,"Biçim hatalı",IF(FIND(MID($B64,11,1),"0123456789")-1=$R64,"Geçerli","Kontrol hanesi hatalı (doğrusu: "&amp;$R64&amp;")")))</f>
        <v/>
      </c>
      <c r="F64">
        <f>IF($A64="","",IF(AND(LEN($B64)=11,SUMPRODUCT(--ISNUMBER(FIND(MID($B64,{1,2,3},1),"ABCDEFGHIJKLMNOPQRSTUVWXYZ")))=3,ISNUMBER(FIND(MID($B64,4,1),"UJZ")),SUMPRODUCT(--ISNUMBER(FIND(MID($B64,{5,6,7,8,9,10,11},1),"0123456789")))=7),1,0))</f>
        <v/>
      </c>
      <c r="G64">
        <f>IF($F64=1,INDEX({10,12,13,14,15,16,17,18,19,20,21,23,24,25,26,27,28,29,30,31,32,34,35,36,37,38},1,FIND(MID($B64,1,1),"ABCDEFGHIJKLMNOPQRSTUVWXYZ")),"")</f>
        <v/>
      </c>
      <c r="H64">
        <f>IF($F64=1,INDEX({10,12,13,14,15,16,17,18,19,20,21,23,24,25,26,27,28,29,30,31,32,34,35,36,37,38},1,FIND(MID($B64,2,1),"ABCDEFGHIJKLMNOPQRSTUVWXYZ")),"")</f>
        <v/>
      </c>
      <c r="I64">
        <f>IF($F64=1,INDEX({10,12,13,14,15,16,17,18,19,20,21,23,24,25,26,27,28,29,30,31,32,34,35,36,37,38},1,FIND(MID($B64,3,1),"ABCDEFGHIJKLMNOPQRSTUVWXYZ")),"")</f>
        <v/>
      </c>
      <c r="J64">
        <f>IF($F64=1,INDEX({10,12,13,14,15,16,17,18,19,20,21,23,24,25,26,27,28,29,30,31,32,34,35,36,37,38},1,FIND(MID($B64,4,1),"ABCDEFGHIJKLMNOPQRSTUVWXYZ")),"")</f>
        <v/>
      </c>
      <c r="K64">
        <f>IF($F64=1,FIND(MID($B64,5,1),"0123456789")-1,"")</f>
        <v/>
      </c>
      <c r="L64">
        <f>IF($F64=1,FIND(MID($B64,6,1),"0123456789")-1,"")</f>
        <v/>
      </c>
      <c r="M64">
        <f>IF($F64=1,FIND(MID($B64,7,1),"0123456789")-1,"")</f>
        <v/>
      </c>
      <c r="N64">
        <f>IF($F64=1,FIND(MID($B64,8,1),"0123456789")-1,"")</f>
        <v/>
      </c>
      <c r="O64">
        <f>IF($F64=1,FIND(MID($B64,9,1),"0123456789")-1,"")</f>
        <v/>
      </c>
      <c r="P64">
        <f>IF($F64=1,FIND(MID($B64,10,1),"0123456789")-1,"")</f>
        <v/>
      </c>
      <c r="Q64">
        <f>IF($F64=1,SUMPRODUCT($G64:$P64,{1,2,4,8,16,32,64,128,256,512}),"")</f>
        <v/>
      </c>
      <c r="R64">
        <f>IF($F64=1,MOD(MOD($Q64,11),10),"")</f>
        <v/>
      </c>
    </row>
    <row r="65">
      <c r="A65" s="6" t="n"/>
      <c r="B65" s="7">
        <f>IF($A65="","",UPPER(SUBSTITUTE(SUBSTITUTE(SUBSTITUTE(SUBSTITUTE(SUBSTITUTE(SUBSTITUTE($A65," ",""),"-",""),".",""),"/",""),"i","I"),"ı","?")))</f>
        <v/>
      </c>
      <c r="C65" s="8">
        <f>IF($F65=1,$R65,"")</f>
        <v/>
      </c>
      <c r="D65" s="7">
        <f>IF($A65="","",IF($F65=0,"Biçim hatalı",IF(FIND(MID($B65,11,1),"0123456789")-1=$R65,"Geçerli","Kontrol hanesi hatalı (doğrusu: "&amp;$R65&amp;")")))</f>
        <v/>
      </c>
      <c r="F65">
        <f>IF($A65="","",IF(AND(LEN($B65)=11,SUMPRODUCT(--ISNUMBER(FIND(MID($B65,{1,2,3},1),"ABCDEFGHIJKLMNOPQRSTUVWXYZ")))=3,ISNUMBER(FIND(MID($B65,4,1),"UJZ")),SUMPRODUCT(--ISNUMBER(FIND(MID($B65,{5,6,7,8,9,10,11},1),"0123456789")))=7),1,0))</f>
        <v/>
      </c>
      <c r="G65">
        <f>IF($F65=1,INDEX({10,12,13,14,15,16,17,18,19,20,21,23,24,25,26,27,28,29,30,31,32,34,35,36,37,38},1,FIND(MID($B65,1,1),"ABCDEFGHIJKLMNOPQRSTUVWXYZ")),"")</f>
        <v/>
      </c>
      <c r="H65">
        <f>IF($F65=1,INDEX({10,12,13,14,15,16,17,18,19,20,21,23,24,25,26,27,28,29,30,31,32,34,35,36,37,38},1,FIND(MID($B65,2,1),"ABCDEFGHIJKLMNOPQRSTUVWXYZ")),"")</f>
        <v/>
      </c>
      <c r="I65">
        <f>IF($F65=1,INDEX({10,12,13,14,15,16,17,18,19,20,21,23,24,25,26,27,28,29,30,31,32,34,35,36,37,38},1,FIND(MID($B65,3,1),"ABCDEFGHIJKLMNOPQRSTUVWXYZ")),"")</f>
        <v/>
      </c>
      <c r="J65">
        <f>IF($F65=1,INDEX({10,12,13,14,15,16,17,18,19,20,21,23,24,25,26,27,28,29,30,31,32,34,35,36,37,38},1,FIND(MID($B65,4,1),"ABCDEFGHIJKLMNOPQRSTUVWXYZ")),"")</f>
        <v/>
      </c>
      <c r="K65">
        <f>IF($F65=1,FIND(MID($B65,5,1),"0123456789")-1,"")</f>
        <v/>
      </c>
      <c r="L65">
        <f>IF($F65=1,FIND(MID($B65,6,1),"0123456789")-1,"")</f>
        <v/>
      </c>
      <c r="M65">
        <f>IF($F65=1,FIND(MID($B65,7,1),"0123456789")-1,"")</f>
        <v/>
      </c>
      <c r="N65">
        <f>IF($F65=1,FIND(MID($B65,8,1),"0123456789")-1,"")</f>
        <v/>
      </c>
      <c r="O65">
        <f>IF($F65=1,FIND(MID($B65,9,1),"0123456789")-1,"")</f>
        <v/>
      </c>
      <c r="P65">
        <f>IF($F65=1,FIND(MID($B65,10,1),"0123456789")-1,"")</f>
        <v/>
      </c>
      <c r="Q65">
        <f>IF($F65=1,SUMPRODUCT($G65:$P65,{1,2,4,8,16,32,64,128,256,512}),"")</f>
        <v/>
      </c>
      <c r="R65">
        <f>IF($F65=1,MOD(MOD($Q65,11),10),"")</f>
        <v/>
      </c>
    </row>
    <row r="66">
      <c r="A66" s="6" t="n"/>
      <c r="B66" s="7">
        <f>IF($A66="","",UPPER(SUBSTITUTE(SUBSTITUTE(SUBSTITUTE(SUBSTITUTE(SUBSTITUTE(SUBSTITUTE($A66," ",""),"-",""),".",""),"/",""),"i","I"),"ı","?")))</f>
        <v/>
      </c>
      <c r="C66" s="8">
        <f>IF($F66=1,$R66,"")</f>
        <v/>
      </c>
      <c r="D66" s="7">
        <f>IF($A66="","",IF($F66=0,"Biçim hatalı",IF(FIND(MID($B66,11,1),"0123456789")-1=$R66,"Geçerli","Kontrol hanesi hatalı (doğrusu: "&amp;$R66&amp;")")))</f>
        <v/>
      </c>
      <c r="F66">
        <f>IF($A66="","",IF(AND(LEN($B66)=11,SUMPRODUCT(--ISNUMBER(FIND(MID($B66,{1,2,3},1),"ABCDEFGHIJKLMNOPQRSTUVWXYZ")))=3,ISNUMBER(FIND(MID($B66,4,1),"UJZ")),SUMPRODUCT(--ISNUMBER(FIND(MID($B66,{5,6,7,8,9,10,11},1),"0123456789")))=7),1,0))</f>
        <v/>
      </c>
      <c r="G66">
        <f>IF($F66=1,INDEX({10,12,13,14,15,16,17,18,19,20,21,23,24,25,26,27,28,29,30,31,32,34,35,36,37,38},1,FIND(MID($B66,1,1),"ABCDEFGHIJKLMNOPQRSTUVWXYZ")),"")</f>
        <v/>
      </c>
      <c r="H66">
        <f>IF($F66=1,INDEX({10,12,13,14,15,16,17,18,19,20,21,23,24,25,26,27,28,29,30,31,32,34,35,36,37,38},1,FIND(MID($B66,2,1),"ABCDEFGHIJKLMNOPQRSTUVWXYZ")),"")</f>
        <v/>
      </c>
      <c r="I66">
        <f>IF($F66=1,INDEX({10,12,13,14,15,16,17,18,19,20,21,23,24,25,26,27,28,29,30,31,32,34,35,36,37,38},1,FIND(MID($B66,3,1),"ABCDEFGHIJKLMNOPQRSTUVWXYZ")),"")</f>
        <v/>
      </c>
      <c r="J66">
        <f>IF($F66=1,INDEX({10,12,13,14,15,16,17,18,19,20,21,23,24,25,26,27,28,29,30,31,32,34,35,36,37,38},1,FIND(MID($B66,4,1),"ABCDEFGHIJKLMNOPQRSTUVWXYZ")),"")</f>
        <v/>
      </c>
      <c r="K66">
        <f>IF($F66=1,FIND(MID($B66,5,1),"0123456789")-1,"")</f>
        <v/>
      </c>
      <c r="L66">
        <f>IF($F66=1,FIND(MID($B66,6,1),"0123456789")-1,"")</f>
        <v/>
      </c>
      <c r="M66">
        <f>IF($F66=1,FIND(MID($B66,7,1),"0123456789")-1,"")</f>
        <v/>
      </c>
      <c r="N66">
        <f>IF($F66=1,FIND(MID($B66,8,1),"0123456789")-1,"")</f>
        <v/>
      </c>
      <c r="O66">
        <f>IF($F66=1,FIND(MID($B66,9,1),"0123456789")-1,"")</f>
        <v/>
      </c>
      <c r="P66">
        <f>IF($F66=1,FIND(MID($B66,10,1),"0123456789")-1,"")</f>
        <v/>
      </c>
      <c r="Q66">
        <f>IF($F66=1,SUMPRODUCT($G66:$P66,{1,2,4,8,16,32,64,128,256,512}),"")</f>
        <v/>
      </c>
      <c r="R66">
        <f>IF($F66=1,MOD(MOD($Q66,11),10),"")</f>
        <v/>
      </c>
    </row>
    <row r="67">
      <c r="A67" s="6" t="n"/>
      <c r="B67" s="7">
        <f>IF($A67="","",UPPER(SUBSTITUTE(SUBSTITUTE(SUBSTITUTE(SUBSTITUTE(SUBSTITUTE(SUBSTITUTE($A67," ",""),"-",""),".",""),"/",""),"i","I"),"ı","?")))</f>
        <v/>
      </c>
      <c r="C67" s="8">
        <f>IF($F67=1,$R67,"")</f>
        <v/>
      </c>
      <c r="D67" s="7">
        <f>IF($A67="","",IF($F67=0,"Biçim hatalı",IF(FIND(MID($B67,11,1),"0123456789")-1=$R67,"Geçerli","Kontrol hanesi hatalı (doğrusu: "&amp;$R67&amp;")")))</f>
        <v/>
      </c>
      <c r="F67">
        <f>IF($A67="","",IF(AND(LEN($B67)=11,SUMPRODUCT(--ISNUMBER(FIND(MID($B67,{1,2,3},1),"ABCDEFGHIJKLMNOPQRSTUVWXYZ")))=3,ISNUMBER(FIND(MID($B67,4,1),"UJZ")),SUMPRODUCT(--ISNUMBER(FIND(MID($B67,{5,6,7,8,9,10,11},1),"0123456789")))=7),1,0))</f>
        <v/>
      </c>
      <c r="G67">
        <f>IF($F67=1,INDEX({10,12,13,14,15,16,17,18,19,20,21,23,24,25,26,27,28,29,30,31,32,34,35,36,37,38},1,FIND(MID($B67,1,1),"ABCDEFGHIJKLMNOPQRSTUVWXYZ")),"")</f>
        <v/>
      </c>
      <c r="H67">
        <f>IF($F67=1,INDEX({10,12,13,14,15,16,17,18,19,20,21,23,24,25,26,27,28,29,30,31,32,34,35,36,37,38},1,FIND(MID($B67,2,1),"ABCDEFGHIJKLMNOPQRSTUVWXYZ")),"")</f>
        <v/>
      </c>
      <c r="I67">
        <f>IF($F67=1,INDEX({10,12,13,14,15,16,17,18,19,20,21,23,24,25,26,27,28,29,30,31,32,34,35,36,37,38},1,FIND(MID($B67,3,1),"ABCDEFGHIJKLMNOPQRSTUVWXYZ")),"")</f>
        <v/>
      </c>
      <c r="J67">
        <f>IF($F67=1,INDEX({10,12,13,14,15,16,17,18,19,20,21,23,24,25,26,27,28,29,30,31,32,34,35,36,37,38},1,FIND(MID($B67,4,1),"ABCDEFGHIJKLMNOPQRSTUVWXYZ")),"")</f>
        <v/>
      </c>
      <c r="K67">
        <f>IF($F67=1,FIND(MID($B67,5,1),"0123456789")-1,"")</f>
        <v/>
      </c>
      <c r="L67">
        <f>IF($F67=1,FIND(MID($B67,6,1),"0123456789")-1,"")</f>
        <v/>
      </c>
      <c r="M67">
        <f>IF($F67=1,FIND(MID($B67,7,1),"0123456789")-1,"")</f>
        <v/>
      </c>
      <c r="N67">
        <f>IF($F67=1,FIND(MID($B67,8,1),"0123456789")-1,"")</f>
        <v/>
      </c>
      <c r="O67">
        <f>IF($F67=1,FIND(MID($B67,9,1),"0123456789")-1,"")</f>
        <v/>
      </c>
      <c r="P67">
        <f>IF($F67=1,FIND(MID($B67,10,1),"0123456789")-1,"")</f>
        <v/>
      </c>
      <c r="Q67">
        <f>IF($F67=1,SUMPRODUCT($G67:$P67,{1,2,4,8,16,32,64,128,256,512}),"")</f>
        <v/>
      </c>
      <c r="R67">
        <f>IF($F67=1,MOD(MOD($Q67,11),10),"")</f>
        <v/>
      </c>
    </row>
    <row r="68">
      <c r="A68" s="6" t="n"/>
      <c r="B68" s="7">
        <f>IF($A68="","",UPPER(SUBSTITUTE(SUBSTITUTE(SUBSTITUTE(SUBSTITUTE(SUBSTITUTE(SUBSTITUTE($A68," ",""),"-",""),".",""),"/",""),"i","I"),"ı","?")))</f>
        <v/>
      </c>
      <c r="C68" s="8">
        <f>IF($F68=1,$R68,"")</f>
        <v/>
      </c>
      <c r="D68" s="7">
        <f>IF($A68="","",IF($F68=0,"Biçim hatalı",IF(FIND(MID($B68,11,1),"0123456789")-1=$R68,"Geçerli","Kontrol hanesi hatalı (doğrusu: "&amp;$R68&amp;")")))</f>
        <v/>
      </c>
      <c r="F68">
        <f>IF($A68="","",IF(AND(LEN($B68)=11,SUMPRODUCT(--ISNUMBER(FIND(MID($B68,{1,2,3},1),"ABCDEFGHIJKLMNOPQRSTUVWXYZ")))=3,ISNUMBER(FIND(MID($B68,4,1),"UJZ")),SUMPRODUCT(--ISNUMBER(FIND(MID($B68,{5,6,7,8,9,10,11},1),"0123456789")))=7),1,0))</f>
        <v/>
      </c>
      <c r="G68">
        <f>IF($F68=1,INDEX({10,12,13,14,15,16,17,18,19,20,21,23,24,25,26,27,28,29,30,31,32,34,35,36,37,38},1,FIND(MID($B68,1,1),"ABCDEFGHIJKLMNOPQRSTUVWXYZ")),"")</f>
        <v/>
      </c>
      <c r="H68">
        <f>IF($F68=1,INDEX({10,12,13,14,15,16,17,18,19,20,21,23,24,25,26,27,28,29,30,31,32,34,35,36,37,38},1,FIND(MID($B68,2,1),"ABCDEFGHIJKLMNOPQRSTUVWXYZ")),"")</f>
        <v/>
      </c>
      <c r="I68">
        <f>IF($F68=1,INDEX({10,12,13,14,15,16,17,18,19,20,21,23,24,25,26,27,28,29,30,31,32,34,35,36,37,38},1,FIND(MID($B68,3,1),"ABCDEFGHIJKLMNOPQRSTUVWXYZ")),"")</f>
        <v/>
      </c>
      <c r="J68">
        <f>IF($F68=1,INDEX({10,12,13,14,15,16,17,18,19,20,21,23,24,25,26,27,28,29,30,31,32,34,35,36,37,38},1,FIND(MID($B68,4,1),"ABCDEFGHIJKLMNOPQRSTUVWXYZ")),"")</f>
        <v/>
      </c>
      <c r="K68">
        <f>IF($F68=1,FIND(MID($B68,5,1),"0123456789")-1,"")</f>
        <v/>
      </c>
      <c r="L68">
        <f>IF($F68=1,FIND(MID($B68,6,1),"0123456789")-1,"")</f>
        <v/>
      </c>
      <c r="M68">
        <f>IF($F68=1,FIND(MID($B68,7,1),"0123456789")-1,"")</f>
        <v/>
      </c>
      <c r="N68">
        <f>IF($F68=1,FIND(MID($B68,8,1),"0123456789")-1,"")</f>
        <v/>
      </c>
      <c r="O68">
        <f>IF($F68=1,FIND(MID($B68,9,1),"0123456789")-1,"")</f>
        <v/>
      </c>
      <c r="P68">
        <f>IF($F68=1,FIND(MID($B68,10,1),"0123456789")-1,"")</f>
        <v/>
      </c>
      <c r="Q68">
        <f>IF($F68=1,SUMPRODUCT($G68:$P68,{1,2,4,8,16,32,64,128,256,512}),"")</f>
        <v/>
      </c>
      <c r="R68">
        <f>IF($F68=1,MOD(MOD($Q68,11),10),"")</f>
        <v/>
      </c>
    </row>
    <row r="69">
      <c r="A69" s="6" t="n"/>
      <c r="B69" s="7">
        <f>IF($A69="","",UPPER(SUBSTITUTE(SUBSTITUTE(SUBSTITUTE(SUBSTITUTE(SUBSTITUTE(SUBSTITUTE($A69," ",""),"-",""),".",""),"/",""),"i","I"),"ı","?")))</f>
        <v/>
      </c>
      <c r="C69" s="8">
        <f>IF($F69=1,$R69,"")</f>
        <v/>
      </c>
      <c r="D69" s="7">
        <f>IF($A69="","",IF($F69=0,"Biçim hatalı",IF(FIND(MID($B69,11,1),"0123456789")-1=$R69,"Geçerli","Kontrol hanesi hatalı (doğrusu: "&amp;$R69&amp;")")))</f>
        <v/>
      </c>
      <c r="F69">
        <f>IF($A69="","",IF(AND(LEN($B69)=11,SUMPRODUCT(--ISNUMBER(FIND(MID($B69,{1,2,3},1),"ABCDEFGHIJKLMNOPQRSTUVWXYZ")))=3,ISNUMBER(FIND(MID($B69,4,1),"UJZ")),SUMPRODUCT(--ISNUMBER(FIND(MID($B69,{5,6,7,8,9,10,11},1),"0123456789")))=7),1,0))</f>
        <v/>
      </c>
      <c r="G69">
        <f>IF($F69=1,INDEX({10,12,13,14,15,16,17,18,19,20,21,23,24,25,26,27,28,29,30,31,32,34,35,36,37,38},1,FIND(MID($B69,1,1),"ABCDEFGHIJKLMNOPQRSTUVWXYZ")),"")</f>
        <v/>
      </c>
      <c r="H69">
        <f>IF($F69=1,INDEX({10,12,13,14,15,16,17,18,19,20,21,23,24,25,26,27,28,29,30,31,32,34,35,36,37,38},1,FIND(MID($B69,2,1),"ABCDEFGHIJKLMNOPQRSTUVWXYZ")),"")</f>
        <v/>
      </c>
      <c r="I69">
        <f>IF($F69=1,INDEX({10,12,13,14,15,16,17,18,19,20,21,23,24,25,26,27,28,29,30,31,32,34,35,36,37,38},1,FIND(MID($B69,3,1),"ABCDEFGHIJKLMNOPQRSTUVWXYZ")),"")</f>
        <v/>
      </c>
      <c r="J69">
        <f>IF($F69=1,INDEX({10,12,13,14,15,16,17,18,19,20,21,23,24,25,26,27,28,29,30,31,32,34,35,36,37,38},1,FIND(MID($B69,4,1),"ABCDEFGHIJKLMNOPQRSTUVWXYZ")),"")</f>
        <v/>
      </c>
      <c r="K69">
        <f>IF($F69=1,FIND(MID($B69,5,1),"0123456789")-1,"")</f>
        <v/>
      </c>
      <c r="L69">
        <f>IF($F69=1,FIND(MID($B69,6,1),"0123456789")-1,"")</f>
        <v/>
      </c>
      <c r="M69">
        <f>IF($F69=1,FIND(MID($B69,7,1),"0123456789")-1,"")</f>
        <v/>
      </c>
      <c r="N69">
        <f>IF($F69=1,FIND(MID($B69,8,1),"0123456789")-1,"")</f>
        <v/>
      </c>
      <c r="O69">
        <f>IF($F69=1,FIND(MID($B69,9,1),"0123456789")-1,"")</f>
        <v/>
      </c>
      <c r="P69">
        <f>IF($F69=1,FIND(MID($B69,10,1),"0123456789")-1,"")</f>
        <v/>
      </c>
      <c r="Q69">
        <f>IF($F69=1,SUMPRODUCT($G69:$P69,{1,2,4,8,16,32,64,128,256,512}),"")</f>
        <v/>
      </c>
      <c r="R69">
        <f>IF($F69=1,MOD(MOD($Q69,11),10),"")</f>
        <v/>
      </c>
    </row>
    <row r="70">
      <c r="A70" s="6" t="n"/>
      <c r="B70" s="7">
        <f>IF($A70="","",UPPER(SUBSTITUTE(SUBSTITUTE(SUBSTITUTE(SUBSTITUTE(SUBSTITUTE(SUBSTITUTE($A70," ",""),"-",""),".",""),"/",""),"i","I"),"ı","?")))</f>
        <v/>
      </c>
      <c r="C70" s="8">
        <f>IF($F70=1,$R70,"")</f>
        <v/>
      </c>
      <c r="D70" s="7">
        <f>IF($A70="","",IF($F70=0,"Biçim hatalı",IF(FIND(MID($B70,11,1),"0123456789")-1=$R70,"Geçerli","Kontrol hanesi hatalı (doğrusu: "&amp;$R70&amp;")")))</f>
        <v/>
      </c>
      <c r="F70">
        <f>IF($A70="","",IF(AND(LEN($B70)=11,SUMPRODUCT(--ISNUMBER(FIND(MID($B70,{1,2,3},1),"ABCDEFGHIJKLMNOPQRSTUVWXYZ")))=3,ISNUMBER(FIND(MID($B70,4,1),"UJZ")),SUMPRODUCT(--ISNUMBER(FIND(MID($B70,{5,6,7,8,9,10,11},1),"0123456789")))=7),1,0))</f>
        <v/>
      </c>
      <c r="G70">
        <f>IF($F70=1,INDEX({10,12,13,14,15,16,17,18,19,20,21,23,24,25,26,27,28,29,30,31,32,34,35,36,37,38},1,FIND(MID($B70,1,1),"ABCDEFGHIJKLMNOPQRSTUVWXYZ")),"")</f>
        <v/>
      </c>
      <c r="H70">
        <f>IF($F70=1,INDEX({10,12,13,14,15,16,17,18,19,20,21,23,24,25,26,27,28,29,30,31,32,34,35,36,37,38},1,FIND(MID($B70,2,1),"ABCDEFGHIJKLMNOPQRSTUVWXYZ")),"")</f>
        <v/>
      </c>
      <c r="I70">
        <f>IF($F70=1,INDEX({10,12,13,14,15,16,17,18,19,20,21,23,24,25,26,27,28,29,30,31,32,34,35,36,37,38},1,FIND(MID($B70,3,1),"ABCDEFGHIJKLMNOPQRSTUVWXYZ")),"")</f>
        <v/>
      </c>
      <c r="J70">
        <f>IF($F70=1,INDEX({10,12,13,14,15,16,17,18,19,20,21,23,24,25,26,27,28,29,30,31,32,34,35,36,37,38},1,FIND(MID($B70,4,1),"ABCDEFGHIJKLMNOPQRSTUVWXYZ")),"")</f>
        <v/>
      </c>
      <c r="K70">
        <f>IF($F70=1,FIND(MID($B70,5,1),"0123456789")-1,"")</f>
        <v/>
      </c>
      <c r="L70">
        <f>IF($F70=1,FIND(MID($B70,6,1),"0123456789")-1,"")</f>
        <v/>
      </c>
      <c r="M70">
        <f>IF($F70=1,FIND(MID($B70,7,1),"0123456789")-1,"")</f>
        <v/>
      </c>
      <c r="N70">
        <f>IF($F70=1,FIND(MID($B70,8,1),"0123456789")-1,"")</f>
        <v/>
      </c>
      <c r="O70">
        <f>IF($F70=1,FIND(MID($B70,9,1),"0123456789")-1,"")</f>
        <v/>
      </c>
      <c r="P70">
        <f>IF($F70=1,FIND(MID($B70,10,1),"0123456789")-1,"")</f>
        <v/>
      </c>
      <c r="Q70">
        <f>IF($F70=1,SUMPRODUCT($G70:$P70,{1,2,4,8,16,32,64,128,256,512}),"")</f>
        <v/>
      </c>
      <c r="R70">
        <f>IF($F70=1,MOD(MOD($Q70,11),10),"")</f>
        <v/>
      </c>
    </row>
    <row r="71">
      <c r="A71" s="6" t="n"/>
      <c r="B71" s="7">
        <f>IF($A71="","",UPPER(SUBSTITUTE(SUBSTITUTE(SUBSTITUTE(SUBSTITUTE(SUBSTITUTE(SUBSTITUTE($A71," ",""),"-",""),".",""),"/",""),"i","I"),"ı","?")))</f>
        <v/>
      </c>
      <c r="C71" s="8">
        <f>IF($F71=1,$R71,"")</f>
        <v/>
      </c>
      <c r="D71" s="7">
        <f>IF($A71="","",IF($F71=0,"Biçim hatalı",IF(FIND(MID($B71,11,1),"0123456789")-1=$R71,"Geçerli","Kontrol hanesi hatalı (doğrusu: "&amp;$R71&amp;")")))</f>
        <v/>
      </c>
      <c r="F71">
        <f>IF($A71="","",IF(AND(LEN($B71)=11,SUMPRODUCT(--ISNUMBER(FIND(MID($B71,{1,2,3},1),"ABCDEFGHIJKLMNOPQRSTUVWXYZ")))=3,ISNUMBER(FIND(MID($B71,4,1),"UJZ")),SUMPRODUCT(--ISNUMBER(FIND(MID($B71,{5,6,7,8,9,10,11},1),"0123456789")))=7),1,0))</f>
        <v/>
      </c>
      <c r="G71">
        <f>IF($F71=1,INDEX({10,12,13,14,15,16,17,18,19,20,21,23,24,25,26,27,28,29,30,31,32,34,35,36,37,38},1,FIND(MID($B71,1,1),"ABCDEFGHIJKLMNOPQRSTUVWXYZ")),"")</f>
        <v/>
      </c>
      <c r="H71">
        <f>IF($F71=1,INDEX({10,12,13,14,15,16,17,18,19,20,21,23,24,25,26,27,28,29,30,31,32,34,35,36,37,38},1,FIND(MID($B71,2,1),"ABCDEFGHIJKLMNOPQRSTUVWXYZ")),"")</f>
        <v/>
      </c>
      <c r="I71">
        <f>IF($F71=1,INDEX({10,12,13,14,15,16,17,18,19,20,21,23,24,25,26,27,28,29,30,31,32,34,35,36,37,38},1,FIND(MID($B71,3,1),"ABCDEFGHIJKLMNOPQRSTUVWXYZ")),"")</f>
        <v/>
      </c>
      <c r="J71">
        <f>IF($F71=1,INDEX({10,12,13,14,15,16,17,18,19,20,21,23,24,25,26,27,28,29,30,31,32,34,35,36,37,38},1,FIND(MID($B71,4,1),"ABCDEFGHIJKLMNOPQRSTUVWXYZ")),"")</f>
        <v/>
      </c>
      <c r="K71">
        <f>IF($F71=1,FIND(MID($B71,5,1),"0123456789")-1,"")</f>
        <v/>
      </c>
      <c r="L71">
        <f>IF($F71=1,FIND(MID($B71,6,1),"0123456789")-1,"")</f>
        <v/>
      </c>
      <c r="M71">
        <f>IF($F71=1,FIND(MID($B71,7,1),"0123456789")-1,"")</f>
        <v/>
      </c>
      <c r="N71">
        <f>IF($F71=1,FIND(MID($B71,8,1),"0123456789")-1,"")</f>
        <v/>
      </c>
      <c r="O71">
        <f>IF($F71=1,FIND(MID($B71,9,1),"0123456789")-1,"")</f>
        <v/>
      </c>
      <c r="P71">
        <f>IF($F71=1,FIND(MID($B71,10,1),"0123456789")-1,"")</f>
        <v/>
      </c>
      <c r="Q71">
        <f>IF($F71=1,SUMPRODUCT($G71:$P71,{1,2,4,8,16,32,64,128,256,512}),"")</f>
        <v/>
      </c>
      <c r="R71">
        <f>IF($F71=1,MOD(MOD($Q71,11),10),"")</f>
        <v/>
      </c>
    </row>
    <row r="72">
      <c r="A72" s="6" t="n"/>
      <c r="B72" s="7">
        <f>IF($A72="","",UPPER(SUBSTITUTE(SUBSTITUTE(SUBSTITUTE(SUBSTITUTE(SUBSTITUTE(SUBSTITUTE($A72," ",""),"-",""),".",""),"/",""),"i","I"),"ı","?")))</f>
        <v/>
      </c>
      <c r="C72" s="8">
        <f>IF($F72=1,$R72,"")</f>
        <v/>
      </c>
      <c r="D72" s="7">
        <f>IF($A72="","",IF($F72=0,"Biçim hatalı",IF(FIND(MID($B72,11,1),"0123456789")-1=$R72,"Geçerli","Kontrol hanesi hatalı (doğrusu: "&amp;$R72&amp;")")))</f>
        <v/>
      </c>
      <c r="F72">
        <f>IF($A72="","",IF(AND(LEN($B72)=11,SUMPRODUCT(--ISNUMBER(FIND(MID($B72,{1,2,3},1),"ABCDEFGHIJKLMNOPQRSTUVWXYZ")))=3,ISNUMBER(FIND(MID($B72,4,1),"UJZ")),SUMPRODUCT(--ISNUMBER(FIND(MID($B72,{5,6,7,8,9,10,11},1),"0123456789")))=7),1,0))</f>
        <v/>
      </c>
      <c r="G72">
        <f>IF($F72=1,INDEX({10,12,13,14,15,16,17,18,19,20,21,23,24,25,26,27,28,29,30,31,32,34,35,36,37,38},1,FIND(MID($B72,1,1),"ABCDEFGHIJKLMNOPQRSTUVWXYZ")),"")</f>
        <v/>
      </c>
      <c r="H72">
        <f>IF($F72=1,INDEX({10,12,13,14,15,16,17,18,19,20,21,23,24,25,26,27,28,29,30,31,32,34,35,36,37,38},1,FIND(MID($B72,2,1),"ABCDEFGHIJKLMNOPQRSTUVWXYZ")),"")</f>
        <v/>
      </c>
      <c r="I72">
        <f>IF($F72=1,INDEX({10,12,13,14,15,16,17,18,19,20,21,23,24,25,26,27,28,29,30,31,32,34,35,36,37,38},1,FIND(MID($B72,3,1),"ABCDEFGHIJKLMNOPQRSTUVWXYZ")),"")</f>
        <v/>
      </c>
      <c r="J72">
        <f>IF($F72=1,INDEX({10,12,13,14,15,16,17,18,19,20,21,23,24,25,26,27,28,29,30,31,32,34,35,36,37,38},1,FIND(MID($B72,4,1),"ABCDEFGHIJKLMNOPQRSTUVWXYZ")),"")</f>
        <v/>
      </c>
      <c r="K72">
        <f>IF($F72=1,FIND(MID($B72,5,1),"0123456789")-1,"")</f>
        <v/>
      </c>
      <c r="L72">
        <f>IF($F72=1,FIND(MID($B72,6,1),"0123456789")-1,"")</f>
        <v/>
      </c>
      <c r="M72">
        <f>IF($F72=1,FIND(MID($B72,7,1),"0123456789")-1,"")</f>
        <v/>
      </c>
      <c r="N72">
        <f>IF($F72=1,FIND(MID($B72,8,1),"0123456789")-1,"")</f>
        <v/>
      </c>
      <c r="O72">
        <f>IF($F72=1,FIND(MID($B72,9,1),"0123456789")-1,"")</f>
        <v/>
      </c>
      <c r="P72">
        <f>IF($F72=1,FIND(MID($B72,10,1),"0123456789")-1,"")</f>
        <v/>
      </c>
      <c r="Q72">
        <f>IF($F72=1,SUMPRODUCT($G72:$P72,{1,2,4,8,16,32,64,128,256,512}),"")</f>
        <v/>
      </c>
      <c r="R72">
        <f>IF($F72=1,MOD(MOD($Q72,11),10),"")</f>
        <v/>
      </c>
    </row>
    <row r="73">
      <c r="A73" s="6" t="n"/>
      <c r="B73" s="7">
        <f>IF($A73="","",UPPER(SUBSTITUTE(SUBSTITUTE(SUBSTITUTE(SUBSTITUTE(SUBSTITUTE(SUBSTITUTE($A73," ",""),"-",""),".",""),"/",""),"i","I"),"ı","?")))</f>
        <v/>
      </c>
      <c r="C73" s="8">
        <f>IF($F73=1,$R73,"")</f>
        <v/>
      </c>
      <c r="D73" s="7">
        <f>IF($A73="","",IF($F73=0,"Biçim hatalı",IF(FIND(MID($B73,11,1),"0123456789")-1=$R73,"Geçerli","Kontrol hanesi hatalı (doğrusu: "&amp;$R73&amp;")")))</f>
        <v/>
      </c>
      <c r="F73">
        <f>IF($A73="","",IF(AND(LEN($B73)=11,SUMPRODUCT(--ISNUMBER(FIND(MID($B73,{1,2,3},1),"ABCDEFGHIJKLMNOPQRSTUVWXYZ")))=3,ISNUMBER(FIND(MID($B73,4,1),"UJZ")),SUMPRODUCT(--ISNUMBER(FIND(MID($B73,{5,6,7,8,9,10,11},1),"0123456789")))=7),1,0))</f>
        <v/>
      </c>
      <c r="G73">
        <f>IF($F73=1,INDEX({10,12,13,14,15,16,17,18,19,20,21,23,24,25,26,27,28,29,30,31,32,34,35,36,37,38},1,FIND(MID($B73,1,1),"ABCDEFGHIJKLMNOPQRSTUVWXYZ")),"")</f>
        <v/>
      </c>
      <c r="H73">
        <f>IF($F73=1,INDEX({10,12,13,14,15,16,17,18,19,20,21,23,24,25,26,27,28,29,30,31,32,34,35,36,37,38},1,FIND(MID($B73,2,1),"ABCDEFGHIJKLMNOPQRSTUVWXYZ")),"")</f>
        <v/>
      </c>
      <c r="I73">
        <f>IF($F73=1,INDEX({10,12,13,14,15,16,17,18,19,20,21,23,24,25,26,27,28,29,30,31,32,34,35,36,37,38},1,FIND(MID($B73,3,1),"ABCDEFGHIJKLMNOPQRSTUVWXYZ")),"")</f>
        <v/>
      </c>
      <c r="J73">
        <f>IF($F73=1,INDEX({10,12,13,14,15,16,17,18,19,20,21,23,24,25,26,27,28,29,30,31,32,34,35,36,37,38},1,FIND(MID($B73,4,1),"ABCDEFGHIJKLMNOPQRSTUVWXYZ")),"")</f>
        <v/>
      </c>
      <c r="K73">
        <f>IF($F73=1,FIND(MID($B73,5,1),"0123456789")-1,"")</f>
        <v/>
      </c>
      <c r="L73">
        <f>IF($F73=1,FIND(MID($B73,6,1),"0123456789")-1,"")</f>
        <v/>
      </c>
      <c r="M73">
        <f>IF($F73=1,FIND(MID($B73,7,1),"0123456789")-1,"")</f>
        <v/>
      </c>
      <c r="N73">
        <f>IF($F73=1,FIND(MID($B73,8,1),"0123456789")-1,"")</f>
        <v/>
      </c>
      <c r="O73">
        <f>IF($F73=1,FIND(MID($B73,9,1),"0123456789")-1,"")</f>
        <v/>
      </c>
      <c r="P73">
        <f>IF($F73=1,FIND(MID($B73,10,1),"0123456789")-1,"")</f>
        <v/>
      </c>
      <c r="Q73">
        <f>IF($F73=1,SUMPRODUCT($G73:$P73,{1,2,4,8,16,32,64,128,256,512}),"")</f>
        <v/>
      </c>
      <c r="R73">
        <f>IF($F73=1,MOD(MOD($Q73,11),10),"")</f>
        <v/>
      </c>
    </row>
    <row r="74">
      <c r="A74" s="6" t="n"/>
      <c r="B74" s="7">
        <f>IF($A74="","",UPPER(SUBSTITUTE(SUBSTITUTE(SUBSTITUTE(SUBSTITUTE(SUBSTITUTE(SUBSTITUTE($A74," ",""),"-",""),".",""),"/",""),"i","I"),"ı","?")))</f>
        <v/>
      </c>
      <c r="C74" s="8">
        <f>IF($F74=1,$R74,"")</f>
        <v/>
      </c>
      <c r="D74" s="7">
        <f>IF($A74="","",IF($F74=0,"Biçim hatalı",IF(FIND(MID($B74,11,1),"0123456789")-1=$R74,"Geçerli","Kontrol hanesi hatalı (doğrusu: "&amp;$R74&amp;")")))</f>
        <v/>
      </c>
      <c r="F74">
        <f>IF($A74="","",IF(AND(LEN($B74)=11,SUMPRODUCT(--ISNUMBER(FIND(MID($B74,{1,2,3},1),"ABCDEFGHIJKLMNOPQRSTUVWXYZ")))=3,ISNUMBER(FIND(MID($B74,4,1),"UJZ")),SUMPRODUCT(--ISNUMBER(FIND(MID($B74,{5,6,7,8,9,10,11},1),"0123456789")))=7),1,0))</f>
        <v/>
      </c>
      <c r="G74">
        <f>IF($F74=1,INDEX({10,12,13,14,15,16,17,18,19,20,21,23,24,25,26,27,28,29,30,31,32,34,35,36,37,38},1,FIND(MID($B74,1,1),"ABCDEFGHIJKLMNOPQRSTUVWXYZ")),"")</f>
        <v/>
      </c>
      <c r="H74">
        <f>IF($F74=1,INDEX({10,12,13,14,15,16,17,18,19,20,21,23,24,25,26,27,28,29,30,31,32,34,35,36,37,38},1,FIND(MID($B74,2,1),"ABCDEFGHIJKLMNOPQRSTUVWXYZ")),"")</f>
        <v/>
      </c>
      <c r="I74">
        <f>IF($F74=1,INDEX({10,12,13,14,15,16,17,18,19,20,21,23,24,25,26,27,28,29,30,31,32,34,35,36,37,38},1,FIND(MID($B74,3,1),"ABCDEFGHIJKLMNOPQRSTUVWXYZ")),"")</f>
        <v/>
      </c>
      <c r="J74">
        <f>IF($F74=1,INDEX({10,12,13,14,15,16,17,18,19,20,21,23,24,25,26,27,28,29,30,31,32,34,35,36,37,38},1,FIND(MID($B74,4,1),"ABCDEFGHIJKLMNOPQRSTUVWXYZ")),"")</f>
        <v/>
      </c>
      <c r="K74">
        <f>IF($F74=1,FIND(MID($B74,5,1),"0123456789")-1,"")</f>
        <v/>
      </c>
      <c r="L74">
        <f>IF($F74=1,FIND(MID($B74,6,1),"0123456789")-1,"")</f>
        <v/>
      </c>
      <c r="M74">
        <f>IF($F74=1,FIND(MID($B74,7,1),"0123456789")-1,"")</f>
        <v/>
      </c>
      <c r="N74">
        <f>IF($F74=1,FIND(MID($B74,8,1),"0123456789")-1,"")</f>
        <v/>
      </c>
      <c r="O74">
        <f>IF($F74=1,FIND(MID($B74,9,1),"0123456789")-1,"")</f>
        <v/>
      </c>
      <c r="P74">
        <f>IF($F74=1,FIND(MID($B74,10,1),"0123456789")-1,"")</f>
        <v/>
      </c>
      <c r="Q74">
        <f>IF($F74=1,SUMPRODUCT($G74:$P74,{1,2,4,8,16,32,64,128,256,512}),"")</f>
        <v/>
      </c>
      <c r="R74">
        <f>IF($F74=1,MOD(MOD($Q74,11),10),"")</f>
        <v/>
      </c>
    </row>
    <row r="75">
      <c r="A75" s="6" t="n"/>
      <c r="B75" s="7">
        <f>IF($A75="","",UPPER(SUBSTITUTE(SUBSTITUTE(SUBSTITUTE(SUBSTITUTE(SUBSTITUTE(SUBSTITUTE($A75," ",""),"-",""),".",""),"/",""),"i","I"),"ı","?")))</f>
        <v/>
      </c>
      <c r="C75" s="8">
        <f>IF($F75=1,$R75,"")</f>
        <v/>
      </c>
      <c r="D75" s="7">
        <f>IF($A75="","",IF($F75=0,"Biçim hatalı",IF(FIND(MID($B75,11,1),"0123456789")-1=$R75,"Geçerli","Kontrol hanesi hatalı (doğrusu: "&amp;$R75&amp;")")))</f>
        <v/>
      </c>
      <c r="F75">
        <f>IF($A75="","",IF(AND(LEN($B75)=11,SUMPRODUCT(--ISNUMBER(FIND(MID($B75,{1,2,3},1),"ABCDEFGHIJKLMNOPQRSTUVWXYZ")))=3,ISNUMBER(FIND(MID($B75,4,1),"UJZ")),SUMPRODUCT(--ISNUMBER(FIND(MID($B75,{5,6,7,8,9,10,11},1),"0123456789")))=7),1,0))</f>
        <v/>
      </c>
      <c r="G75">
        <f>IF($F75=1,INDEX({10,12,13,14,15,16,17,18,19,20,21,23,24,25,26,27,28,29,30,31,32,34,35,36,37,38},1,FIND(MID($B75,1,1),"ABCDEFGHIJKLMNOPQRSTUVWXYZ")),"")</f>
        <v/>
      </c>
      <c r="H75">
        <f>IF($F75=1,INDEX({10,12,13,14,15,16,17,18,19,20,21,23,24,25,26,27,28,29,30,31,32,34,35,36,37,38},1,FIND(MID($B75,2,1),"ABCDEFGHIJKLMNOPQRSTUVWXYZ")),"")</f>
        <v/>
      </c>
      <c r="I75">
        <f>IF($F75=1,INDEX({10,12,13,14,15,16,17,18,19,20,21,23,24,25,26,27,28,29,30,31,32,34,35,36,37,38},1,FIND(MID($B75,3,1),"ABCDEFGHIJKLMNOPQRSTUVWXYZ")),"")</f>
        <v/>
      </c>
      <c r="J75">
        <f>IF($F75=1,INDEX({10,12,13,14,15,16,17,18,19,20,21,23,24,25,26,27,28,29,30,31,32,34,35,36,37,38},1,FIND(MID($B75,4,1),"ABCDEFGHIJKLMNOPQRSTUVWXYZ")),"")</f>
        <v/>
      </c>
      <c r="K75">
        <f>IF($F75=1,FIND(MID($B75,5,1),"0123456789")-1,"")</f>
        <v/>
      </c>
      <c r="L75">
        <f>IF($F75=1,FIND(MID($B75,6,1),"0123456789")-1,"")</f>
        <v/>
      </c>
      <c r="M75">
        <f>IF($F75=1,FIND(MID($B75,7,1),"0123456789")-1,"")</f>
        <v/>
      </c>
      <c r="N75">
        <f>IF($F75=1,FIND(MID($B75,8,1),"0123456789")-1,"")</f>
        <v/>
      </c>
      <c r="O75">
        <f>IF($F75=1,FIND(MID($B75,9,1),"0123456789")-1,"")</f>
        <v/>
      </c>
      <c r="P75">
        <f>IF($F75=1,FIND(MID($B75,10,1),"0123456789")-1,"")</f>
        <v/>
      </c>
      <c r="Q75">
        <f>IF($F75=1,SUMPRODUCT($G75:$P75,{1,2,4,8,16,32,64,128,256,512}),"")</f>
        <v/>
      </c>
      <c r="R75">
        <f>IF($F75=1,MOD(MOD($Q75,11),10),"")</f>
        <v/>
      </c>
    </row>
    <row r="76">
      <c r="A76" s="6" t="n"/>
      <c r="B76" s="7">
        <f>IF($A76="","",UPPER(SUBSTITUTE(SUBSTITUTE(SUBSTITUTE(SUBSTITUTE(SUBSTITUTE(SUBSTITUTE($A76," ",""),"-",""),".",""),"/",""),"i","I"),"ı","?")))</f>
        <v/>
      </c>
      <c r="C76" s="8">
        <f>IF($F76=1,$R76,"")</f>
        <v/>
      </c>
      <c r="D76" s="7">
        <f>IF($A76="","",IF($F76=0,"Biçim hatalı",IF(FIND(MID($B76,11,1),"0123456789")-1=$R76,"Geçerli","Kontrol hanesi hatalı (doğrusu: "&amp;$R76&amp;")")))</f>
        <v/>
      </c>
      <c r="F76">
        <f>IF($A76="","",IF(AND(LEN($B76)=11,SUMPRODUCT(--ISNUMBER(FIND(MID($B76,{1,2,3},1),"ABCDEFGHIJKLMNOPQRSTUVWXYZ")))=3,ISNUMBER(FIND(MID($B76,4,1),"UJZ")),SUMPRODUCT(--ISNUMBER(FIND(MID($B76,{5,6,7,8,9,10,11},1),"0123456789")))=7),1,0))</f>
        <v/>
      </c>
      <c r="G76">
        <f>IF($F76=1,INDEX({10,12,13,14,15,16,17,18,19,20,21,23,24,25,26,27,28,29,30,31,32,34,35,36,37,38},1,FIND(MID($B76,1,1),"ABCDEFGHIJKLMNOPQRSTUVWXYZ")),"")</f>
        <v/>
      </c>
      <c r="H76">
        <f>IF($F76=1,INDEX({10,12,13,14,15,16,17,18,19,20,21,23,24,25,26,27,28,29,30,31,32,34,35,36,37,38},1,FIND(MID($B76,2,1),"ABCDEFGHIJKLMNOPQRSTUVWXYZ")),"")</f>
        <v/>
      </c>
      <c r="I76">
        <f>IF($F76=1,INDEX({10,12,13,14,15,16,17,18,19,20,21,23,24,25,26,27,28,29,30,31,32,34,35,36,37,38},1,FIND(MID($B76,3,1),"ABCDEFGHIJKLMNOPQRSTUVWXYZ")),"")</f>
        <v/>
      </c>
      <c r="J76">
        <f>IF($F76=1,INDEX({10,12,13,14,15,16,17,18,19,20,21,23,24,25,26,27,28,29,30,31,32,34,35,36,37,38},1,FIND(MID($B76,4,1),"ABCDEFGHIJKLMNOPQRSTUVWXYZ")),"")</f>
        <v/>
      </c>
      <c r="K76">
        <f>IF($F76=1,FIND(MID($B76,5,1),"0123456789")-1,"")</f>
        <v/>
      </c>
      <c r="L76">
        <f>IF($F76=1,FIND(MID($B76,6,1),"0123456789")-1,"")</f>
        <v/>
      </c>
      <c r="M76">
        <f>IF($F76=1,FIND(MID($B76,7,1),"0123456789")-1,"")</f>
        <v/>
      </c>
      <c r="N76">
        <f>IF($F76=1,FIND(MID($B76,8,1),"0123456789")-1,"")</f>
        <v/>
      </c>
      <c r="O76">
        <f>IF($F76=1,FIND(MID($B76,9,1),"0123456789")-1,"")</f>
        <v/>
      </c>
      <c r="P76">
        <f>IF($F76=1,FIND(MID($B76,10,1),"0123456789")-1,"")</f>
        <v/>
      </c>
      <c r="Q76">
        <f>IF($F76=1,SUMPRODUCT($G76:$P76,{1,2,4,8,16,32,64,128,256,512}),"")</f>
        <v/>
      </c>
      <c r="R76">
        <f>IF($F76=1,MOD(MOD($Q76,11),10),"")</f>
        <v/>
      </c>
    </row>
    <row r="77">
      <c r="A77" s="6" t="n"/>
      <c r="B77" s="7">
        <f>IF($A77="","",UPPER(SUBSTITUTE(SUBSTITUTE(SUBSTITUTE(SUBSTITUTE(SUBSTITUTE(SUBSTITUTE($A77," ",""),"-",""),".",""),"/",""),"i","I"),"ı","?")))</f>
        <v/>
      </c>
      <c r="C77" s="8">
        <f>IF($F77=1,$R77,"")</f>
        <v/>
      </c>
      <c r="D77" s="7">
        <f>IF($A77="","",IF($F77=0,"Biçim hatalı",IF(FIND(MID($B77,11,1),"0123456789")-1=$R77,"Geçerli","Kontrol hanesi hatalı (doğrusu: "&amp;$R77&amp;")")))</f>
        <v/>
      </c>
      <c r="F77">
        <f>IF($A77="","",IF(AND(LEN($B77)=11,SUMPRODUCT(--ISNUMBER(FIND(MID($B77,{1,2,3},1),"ABCDEFGHIJKLMNOPQRSTUVWXYZ")))=3,ISNUMBER(FIND(MID($B77,4,1),"UJZ")),SUMPRODUCT(--ISNUMBER(FIND(MID($B77,{5,6,7,8,9,10,11},1),"0123456789")))=7),1,0))</f>
        <v/>
      </c>
      <c r="G77">
        <f>IF($F77=1,INDEX({10,12,13,14,15,16,17,18,19,20,21,23,24,25,26,27,28,29,30,31,32,34,35,36,37,38},1,FIND(MID($B77,1,1),"ABCDEFGHIJKLMNOPQRSTUVWXYZ")),"")</f>
        <v/>
      </c>
      <c r="H77">
        <f>IF($F77=1,INDEX({10,12,13,14,15,16,17,18,19,20,21,23,24,25,26,27,28,29,30,31,32,34,35,36,37,38},1,FIND(MID($B77,2,1),"ABCDEFGHIJKLMNOPQRSTUVWXYZ")),"")</f>
        <v/>
      </c>
      <c r="I77">
        <f>IF($F77=1,INDEX({10,12,13,14,15,16,17,18,19,20,21,23,24,25,26,27,28,29,30,31,32,34,35,36,37,38},1,FIND(MID($B77,3,1),"ABCDEFGHIJKLMNOPQRSTUVWXYZ")),"")</f>
        <v/>
      </c>
      <c r="J77">
        <f>IF($F77=1,INDEX({10,12,13,14,15,16,17,18,19,20,21,23,24,25,26,27,28,29,30,31,32,34,35,36,37,38},1,FIND(MID($B77,4,1),"ABCDEFGHIJKLMNOPQRSTUVWXYZ")),"")</f>
        <v/>
      </c>
      <c r="K77">
        <f>IF($F77=1,FIND(MID($B77,5,1),"0123456789")-1,"")</f>
        <v/>
      </c>
      <c r="L77">
        <f>IF($F77=1,FIND(MID($B77,6,1),"0123456789")-1,"")</f>
        <v/>
      </c>
      <c r="M77">
        <f>IF($F77=1,FIND(MID($B77,7,1),"0123456789")-1,"")</f>
        <v/>
      </c>
      <c r="N77">
        <f>IF($F77=1,FIND(MID($B77,8,1),"0123456789")-1,"")</f>
        <v/>
      </c>
      <c r="O77">
        <f>IF($F77=1,FIND(MID($B77,9,1),"0123456789")-1,"")</f>
        <v/>
      </c>
      <c r="P77">
        <f>IF($F77=1,FIND(MID($B77,10,1),"0123456789")-1,"")</f>
        <v/>
      </c>
      <c r="Q77">
        <f>IF($F77=1,SUMPRODUCT($G77:$P77,{1,2,4,8,16,32,64,128,256,512}),"")</f>
        <v/>
      </c>
      <c r="R77">
        <f>IF($F77=1,MOD(MOD($Q77,11),10),"")</f>
        <v/>
      </c>
    </row>
    <row r="78">
      <c r="A78" s="6" t="n"/>
      <c r="B78" s="7">
        <f>IF($A78="","",UPPER(SUBSTITUTE(SUBSTITUTE(SUBSTITUTE(SUBSTITUTE(SUBSTITUTE(SUBSTITUTE($A78," ",""),"-",""),".",""),"/",""),"i","I"),"ı","?")))</f>
        <v/>
      </c>
      <c r="C78" s="8">
        <f>IF($F78=1,$R78,"")</f>
        <v/>
      </c>
      <c r="D78" s="7">
        <f>IF($A78="","",IF($F78=0,"Biçim hatalı",IF(FIND(MID($B78,11,1),"0123456789")-1=$R78,"Geçerli","Kontrol hanesi hatalı (doğrusu: "&amp;$R78&amp;")")))</f>
        <v/>
      </c>
      <c r="F78">
        <f>IF($A78="","",IF(AND(LEN($B78)=11,SUMPRODUCT(--ISNUMBER(FIND(MID($B78,{1,2,3},1),"ABCDEFGHIJKLMNOPQRSTUVWXYZ")))=3,ISNUMBER(FIND(MID($B78,4,1),"UJZ")),SUMPRODUCT(--ISNUMBER(FIND(MID($B78,{5,6,7,8,9,10,11},1),"0123456789")))=7),1,0))</f>
        <v/>
      </c>
      <c r="G78">
        <f>IF($F78=1,INDEX({10,12,13,14,15,16,17,18,19,20,21,23,24,25,26,27,28,29,30,31,32,34,35,36,37,38},1,FIND(MID($B78,1,1),"ABCDEFGHIJKLMNOPQRSTUVWXYZ")),"")</f>
        <v/>
      </c>
      <c r="H78">
        <f>IF($F78=1,INDEX({10,12,13,14,15,16,17,18,19,20,21,23,24,25,26,27,28,29,30,31,32,34,35,36,37,38},1,FIND(MID($B78,2,1),"ABCDEFGHIJKLMNOPQRSTUVWXYZ")),"")</f>
        <v/>
      </c>
      <c r="I78">
        <f>IF($F78=1,INDEX({10,12,13,14,15,16,17,18,19,20,21,23,24,25,26,27,28,29,30,31,32,34,35,36,37,38},1,FIND(MID($B78,3,1),"ABCDEFGHIJKLMNOPQRSTUVWXYZ")),"")</f>
        <v/>
      </c>
      <c r="J78">
        <f>IF($F78=1,INDEX({10,12,13,14,15,16,17,18,19,20,21,23,24,25,26,27,28,29,30,31,32,34,35,36,37,38},1,FIND(MID($B78,4,1),"ABCDEFGHIJKLMNOPQRSTUVWXYZ")),"")</f>
        <v/>
      </c>
      <c r="K78">
        <f>IF($F78=1,FIND(MID($B78,5,1),"0123456789")-1,"")</f>
        <v/>
      </c>
      <c r="L78">
        <f>IF($F78=1,FIND(MID($B78,6,1),"0123456789")-1,"")</f>
        <v/>
      </c>
      <c r="M78">
        <f>IF($F78=1,FIND(MID($B78,7,1),"0123456789")-1,"")</f>
        <v/>
      </c>
      <c r="N78">
        <f>IF($F78=1,FIND(MID($B78,8,1),"0123456789")-1,"")</f>
        <v/>
      </c>
      <c r="O78">
        <f>IF($F78=1,FIND(MID($B78,9,1),"0123456789")-1,"")</f>
        <v/>
      </c>
      <c r="P78">
        <f>IF($F78=1,FIND(MID($B78,10,1),"0123456789")-1,"")</f>
        <v/>
      </c>
      <c r="Q78">
        <f>IF($F78=1,SUMPRODUCT($G78:$P78,{1,2,4,8,16,32,64,128,256,512}),"")</f>
        <v/>
      </c>
      <c r="R78">
        <f>IF($F78=1,MOD(MOD($Q78,11),10),"")</f>
        <v/>
      </c>
    </row>
    <row r="79">
      <c r="A79" s="6" t="n"/>
      <c r="B79" s="7">
        <f>IF($A79="","",UPPER(SUBSTITUTE(SUBSTITUTE(SUBSTITUTE(SUBSTITUTE(SUBSTITUTE(SUBSTITUTE($A79," ",""),"-",""),".",""),"/",""),"i","I"),"ı","?")))</f>
        <v/>
      </c>
      <c r="C79" s="8">
        <f>IF($F79=1,$R79,"")</f>
        <v/>
      </c>
      <c r="D79" s="7">
        <f>IF($A79="","",IF($F79=0,"Biçim hatalı",IF(FIND(MID($B79,11,1),"0123456789")-1=$R79,"Geçerli","Kontrol hanesi hatalı (doğrusu: "&amp;$R79&amp;")")))</f>
        <v/>
      </c>
      <c r="F79">
        <f>IF($A79="","",IF(AND(LEN($B79)=11,SUMPRODUCT(--ISNUMBER(FIND(MID($B79,{1,2,3},1),"ABCDEFGHIJKLMNOPQRSTUVWXYZ")))=3,ISNUMBER(FIND(MID($B79,4,1),"UJZ")),SUMPRODUCT(--ISNUMBER(FIND(MID($B79,{5,6,7,8,9,10,11},1),"0123456789")))=7),1,0))</f>
        <v/>
      </c>
      <c r="G79">
        <f>IF($F79=1,INDEX({10,12,13,14,15,16,17,18,19,20,21,23,24,25,26,27,28,29,30,31,32,34,35,36,37,38},1,FIND(MID($B79,1,1),"ABCDEFGHIJKLMNOPQRSTUVWXYZ")),"")</f>
        <v/>
      </c>
      <c r="H79">
        <f>IF($F79=1,INDEX({10,12,13,14,15,16,17,18,19,20,21,23,24,25,26,27,28,29,30,31,32,34,35,36,37,38},1,FIND(MID($B79,2,1),"ABCDEFGHIJKLMNOPQRSTUVWXYZ")),"")</f>
        <v/>
      </c>
      <c r="I79">
        <f>IF($F79=1,INDEX({10,12,13,14,15,16,17,18,19,20,21,23,24,25,26,27,28,29,30,31,32,34,35,36,37,38},1,FIND(MID($B79,3,1),"ABCDEFGHIJKLMNOPQRSTUVWXYZ")),"")</f>
        <v/>
      </c>
      <c r="J79">
        <f>IF($F79=1,INDEX({10,12,13,14,15,16,17,18,19,20,21,23,24,25,26,27,28,29,30,31,32,34,35,36,37,38},1,FIND(MID($B79,4,1),"ABCDEFGHIJKLMNOPQRSTUVWXYZ")),"")</f>
        <v/>
      </c>
      <c r="K79">
        <f>IF($F79=1,FIND(MID($B79,5,1),"0123456789")-1,"")</f>
        <v/>
      </c>
      <c r="L79">
        <f>IF($F79=1,FIND(MID($B79,6,1),"0123456789")-1,"")</f>
        <v/>
      </c>
      <c r="M79">
        <f>IF($F79=1,FIND(MID($B79,7,1),"0123456789")-1,"")</f>
        <v/>
      </c>
      <c r="N79">
        <f>IF($F79=1,FIND(MID($B79,8,1),"0123456789")-1,"")</f>
        <v/>
      </c>
      <c r="O79">
        <f>IF($F79=1,FIND(MID($B79,9,1),"0123456789")-1,"")</f>
        <v/>
      </c>
      <c r="P79">
        <f>IF($F79=1,FIND(MID($B79,10,1),"0123456789")-1,"")</f>
        <v/>
      </c>
      <c r="Q79">
        <f>IF($F79=1,SUMPRODUCT($G79:$P79,{1,2,4,8,16,32,64,128,256,512}),"")</f>
        <v/>
      </c>
      <c r="R79">
        <f>IF($F79=1,MOD(MOD($Q79,11),10),"")</f>
        <v/>
      </c>
    </row>
    <row r="80">
      <c r="A80" s="6" t="n"/>
      <c r="B80" s="7">
        <f>IF($A80="","",UPPER(SUBSTITUTE(SUBSTITUTE(SUBSTITUTE(SUBSTITUTE(SUBSTITUTE(SUBSTITUTE($A80," ",""),"-",""),".",""),"/",""),"i","I"),"ı","?")))</f>
        <v/>
      </c>
      <c r="C80" s="8">
        <f>IF($F80=1,$R80,"")</f>
        <v/>
      </c>
      <c r="D80" s="7">
        <f>IF($A80="","",IF($F80=0,"Biçim hatalı",IF(FIND(MID($B80,11,1),"0123456789")-1=$R80,"Geçerli","Kontrol hanesi hatalı (doğrusu: "&amp;$R80&amp;")")))</f>
        <v/>
      </c>
      <c r="F80">
        <f>IF($A80="","",IF(AND(LEN($B80)=11,SUMPRODUCT(--ISNUMBER(FIND(MID($B80,{1,2,3},1),"ABCDEFGHIJKLMNOPQRSTUVWXYZ")))=3,ISNUMBER(FIND(MID($B80,4,1),"UJZ")),SUMPRODUCT(--ISNUMBER(FIND(MID($B80,{5,6,7,8,9,10,11},1),"0123456789")))=7),1,0))</f>
        <v/>
      </c>
      <c r="G80">
        <f>IF($F80=1,INDEX({10,12,13,14,15,16,17,18,19,20,21,23,24,25,26,27,28,29,30,31,32,34,35,36,37,38},1,FIND(MID($B80,1,1),"ABCDEFGHIJKLMNOPQRSTUVWXYZ")),"")</f>
        <v/>
      </c>
      <c r="H80">
        <f>IF($F80=1,INDEX({10,12,13,14,15,16,17,18,19,20,21,23,24,25,26,27,28,29,30,31,32,34,35,36,37,38},1,FIND(MID($B80,2,1),"ABCDEFGHIJKLMNOPQRSTUVWXYZ")),"")</f>
        <v/>
      </c>
      <c r="I80">
        <f>IF($F80=1,INDEX({10,12,13,14,15,16,17,18,19,20,21,23,24,25,26,27,28,29,30,31,32,34,35,36,37,38},1,FIND(MID($B80,3,1),"ABCDEFGHIJKLMNOPQRSTUVWXYZ")),"")</f>
        <v/>
      </c>
      <c r="J80">
        <f>IF($F80=1,INDEX({10,12,13,14,15,16,17,18,19,20,21,23,24,25,26,27,28,29,30,31,32,34,35,36,37,38},1,FIND(MID($B80,4,1),"ABCDEFGHIJKLMNOPQRSTUVWXYZ")),"")</f>
        <v/>
      </c>
      <c r="K80">
        <f>IF($F80=1,FIND(MID($B80,5,1),"0123456789")-1,"")</f>
        <v/>
      </c>
      <c r="L80">
        <f>IF($F80=1,FIND(MID($B80,6,1),"0123456789")-1,"")</f>
        <v/>
      </c>
      <c r="M80">
        <f>IF($F80=1,FIND(MID($B80,7,1),"0123456789")-1,"")</f>
        <v/>
      </c>
      <c r="N80">
        <f>IF($F80=1,FIND(MID($B80,8,1),"0123456789")-1,"")</f>
        <v/>
      </c>
      <c r="O80">
        <f>IF($F80=1,FIND(MID($B80,9,1),"0123456789")-1,"")</f>
        <v/>
      </c>
      <c r="P80">
        <f>IF($F80=1,FIND(MID($B80,10,1),"0123456789")-1,"")</f>
        <v/>
      </c>
      <c r="Q80">
        <f>IF($F80=1,SUMPRODUCT($G80:$P80,{1,2,4,8,16,32,64,128,256,512}),"")</f>
        <v/>
      </c>
      <c r="R80">
        <f>IF($F80=1,MOD(MOD($Q80,11),10),"")</f>
        <v/>
      </c>
    </row>
    <row r="81">
      <c r="A81" s="6" t="n"/>
      <c r="B81" s="7">
        <f>IF($A81="","",UPPER(SUBSTITUTE(SUBSTITUTE(SUBSTITUTE(SUBSTITUTE(SUBSTITUTE(SUBSTITUTE($A81," ",""),"-",""),".",""),"/",""),"i","I"),"ı","?")))</f>
        <v/>
      </c>
      <c r="C81" s="8">
        <f>IF($F81=1,$R81,"")</f>
        <v/>
      </c>
      <c r="D81" s="7">
        <f>IF($A81="","",IF($F81=0,"Biçim hatalı",IF(FIND(MID($B81,11,1),"0123456789")-1=$R81,"Geçerli","Kontrol hanesi hatalı (doğrusu: "&amp;$R81&amp;")")))</f>
        <v/>
      </c>
      <c r="F81">
        <f>IF($A81="","",IF(AND(LEN($B81)=11,SUMPRODUCT(--ISNUMBER(FIND(MID($B81,{1,2,3},1),"ABCDEFGHIJKLMNOPQRSTUVWXYZ")))=3,ISNUMBER(FIND(MID($B81,4,1),"UJZ")),SUMPRODUCT(--ISNUMBER(FIND(MID($B81,{5,6,7,8,9,10,11},1),"0123456789")))=7),1,0))</f>
        <v/>
      </c>
      <c r="G81">
        <f>IF($F81=1,INDEX({10,12,13,14,15,16,17,18,19,20,21,23,24,25,26,27,28,29,30,31,32,34,35,36,37,38},1,FIND(MID($B81,1,1),"ABCDEFGHIJKLMNOPQRSTUVWXYZ")),"")</f>
        <v/>
      </c>
      <c r="H81">
        <f>IF($F81=1,INDEX({10,12,13,14,15,16,17,18,19,20,21,23,24,25,26,27,28,29,30,31,32,34,35,36,37,38},1,FIND(MID($B81,2,1),"ABCDEFGHIJKLMNOPQRSTUVWXYZ")),"")</f>
        <v/>
      </c>
      <c r="I81">
        <f>IF($F81=1,INDEX({10,12,13,14,15,16,17,18,19,20,21,23,24,25,26,27,28,29,30,31,32,34,35,36,37,38},1,FIND(MID($B81,3,1),"ABCDEFGHIJKLMNOPQRSTUVWXYZ")),"")</f>
        <v/>
      </c>
      <c r="J81">
        <f>IF($F81=1,INDEX({10,12,13,14,15,16,17,18,19,20,21,23,24,25,26,27,28,29,30,31,32,34,35,36,37,38},1,FIND(MID($B81,4,1),"ABCDEFGHIJKLMNOPQRSTUVWXYZ")),"")</f>
        <v/>
      </c>
      <c r="K81">
        <f>IF($F81=1,FIND(MID($B81,5,1),"0123456789")-1,"")</f>
        <v/>
      </c>
      <c r="L81">
        <f>IF($F81=1,FIND(MID($B81,6,1),"0123456789")-1,"")</f>
        <v/>
      </c>
      <c r="M81">
        <f>IF($F81=1,FIND(MID($B81,7,1),"0123456789")-1,"")</f>
        <v/>
      </c>
      <c r="N81">
        <f>IF($F81=1,FIND(MID($B81,8,1),"0123456789")-1,"")</f>
        <v/>
      </c>
      <c r="O81">
        <f>IF($F81=1,FIND(MID($B81,9,1),"0123456789")-1,"")</f>
        <v/>
      </c>
      <c r="P81">
        <f>IF($F81=1,FIND(MID($B81,10,1),"0123456789")-1,"")</f>
        <v/>
      </c>
      <c r="Q81">
        <f>IF($F81=1,SUMPRODUCT($G81:$P81,{1,2,4,8,16,32,64,128,256,512}),"")</f>
        <v/>
      </c>
      <c r="R81">
        <f>IF($F81=1,MOD(MOD($Q81,11),10),"")</f>
        <v/>
      </c>
    </row>
    <row r="82">
      <c r="A82" s="6" t="n"/>
      <c r="B82" s="7">
        <f>IF($A82="","",UPPER(SUBSTITUTE(SUBSTITUTE(SUBSTITUTE(SUBSTITUTE(SUBSTITUTE(SUBSTITUTE($A82," ",""),"-",""),".",""),"/",""),"i","I"),"ı","?")))</f>
        <v/>
      </c>
      <c r="C82" s="8">
        <f>IF($F82=1,$R82,"")</f>
        <v/>
      </c>
      <c r="D82" s="7">
        <f>IF($A82="","",IF($F82=0,"Biçim hatalı",IF(FIND(MID($B82,11,1),"0123456789")-1=$R82,"Geçerli","Kontrol hanesi hatalı (doğrusu: "&amp;$R82&amp;")")))</f>
        <v/>
      </c>
      <c r="F82">
        <f>IF($A82="","",IF(AND(LEN($B82)=11,SUMPRODUCT(--ISNUMBER(FIND(MID($B82,{1,2,3},1),"ABCDEFGHIJKLMNOPQRSTUVWXYZ")))=3,ISNUMBER(FIND(MID($B82,4,1),"UJZ")),SUMPRODUCT(--ISNUMBER(FIND(MID($B82,{5,6,7,8,9,10,11},1),"0123456789")))=7),1,0))</f>
        <v/>
      </c>
      <c r="G82">
        <f>IF($F82=1,INDEX({10,12,13,14,15,16,17,18,19,20,21,23,24,25,26,27,28,29,30,31,32,34,35,36,37,38},1,FIND(MID($B82,1,1),"ABCDEFGHIJKLMNOPQRSTUVWXYZ")),"")</f>
        <v/>
      </c>
      <c r="H82">
        <f>IF($F82=1,INDEX({10,12,13,14,15,16,17,18,19,20,21,23,24,25,26,27,28,29,30,31,32,34,35,36,37,38},1,FIND(MID($B82,2,1),"ABCDEFGHIJKLMNOPQRSTUVWXYZ")),"")</f>
        <v/>
      </c>
      <c r="I82">
        <f>IF($F82=1,INDEX({10,12,13,14,15,16,17,18,19,20,21,23,24,25,26,27,28,29,30,31,32,34,35,36,37,38},1,FIND(MID($B82,3,1),"ABCDEFGHIJKLMNOPQRSTUVWXYZ")),"")</f>
        <v/>
      </c>
      <c r="J82">
        <f>IF($F82=1,INDEX({10,12,13,14,15,16,17,18,19,20,21,23,24,25,26,27,28,29,30,31,32,34,35,36,37,38},1,FIND(MID($B82,4,1),"ABCDEFGHIJKLMNOPQRSTUVWXYZ")),"")</f>
        <v/>
      </c>
      <c r="K82">
        <f>IF($F82=1,FIND(MID($B82,5,1),"0123456789")-1,"")</f>
        <v/>
      </c>
      <c r="L82">
        <f>IF($F82=1,FIND(MID($B82,6,1),"0123456789")-1,"")</f>
        <v/>
      </c>
      <c r="M82">
        <f>IF($F82=1,FIND(MID($B82,7,1),"0123456789")-1,"")</f>
        <v/>
      </c>
      <c r="N82">
        <f>IF($F82=1,FIND(MID($B82,8,1),"0123456789")-1,"")</f>
        <v/>
      </c>
      <c r="O82">
        <f>IF($F82=1,FIND(MID($B82,9,1),"0123456789")-1,"")</f>
        <v/>
      </c>
      <c r="P82">
        <f>IF($F82=1,FIND(MID($B82,10,1),"0123456789")-1,"")</f>
        <v/>
      </c>
      <c r="Q82">
        <f>IF($F82=1,SUMPRODUCT($G82:$P82,{1,2,4,8,16,32,64,128,256,512}),"")</f>
        <v/>
      </c>
      <c r="R82">
        <f>IF($F82=1,MOD(MOD($Q82,11),10),"")</f>
        <v/>
      </c>
    </row>
    <row r="83">
      <c r="A83" s="6" t="n"/>
      <c r="B83" s="7">
        <f>IF($A83="","",UPPER(SUBSTITUTE(SUBSTITUTE(SUBSTITUTE(SUBSTITUTE(SUBSTITUTE(SUBSTITUTE($A83," ",""),"-",""),".",""),"/",""),"i","I"),"ı","?")))</f>
        <v/>
      </c>
      <c r="C83" s="8">
        <f>IF($F83=1,$R83,"")</f>
        <v/>
      </c>
      <c r="D83" s="7">
        <f>IF($A83="","",IF($F83=0,"Biçim hatalı",IF(FIND(MID($B83,11,1),"0123456789")-1=$R83,"Geçerli","Kontrol hanesi hatalı (doğrusu: "&amp;$R83&amp;")")))</f>
        <v/>
      </c>
      <c r="F83">
        <f>IF($A83="","",IF(AND(LEN($B83)=11,SUMPRODUCT(--ISNUMBER(FIND(MID($B83,{1,2,3},1),"ABCDEFGHIJKLMNOPQRSTUVWXYZ")))=3,ISNUMBER(FIND(MID($B83,4,1),"UJZ")),SUMPRODUCT(--ISNUMBER(FIND(MID($B83,{5,6,7,8,9,10,11},1),"0123456789")))=7),1,0))</f>
        <v/>
      </c>
      <c r="G83">
        <f>IF($F83=1,INDEX({10,12,13,14,15,16,17,18,19,20,21,23,24,25,26,27,28,29,30,31,32,34,35,36,37,38},1,FIND(MID($B83,1,1),"ABCDEFGHIJKLMNOPQRSTUVWXYZ")),"")</f>
        <v/>
      </c>
      <c r="H83">
        <f>IF($F83=1,INDEX({10,12,13,14,15,16,17,18,19,20,21,23,24,25,26,27,28,29,30,31,32,34,35,36,37,38},1,FIND(MID($B83,2,1),"ABCDEFGHIJKLMNOPQRSTUVWXYZ")),"")</f>
        <v/>
      </c>
      <c r="I83">
        <f>IF($F83=1,INDEX({10,12,13,14,15,16,17,18,19,20,21,23,24,25,26,27,28,29,30,31,32,34,35,36,37,38},1,FIND(MID($B83,3,1),"ABCDEFGHIJKLMNOPQRSTUVWXYZ")),"")</f>
        <v/>
      </c>
      <c r="J83">
        <f>IF($F83=1,INDEX({10,12,13,14,15,16,17,18,19,20,21,23,24,25,26,27,28,29,30,31,32,34,35,36,37,38},1,FIND(MID($B83,4,1),"ABCDEFGHIJKLMNOPQRSTUVWXYZ")),"")</f>
        <v/>
      </c>
      <c r="K83">
        <f>IF($F83=1,FIND(MID($B83,5,1),"0123456789")-1,"")</f>
        <v/>
      </c>
      <c r="L83">
        <f>IF($F83=1,FIND(MID($B83,6,1),"0123456789")-1,"")</f>
        <v/>
      </c>
      <c r="M83">
        <f>IF($F83=1,FIND(MID($B83,7,1),"0123456789")-1,"")</f>
        <v/>
      </c>
      <c r="N83">
        <f>IF($F83=1,FIND(MID($B83,8,1),"0123456789")-1,"")</f>
        <v/>
      </c>
      <c r="O83">
        <f>IF($F83=1,FIND(MID($B83,9,1),"0123456789")-1,"")</f>
        <v/>
      </c>
      <c r="P83">
        <f>IF($F83=1,FIND(MID($B83,10,1),"0123456789")-1,"")</f>
        <v/>
      </c>
      <c r="Q83">
        <f>IF($F83=1,SUMPRODUCT($G83:$P83,{1,2,4,8,16,32,64,128,256,512}),"")</f>
        <v/>
      </c>
      <c r="R83">
        <f>IF($F83=1,MOD(MOD($Q83,11),10),"")</f>
        <v/>
      </c>
    </row>
    <row r="84">
      <c r="A84" s="6" t="n"/>
      <c r="B84" s="7">
        <f>IF($A84="","",UPPER(SUBSTITUTE(SUBSTITUTE(SUBSTITUTE(SUBSTITUTE(SUBSTITUTE(SUBSTITUTE($A84," ",""),"-",""),".",""),"/",""),"i","I"),"ı","?")))</f>
        <v/>
      </c>
      <c r="C84" s="8">
        <f>IF($F84=1,$R84,"")</f>
        <v/>
      </c>
      <c r="D84" s="7">
        <f>IF($A84="","",IF($F84=0,"Biçim hatalı",IF(FIND(MID($B84,11,1),"0123456789")-1=$R84,"Geçerli","Kontrol hanesi hatalı (doğrusu: "&amp;$R84&amp;")")))</f>
        <v/>
      </c>
      <c r="F84">
        <f>IF($A84="","",IF(AND(LEN($B84)=11,SUMPRODUCT(--ISNUMBER(FIND(MID($B84,{1,2,3},1),"ABCDEFGHIJKLMNOPQRSTUVWXYZ")))=3,ISNUMBER(FIND(MID($B84,4,1),"UJZ")),SUMPRODUCT(--ISNUMBER(FIND(MID($B84,{5,6,7,8,9,10,11},1),"0123456789")))=7),1,0))</f>
        <v/>
      </c>
      <c r="G84">
        <f>IF($F84=1,INDEX({10,12,13,14,15,16,17,18,19,20,21,23,24,25,26,27,28,29,30,31,32,34,35,36,37,38},1,FIND(MID($B84,1,1),"ABCDEFGHIJKLMNOPQRSTUVWXYZ")),"")</f>
        <v/>
      </c>
      <c r="H84">
        <f>IF($F84=1,INDEX({10,12,13,14,15,16,17,18,19,20,21,23,24,25,26,27,28,29,30,31,32,34,35,36,37,38},1,FIND(MID($B84,2,1),"ABCDEFGHIJKLMNOPQRSTUVWXYZ")),"")</f>
        <v/>
      </c>
      <c r="I84">
        <f>IF($F84=1,INDEX({10,12,13,14,15,16,17,18,19,20,21,23,24,25,26,27,28,29,30,31,32,34,35,36,37,38},1,FIND(MID($B84,3,1),"ABCDEFGHIJKLMNOPQRSTUVWXYZ")),"")</f>
        <v/>
      </c>
      <c r="J84">
        <f>IF($F84=1,INDEX({10,12,13,14,15,16,17,18,19,20,21,23,24,25,26,27,28,29,30,31,32,34,35,36,37,38},1,FIND(MID($B84,4,1),"ABCDEFGHIJKLMNOPQRSTUVWXYZ")),"")</f>
        <v/>
      </c>
      <c r="K84">
        <f>IF($F84=1,FIND(MID($B84,5,1),"0123456789")-1,"")</f>
        <v/>
      </c>
      <c r="L84">
        <f>IF($F84=1,FIND(MID($B84,6,1),"0123456789")-1,"")</f>
        <v/>
      </c>
      <c r="M84">
        <f>IF($F84=1,FIND(MID($B84,7,1),"0123456789")-1,"")</f>
        <v/>
      </c>
      <c r="N84">
        <f>IF($F84=1,FIND(MID($B84,8,1),"0123456789")-1,"")</f>
        <v/>
      </c>
      <c r="O84">
        <f>IF($F84=1,FIND(MID($B84,9,1),"0123456789")-1,"")</f>
        <v/>
      </c>
      <c r="P84">
        <f>IF($F84=1,FIND(MID($B84,10,1),"0123456789")-1,"")</f>
        <v/>
      </c>
      <c r="Q84">
        <f>IF($F84=1,SUMPRODUCT($G84:$P84,{1,2,4,8,16,32,64,128,256,512}),"")</f>
        <v/>
      </c>
      <c r="R84">
        <f>IF($F84=1,MOD(MOD($Q84,11),10),"")</f>
        <v/>
      </c>
    </row>
    <row r="85">
      <c r="A85" s="6" t="n"/>
      <c r="B85" s="7">
        <f>IF($A85="","",UPPER(SUBSTITUTE(SUBSTITUTE(SUBSTITUTE(SUBSTITUTE(SUBSTITUTE(SUBSTITUTE($A85," ",""),"-",""),".",""),"/",""),"i","I"),"ı","?")))</f>
        <v/>
      </c>
      <c r="C85" s="8">
        <f>IF($F85=1,$R85,"")</f>
        <v/>
      </c>
      <c r="D85" s="7">
        <f>IF($A85="","",IF($F85=0,"Biçim hatalı",IF(FIND(MID($B85,11,1),"0123456789")-1=$R85,"Geçerli","Kontrol hanesi hatalı (doğrusu: "&amp;$R85&amp;")")))</f>
        <v/>
      </c>
      <c r="F85">
        <f>IF($A85="","",IF(AND(LEN($B85)=11,SUMPRODUCT(--ISNUMBER(FIND(MID($B85,{1,2,3},1),"ABCDEFGHIJKLMNOPQRSTUVWXYZ")))=3,ISNUMBER(FIND(MID($B85,4,1),"UJZ")),SUMPRODUCT(--ISNUMBER(FIND(MID($B85,{5,6,7,8,9,10,11},1),"0123456789")))=7),1,0))</f>
        <v/>
      </c>
      <c r="G85">
        <f>IF($F85=1,INDEX({10,12,13,14,15,16,17,18,19,20,21,23,24,25,26,27,28,29,30,31,32,34,35,36,37,38},1,FIND(MID($B85,1,1),"ABCDEFGHIJKLMNOPQRSTUVWXYZ")),"")</f>
        <v/>
      </c>
      <c r="H85">
        <f>IF($F85=1,INDEX({10,12,13,14,15,16,17,18,19,20,21,23,24,25,26,27,28,29,30,31,32,34,35,36,37,38},1,FIND(MID($B85,2,1),"ABCDEFGHIJKLMNOPQRSTUVWXYZ")),"")</f>
        <v/>
      </c>
      <c r="I85">
        <f>IF($F85=1,INDEX({10,12,13,14,15,16,17,18,19,20,21,23,24,25,26,27,28,29,30,31,32,34,35,36,37,38},1,FIND(MID($B85,3,1),"ABCDEFGHIJKLMNOPQRSTUVWXYZ")),"")</f>
        <v/>
      </c>
      <c r="J85">
        <f>IF($F85=1,INDEX({10,12,13,14,15,16,17,18,19,20,21,23,24,25,26,27,28,29,30,31,32,34,35,36,37,38},1,FIND(MID($B85,4,1),"ABCDEFGHIJKLMNOPQRSTUVWXYZ")),"")</f>
        <v/>
      </c>
      <c r="K85">
        <f>IF($F85=1,FIND(MID($B85,5,1),"0123456789")-1,"")</f>
        <v/>
      </c>
      <c r="L85">
        <f>IF($F85=1,FIND(MID($B85,6,1),"0123456789")-1,"")</f>
        <v/>
      </c>
      <c r="M85">
        <f>IF($F85=1,FIND(MID($B85,7,1),"0123456789")-1,"")</f>
        <v/>
      </c>
      <c r="N85">
        <f>IF($F85=1,FIND(MID($B85,8,1),"0123456789")-1,"")</f>
        <v/>
      </c>
      <c r="O85">
        <f>IF($F85=1,FIND(MID($B85,9,1),"0123456789")-1,"")</f>
        <v/>
      </c>
      <c r="P85">
        <f>IF($F85=1,FIND(MID($B85,10,1),"0123456789")-1,"")</f>
        <v/>
      </c>
      <c r="Q85">
        <f>IF($F85=1,SUMPRODUCT($G85:$P85,{1,2,4,8,16,32,64,128,256,512}),"")</f>
        <v/>
      </c>
      <c r="R85">
        <f>IF($F85=1,MOD(MOD($Q85,11),10),"")</f>
        <v/>
      </c>
    </row>
    <row r="86">
      <c r="A86" s="6" t="n"/>
      <c r="B86" s="7">
        <f>IF($A86="","",UPPER(SUBSTITUTE(SUBSTITUTE(SUBSTITUTE(SUBSTITUTE(SUBSTITUTE(SUBSTITUTE($A86," ",""),"-",""),".",""),"/",""),"i","I"),"ı","?")))</f>
        <v/>
      </c>
      <c r="C86" s="8">
        <f>IF($F86=1,$R86,"")</f>
        <v/>
      </c>
      <c r="D86" s="7">
        <f>IF($A86="","",IF($F86=0,"Biçim hatalı",IF(FIND(MID($B86,11,1),"0123456789")-1=$R86,"Geçerli","Kontrol hanesi hatalı (doğrusu: "&amp;$R86&amp;")")))</f>
        <v/>
      </c>
      <c r="F86">
        <f>IF($A86="","",IF(AND(LEN($B86)=11,SUMPRODUCT(--ISNUMBER(FIND(MID($B86,{1,2,3},1),"ABCDEFGHIJKLMNOPQRSTUVWXYZ")))=3,ISNUMBER(FIND(MID($B86,4,1),"UJZ")),SUMPRODUCT(--ISNUMBER(FIND(MID($B86,{5,6,7,8,9,10,11},1),"0123456789")))=7),1,0))</f>
        <v/>
      </c>
      <c r="G86">
        <f>IF($F86=1,INDEX({10,12,13,14,15,16,17,18,19,20,21,23,24,25,26,27,28,29,30,31,32,34,35,36,37,38},1,FIND(MID($B86,1,1),"ABCDEFGHIJKLMNOPQRSTUVWXYZ")),"")</f>
        <v/>
      </c>
      <c r="H86">
        <f>IF($F86=1,INDEX({10,12,13,14,15,16,17,18,19,20,21,23,24,25,26,27,28,29,30,31,32,34,35,36,37,38},1,FIND(MID($B86,2,1),"ABCDEFGHIJKLMNOPQRSTUVWXYZ")),"")</f>
        <v/>
      </c>
      <c r="I86">
        <f>IF($F86=1,INDEX({10,12,13,14,15,16,17,18,19,20,21,23,24,25,26,27,28,29,30,31,32,34,35,36,37,38},1,FIND(MID($B86,3,1),"ABCDEFGHIJKLMNOPQRSTUVWXYZ")),"")</f>
        <v/>
      </c>
      <c r="J86">
        <f>IF($F86=1,INDEX({10,12,13,14,15,16,17,18,19,20,21,23,24,25,26,27,28,29,30,31,32,34,35,36,37,38},1,FIND(MID($B86,4,1),"ABCDEFGHIJKLMNOPQRSTUVWXYZ")),"")</f>
        <v/>
      </c>
      <c r="K86">
        <f>IF($F86=1,FIND(MID($B86,5,1),"0123456789")-1,"")</f>
        <v/>
      </c>
      <c r="L86">
        <f>IF($F86=1,FIND(MID($B86,6,1),"0123456789")-1,"")</f>
        <v/>
      </c>
      <c r="M86">
        <f>IF($F86=1,FIND(MID($B86,7,1),"0123456789")-1,"")</f>
        <v/>
      </c>
      <c r="N86">
        <f>IF($F86=1,FIND(MID($B86,8,1),"0123456789")-1,"")</f>
        <v/>
      </c>
      <c r="O86">
        <f>IF($F86=1,FIND(MID($B86,9,1),"0123456789")-1,"")</f>
        <v/>
      </c>
      <c r="P86">
        <f>IF($F86=1,FIND(MID($B86,10,1),"0123456789")-1,"")</f>
        <v/>
      </c>
      <c r="Q86">
        <f>IF($F86=1,SUMPRODUCT($G86:$P86,{1,2,4,8,16,32,64,128,256,512}),"")</f>
        <v/>
      </c>
      <c r="R86">
        <f>IF($F86=1,MOD(MOD($Q86,11),10),"")</f>
        <v/>
      </c>
    </row>
    <row r="87">
      <c r="A87" s="6" t="n"/>
      <c r="B87" s="7">
        <f>IF($A87="","",UPPER(SUBSTITUTE(SUBSTITUTE(SUBSTITUTE(SUBSTITUTE(SUBSTITUTE(SUBSTITUTE($A87," ",""),"-",""),".",""),"/",""),"i","I"),"ı","?")))</f>
        <v/>
      </c>
      <c r="C87" s="8">
        <f>IF($F87=1,$R87,"")</f>
        <v/>
      </c>
      <c r="D87" s="7">
        <f>IF($A87="","",IF($F87=0,"Biçim hatalı",IF(FIND(MID($B87,11,1),"0123456789")-1=$R87,"Geçerli","Kontrol hanesi hatalı (doğrusu: "&amp;$R87&amp;")")))</f>
        <v/>
      </c>
      <c r="F87">
        <f>IF($A87="","",IF(AND(LEN($B87)=11,SUMPRODUCT(--ISNUMBER(FIND(MID($B87,{1,2,3},1),"ABCDEFGHIJKLMNOPQRSTUVWXYZ")))=3,ISNUMBER(FIND(MID($B87,4,1),"UJZ")),SUMPRODUCT(--ISNUMBER(FIND(MID($B87,{5,6,7,8,9,10,11},1),"0123456789")))=7),1,0))</f>
        <v/>
      </c>
      <c r="G87">
        <f>IF($F87=1,INDEX({10,12,13,14,15,16,17,18,19,20,21,23,24,25,26,27,28,29,30,31,32,34,35,36,37,38},1,FIND(MID($B87,1,1),"ABCDEFGHIJKLMNOPQRSTUVWXYZ")),"")</f>
        <v/>
      </c>
      <c r="H87">
        <f>IF($F87=1,INDEX({10,12,13,14,15,16,17,18,19,20,21,23,24,25,26,27,28,29,30,31,32,34,35,36,37,38},1,FIND(MID($B87,2,1),"ABCDEFGHIJKLMNOPQRSTUVWXYZ")),"")</f>
        <v/>
      </c>
      <c r="I87">
        <f>IF($F87=1,INDEX({10,12,13,14,15,16,17,18,19,20,21,23,24,25,26,27,28,29,30,31,32,34,35,36,37,38},1,FIND(MID($B87,3,1),"ABCDEFGHIJKLMNOPQRSTUVWXYZ")),"")</f>
        <v/>
      </c>
      <c r="J87">
        <f>IF($F87=1,INDEX({10,12,13,14,15,16,17,18,19,20,21,23,24,25,26,27,28,29,30,31,32,34,35,36,37,38},1,FIND(MID($B87,4,1),"ABCDEFGHIJKLMNOPQRSTUVWXYZ")),"")</f>
        <v/>
      </c>
      <c r="K87">
        <f>IF($F87=1,FIND(MID($B87,5,1),"0123456789")-1,"")</f>
        <v/>
      </c>
      <c r="L87">
        <f>IF($F87=1,FIND(MID($B87,6,1),"0123456789")-1,"")</f>
        <v/>
      </c>
      <c r="M87">
        <f>IF($F87=1,FIND(MID($B87,7,1),"0123456789")-1,"")</f>
        <v/>
      </c>
      <c r="N87">
        <f>IF($F87=1,FIND(MID($B87,8,1),"0123456789")-1,"")</f>
        <v/>
      </c>
      <c r="O87">
        <f>IF($F87=1,FIND(MID($B87,9,1),"0123456789")-1,"")</f>
        <v/>
      </c>
      <c r="P87">
        <f>IF($F87=1,FIND(MID($B87,10,1),"0123456789")-1,"")</f>
        <v/>
      </c>
      <c r="Q87">
        <f>IF($F87=1,SUMPRODUCT($G87:$P87,{1,2,4,8,16,32,64,128,256,512}),"")</f>
        <v/>
      </c>
      <c r="R87">
        <f>IF($F87=1,MOD(MOD($Q87,11),10),"")</f>
        <v/>
      </c>
    </row>
    <row r="88">
      <c r="A88" s="6" t="n"/>
      <c r="B88" s="7">
        <f>IF($A88="","",UPPER(SUBSTITUTE(SUBSTITUTE(SUBSTITUTE(SUBSTITUTE(SUBSTITUTE(SUBSTITUTE($A88," ",""),"-",""),".",""),"/",""),"i","I"),"ı","?")))</f>
        <v/>
      </c>
      <c r="C88" s="8">
        <f>IF($F88=1,$R88,"")</f>
        <v/>
      </c>
      <c r="D88" s="7">
        <f>IF($A88="","",IF($F88=0,"Biçim hatalı",IF(FIND(MID($B88,11,1),"0123456789")-1=$R88,"Geçerli","Kontrol hanesi hatalı (doğrusu: "&amp;$R88&amp;")")))</f>
        <v/>
      </c>
      <c r="F88">
        <f>IF($A88="","",IF(AND(LEN($B88)=11,SUMPRODUCT(--ISNUMBER(FIND(MID($B88,{1,2,3},1),"ABCDEFGHIJKLMNOPQRSTUVWXYZ")))=3,ISNUMBER(FIND(MID($B88,4,1),"UJZ")),SUMPRODUCT(--ISNUMBER(FIND(MID($B88,{5,6,7,8,9,10,11},1),"0123456789")))=7),1,0))</f>
        <v/>
      </c>
      <c r="G88">
        <f>IF($F88=1,INDEX({10,12,13,14,15,16,17,18,19,20,21,23,24,25,26,27,28,29,30,31,32,34,35,36,37,38},1,FIND(MID($B88,1,1),"ABCDEFGHIJKLMNOPQRSTUVWXYZ")),"")</f>
        <v/>
      </c>
      <c r="H88">
        <f>IF($F88=1,INDEX({10,12,13,14,15,16,17,18,19,20,21,23,24,25,26,27,28,29,30,31,32,34,35,36,37,38},1,FIND(MID($B88,2,1),"ABCDEFGHIJKLMNOPQRSTUVWXYZ")),"")</f>
        <v/>
      </c>
      <c r="I88">
        <f>IF($F88=1,INDEX({10,12,13,14,15,16,17,18,19,20,21,23,24,25,26,27,28,29,30,31,32,34,35,36,37,38},1,FIND(MID($B88,3,1),"ABCDEFGHIJKLMNOPQRSTUVWXYZ")),"")</f>
        <v/>
      </c>
      <c r="J88">
        <f>IF($F88=1,INDEX({10,12,13,14,15,16,17,18,19,20,21,23,24,25,26,27,28,29,30,31,32,34,35,36,37,38},1,FIND(MID($B88,4,1),"ABCDEFGHIJKLMNOPQRSTUVWXYZ")),"")</f>
        <v/>
      </c>
      <c r="K88">
        <f>IF($F88=1,FIND(MID($B88,5,1),"0123456789")-1,"")</f>
        <v/>
      </c>
      <c r="L88">
        <f>IF($F88=1,FIND(MID($B88,6,1),"0123456789")-1,"")</f>
        <v/>
      </c>
      <c r="M88">
        <f>IF($F88=1,FIND(MID($B88,7,1),"0123456789")-1,"")</f>
        <v/>
      </c>
      <c r="N88">
        <f>IF($F88=1,FIND(MID($B88,8,1),"0123456789")-1,"")</f>
        <v/>
      </c>
      <c r="O88">
        <f>IF($F88=1,FIND(MID($B88,9,1),"0123456789")-1,"")</f>
        <v/>
      </c>
      <c r="P88">
        <f>IF($F88=1,FIND(MID($B88,10,1),"0123456789")-1,"")</f>
        <v/>
      </c>
      <c r="Q88">
        <f>IF($F88=1,SUMPRODUCT($G88:$P88,{1,2,4,8,16,32,64,128,256,512}),"")</f>
        <v/>
      </c>
      <c r="R88">
        <f>IF($F88=1,MOD(MOD($Q88,11),10),"")</f>
        <v/>
      </c>
    </row>
    <row r="89">
      <c r="A89" s="6" t="n"/>
      <c r="B89" s="7">
        <f>IF($A89="","",UPPER(SUBSTITUTE(SUBSTITUTE(SUBSTITUTE(SUBSTITUTE(SUBSTITUTE(SUBSTITUTE($A89," ",""),"-",""),".",""),"/",""),"i","I"),"ı","?")))</f>
        <v/>
      </c>
      <c r="C89" s="8">
        <f>IF($F89=1,$R89,"")</f>
        <v/>
      </c>
      <c r="D89" s="7">
        <f>IF($A89="","",IF($F89=0,"Biçim hatalı",IF(FIND(MID($B89,11,1),"0123456789")-1=$R89,"Geçerli","Kontrol hanesi hatalı (doğrusu: "&amp;$R89&amp;")")))</f>
        <v/>
      </c>
      <c r="F89">
        <f>IF($A89="","",IF(AND(LEN($B89)=11,SUMPRODUCT(--ISNUMBER(FIND(MID($B89,{1,2,3},1),"ABCDEFGHIJKLMNOPQRSTUVWXYZ")))=3,ISNUMBER(FIND(MID($B89,4,1),"UJZ")),SUMPRODUCT(--ISNUMBER(FIND(MID($B89,{5,6,7,8,9,10,11},1),"0123456789")))=7),1,0))</f>
        <v/>
      </c>
      <c r="G89">
        <f>IF($F89=1,INDEX({10,12,13,14,15,16,17,18,19,20,21,23,24,25,26,27,28,29,30,31,32,34,35,36,37,38},1,FIND(MID($B89,1,1),"ABCDEFGHIJKLMNOPQRSTUVWXYZ")),"")</f>
        <v/>
      </c>
      <c r="H89">
        <f>IF($F89=1,INDEX({10,12,13,14,15,16,17,18,19,20,21,23,24,25,26,27,28,29,30,31,32,34,35,36,37,38},1,FIND(MID($B89,2,1),"ABCDEFGHIJKLMNOPQRSTUVWXYZ")),"")</f>
        <v/>
      </c>
      <c r="I89">
        <f>IF($F89=1,INDEX({10,12,13,14,15,16,17,18,19,20,21,23,24,25,26,27,28,29,30,31,32,34,35,36,37,38},1,FIND(MID($B89,3,1),"ABCDEFGHIJKLMNOPQRSTUVWXYZ")),"")</f>
        <v/>
      </c>
      <c r="J89">
        <f>IF($F89=1,INDEX({10,12,13,14,15,16,17,18,19,20,21,23,24,25,26,27,28,29,30,31,32,34,35,36,37,38},1,FIND(MID($B89,4,1),"ABCDEFGHIJKLMNOPQRSTUVWXYZ")),"")</f>
        <v/>
      </c>
      <c r="K89">
        <f>IF($F89=1,FIND(MID($B89,5,1),"0123456789")-1,"")</f>
        <v/>
      </c>
      <c r="L89">
        <f>IF($F89=1,FIND(MID($B89,6,1),"0123456789")-1,"")</f>
        <v/>
      </c>
      <c r="M89">
        <f>IF($F89=1,FIND(MID($B89,7,1),"0123456789")-1,"")</f>
        <v/>
      </c>
      <c r="N89">
        <f>IF($F89=1,FIND(MID($B89,8,1),"0123456789")-1,"")</f>
        <v/>
      </c>
      <c r="O89">
        <f>IF($F89=1,FIND(MID($B89,9,1),"0123456789")-1,"")</f>
        <v/>
      </c>
      <c r="P89">
        <f>IF($F89=1,FIND(MID($B89,10,1),"0123456789")-1,"")</f>
        <v/>
      </c>
      <c r="Q89">
        <f>IF($F89=1,SUMPRODUCT($G89:$P89,{1,2,4,8,16,32,64,128,256,512}),"")</f>
        <v/>
      </c>
      <c r="R89">
        <f>IF($F89=1,MOD(MOD($Q89,11),10),"")</f>
        <v/>
      </c>
    </row>
    <row r="90">
      <c r="A90" s="6" t="n"/>
      <c r="B90" s="7">
        <f>IF($A90="","",UPPER(SUBSTITUTE(SUBSTITUTE(SUBSTITUTE(SUBSTITUTE(SUBSTITUTE(SUBSTITUTE($A90," ",""),"-",""),".",""),"/",""),"i","I"),"ı","?")))</f>
        <v/>
      </c>
      <c r="C90" s="8">
        <f>IF($F90=1,$R90,"")</f>
        <v/>
      </c>
      <c r="D90" s="7">
        <f>IF($A90="","",IF($F90=0,"Biçim hatalı",IF(FIND(MID($B90,11,1),"0123456789")-1=$R90,"Geçerli","Kontrol hanesi hatalı (doğrusu: "&amp;$R90&amp;")")))</f>
        <v/>
      </c>
      <c r="F90">
        <f>IF($A90="","",IF(AND(LEN($B90)=11,SUMPRODUCT(--ISNUMBER(FIND(MID($B90,{1,2,3},1),"ABCDEFGHIJKLMNOPQRSTUVWXYZ")))=3,ISNUMBER(FIND(MID($B90,4,1),"UJZ")),SUMPRODUCT(--ISNUMBER(FIND(MID($B90,{5,6,7,8,9,10,11},1),"0123456789")))=7),1,0))</f>
        <v/>
      </c>
      <c r="G90">
        <f>IF($F90=1,INDEX({10,12,13,14,15,16,17,18,19,20,21,23,24,25,26,27,28,29,30,31,32,34,35,36,37,38},1,FIND(MID($B90,1,1),"ABCDEFGHIJKLMNOPQRSTUVWXYZ")),"")</f>
        <v/>
      </c>
      <c r="H90">
        <f>IF($F90=1,INDEX({10,12,13,14,15,16,17,18,19,20,21,23,24,25,26,27,28,29,30,31,32,34,35,36,37,38},1,FIND(MID($B90,2,1),"ABCDEFGHIJKLMNOPQRSTUVWXYZ")),"")</f>
        <v/>
      </c>
      <c r="I90">
        <f>IF($F90=1,INDEX({10,12,13,14,15,16,17,18,19,20,21,23,24,25,26,27,28,29,30,31,32,34,35,36,37,38},1,FIND(MID($B90,3,1),"ABCDEFGHIJKLMNOPQRSTUVWXYZ")),"")</f>
        <v/>
      </c>
      <c r="J90">
        <f>IF($F90=1,INDEX({10,12,13,14,15,16,17,18,19,20,21,23,24,25,26,27,28,29,30,31,32,34,35,36,37,38},1,FIND(MID($B90,4,1),"ABCDEFGHIJKLMNOPQRSTUVWXYZ")),"")</f>
        <v/>
      </c>
      <c r="K90">
        <f>IF($F90=1,FIND(MID($B90,5,1),"0123456789")-1,"")</f>
        <v/>
      </c>
      <c r="L90">
        <f>IF($F90=1,FIND(MID($B90,6,1),"0123456789")-1,"")</f>
        <v/>
      </c>
      <c r="M90">
        <f>IF($F90=1,FIND(MID($B90,7,1),"0123456789")-1,"")</f>
        <v/>
      </c>
      <c r="N90">
        <f>IF($F90=1,FIND(MID($B90,8,1),"0123456789")-1,"")</f>
        <v/>
      </c>
      <c r="O90">
        <f>IF($F90=1,FIND(MID($B90,9,1),"0123456789")-1,"")</f>
        <v/>
      </c>
      <c r="P90">
        <f>IF($F90=1,FIND(MID($B90,10,1),"0123456789")-1,"")</f>
        <v/>
      </c>
      <c r="Q90">
        <f>IF($F90=1,SUMPRODUCT($G90:$P90,{1,2,4,8,16,32,64,128,256,512}),"")</f>
        <v/>
      </c>
      <c r="R90">
        <f>IF($F90=1,MOD(MOD($Q90,11),10),"")</f>
        <v/>
      </c>
    </row>
    <row r="91">
      <c r="A91" s="6" t="n"/>
      <c r="B91" s="7">
        <f>IF($A91="","",UPPER(SUBSTITUTE(SUBSTITUTE(SUBSTITUTE(SUBSTITUTE(SUBSTITUTE(SUBSTITUTE($A91," ",""),"-",""),".",""),"/",""),"i","I"),"ı","?")))</f>
        <v/>
      </c>
      <c r="C91" s="8">
        <f>IF($F91=1,$R91,"")</f>
        <v/>
      </c>
      <c r="D91" s="7">
        <f>IF($A91="","",IF($F91=0,"Biçim hatalı",IF(FIND(MID($B91,11,1),"0123456789")-1=$R91,"Geçerli","Kontrol hanesi hatalı (doğrusu: "&amp;$R91&amp;")")))</f>
        <v/>
      </c>
      <c r="F91">
        <f>IF($A91="","",IF(AND(LEN($B91)=11,SUMPRODUCT(--ISNUMBER(FIND(MID($B91,{1,2,3},1),"ABCDEFGHIJKLMNOPQRSTUVWXYZ")))=3,ISNUMBER(FIND(MID($B91,4,1),"UJZ")),SUMPRODUCT(--ISNUMBER(FIND(MID($B91,{5,6,7,8,9,10,11},1),"0123456789")))=7),1,0))</f>
        <v/>
      </c>
      <c r="G91">
        <f>IF($F91=1,INDEX({10,12,13,14,15,16,17,18,19,20,21,23,24,25,26,27,28,29,30,31,32,34,35,36,37,38},1,FIND(MID($B91,1,1),"ABCDEFGHIJKLMNOPQRSTUVWXYZ")),"")</f>
        <v/>
      </c>
      <c r="H91">
        <f>IF($F91=1,INDEX({10,12,13,14,15,16,17,18,19,20,21,23,24,25,26,27,28,29,30,31,32,34,35,36,37,38},1,FIND(MID($B91,2,1),"ABCDEFGHIJKLMNOPQRSTUVWXYZ")),"")</f>
        <v/>
      </c>
      <c r="I91">
        <f>IF($F91=1,INDEX({10,12,13,14,15,16,17,18,19,20,21,23,24,25,26,27,28,29,30,31,32,34,35,36,37,38},1,FIND(MID($B91,3,1),"ABCDEFGHIJKLMNOPQRSTUVWXYZ")),"")</f>
        <v/>
      </c>
      <c r="J91">
        <f>IF($F91=1,INDEX({10,12,13,14,15,16,17,18,19,20,21,23,24,25,26,27,28,29,30,31,32,34,35,36,37,38},1,FIND(MID($B91,4,1),"ABCDEFGHIJKLMNOPQRSTUVWXYZ")),"")</f>
        <v/>
      </c>
      <c r="K91">
        <f>IF($F91=1,FIND(MID($B91,5,1),"0123456789")-1,"")</f>
        <v/>
      </c>
      <c r="L91">
        <f>IF($F91=1,FIND(MID($B91,6,1),"0123456789")-1,"")</f>
        <v/>
      </c>
      <c r="M91">
        <f>IF($F91=1,FIND(MID($B91,7,1),"0123456789")-1,"")</f>
        <v/>
      </c>
      <c r="N91">
        <f>IF($F91=1,FIND(MID($B91,8,1),"0123456789")-1,"")</f>
        <v/>
      </c>
      <c r="O91">
        <f>IF($F91=1,FIND(MID($B91,9,1),"0123456789")-1,"")</f>
        <v/>
      </c>
      <c r="P91">
        <f>IF($F91=1,FIND(MID($B91,10,1),"0123456789")-1,"")</f>
        <v/>
      </c>
      <c r="Q91">
        <f>IF($F91=1,SUMPRODUCT($G91:$P91,{1,2,4,8,16,32,64,128,256,512}),"")</f>
        <v/>
      </c>
      <c r="R91">
        <f>IF($F91=1,MOD(MOD($Q91,11),10),"")</f>
        <v/>
      </c>
    </row>
    <row r="92">
      <c r="A92" s="6" t="n"/>
      <c r="B92" s="7">
        <f>IF($A92="","",UPPER(SUBSTITUTE(SUBSTITUTE(SUBSTITUTE(SUBSTITUTE(SUBSTITUTE(SUBSTITUTE($A92," ",""),"-",""),".",""),"/",""),"i","I"),"ı","?")))</f>
        <v/>
      </c>
      <c r="C92" s="8">
        <f>IF($F92=1,$R92,"")</f>
        <v/>
      </c>
      <c r="D92" s="7">
        <f>IF($A92="","",IF($F92=0,"Biçim hatalı",IF(FIND(MID($B92,11,1),"0123456789")-1=$R92,"Geçerli","Kontrol hanesi hatalı (doğrusu: "&amp;$R92&amp;")")))</f>
        <v/>
      </c>
      <c r="F92">
        <f>IF($A92="","",IF(AND(LEN($B92)=11,SUMPRODUCT(--ISNUMBER(FIND(MID($B92,{1,2,3},1),"ABCDEFGHIJKLMNOPQRSTUVWXYZ")))=3,ISNUMBER(FIND(MID($B92,4,1),"UJZ")),SUMPRODUCT(--ISNUMBER(FIND(MID($B92,{5,6,7,8,9,10,11},1),"0123456789")))=7),1,0))</f>
        <v/>
      </c>
      <c r="G92">
        <f>IF($F92=1,INDEX({10,12,13,14,15,16,17,18,19,20,21,23,24,25,26,27,28,29,30,31,32,34,35,36,37,38},1,FIND(MID($B92,1,1),"ABCDEFGHIJKLMNOPQRSTUVWXYZ")),"")</f>
        <v/>
      </c>
      <c r="H92">
        <f>IF($F92=1,INDEX({10,12,13,14,15,16,17,18,19,20,21,23,24,25,26,27,28,29,30,31,32,34,35,36,37,38},1,FIND(MID($B92,2,1),"ABCDEFGHIJKLMNOPQRSTUVWXYZ")),"")</f>
        <v/>
      </c>
      <c r="I92">
        <f>IF($F92=1,INDEX({10,12,13,14,15,16,17,18,19,20,21,23,24,25,26,27,28,29,30,31,32,34,35,36,37,38},1,FIND(MID($B92,3,1),"ABCDEFGHIJKLMNOPQRSTUVWXYZ")),"")</f>
        <v/>
      </c>
      <c r="J92">
        <f>IF($F92=1,INDEX({10,12,13,14,15,16,17,18,19,20,21,23,24,25,26,27,28,29,30,31,32,34,35,36,37,38},1,FIND(MID($B92,4,1),"ABCDEFGHIJKLMNOPQRSTUVWXYZ")),"")</f>
        <v/>
      </c>
      <c r="K92">
        <f>IF($F92=1,FIND(MID($B92,5,1),"0123456789")-1,"")</f>
        <v/>
      </c>
      <c r="L92">
        <f>IF($F92=1,FIND(MID($B92,6,1),"0123456789")-1,"")</f>
        <v/>
      </c>
      <c r="M92">
        <f>IF($F92=1,FIND(MID($B92,7,1),"0123456789")-1,"")</f>
        <v/>
      </c>
      <c r="N92">
        <f>IF($F92=1,FIND(MID($B92,8,1),"0123456789")-1,"")</f>
        <v/>
      </c>
      <c r="O92">
        <f>IF($F92=1,FIND(MID($B92,9,1),"0123456789")-1,"")</f>
        <v/>
      </c>
      <c r="P92">
        <f>IF($F92=1,FIND(MID($B92,10,1),"0123456789")-1,"")</f>
        <v/>
      </c>
      <c r="Q92">
        <f>IF($F92=1,SUMPRODUCT($G92:$P92,{1,2,4,8,16,32,64,128,256,512}),"")</f>
        <v/>
      </c>
      <c r="R92">
        <f>IF($F92=1,MOD(MOD($Q92,11),10),"")</f>
        <v/>
      </c>
    </row>
    <row r="93">
      <c r="A93" s="6" t="n"/>
      <c r="B93" s="7">
        <f>IF($A93="","",UPPER(SUBSTITUTE(SUBSTITUTE(SUBSTITUTE(SUBSTITUTE(SUBSTITUTE(SUBSTITUTE($A93," ",""),"-",""),".",""),"/",""),"i","I"),"ı","?")))</f>
        <v/>
      </c>
      <c r="C93" s="8">
        <f>IF($F93=1,$R93,"")</f>
        <v/>
      </c>
      <c r="D93" s="7">
        <f>IF($A93="","",IF($F93=0,"Biçim hatalı",IF(FIND(MID($B93,11,1),"0123456789")-1=$R93,"Geçerli","Kontrol hanesi hatalı (doğrusu: "&amp;$R93&amp;")")))</f>
        <v/>
      </c>
      <c r="F93">
        <f>IF($A93="","",IF(AND(LEN($B93)=11,SUMPRODUCT(--ISNUMBER(FIND(MID($B93,{1,2,3},1),"ABCDEFGHIJKLMNOPQRSTUVWXYZ")))=3,ISNUMBER(FIND(MID($B93,4,1),"UJZ")),SUMPRODUCT(--ISNUMBER(FIND(MID($B93,{5,6,7,8,9,10,11},1),"0123456789")))=7),1,0))</f>
        <v/>
      </c>
      <c r="G93">
        <f>IF($F93=1,INDEX({10,12,13,14,15,16,17,18,19,20,21,23,24,25,26,27,28,29,30,31,32,34,35,36,37,38},1,FIND(MID($B93,1,1),"ABCDEFGHIJKLMNOPQRSTUVWXYZ")),"")</f>
        <v/>
      </c>
      <c r="H93">
        <f>IF($F93=1,INDEX({10,12,13,14,15,16,17,18,19,20,21,23,24,25,26,27,28,29,30,31,32,34,35,36,37,38},1,FIND(MID($B93,2,1),"ABCDEFGHIJKLMNOPQRSTUVWXYZ")),"")</f>
        <v/>
      </c>
      <c r="I93">
        <f>IF($F93=1,INDEX({10,12,13,14,15,16,17,18,19,20,21,23,24,25,26,27,28,29,30,31,32,34,35,36,37,38},1,FIND(MID($B93,3,1),"ABCDEFGHIJKLMNOPQRSTUVWXYZ")),"")</f>
        <v/>
      </c>
      <c r="J93">
        <f>IF($F93=1,INDEX({10,12,13,14,15,16,17,18,19,20,21,23,24,25,26,27,28,29,30,31,32,34,35,36,37,38},1,FIND(MID($B93,4,1),"ABCDEFGHIJKLMNOPQRSTUVWXYZ")),"")</f>
        <v/>
      </c>
      <c r="K93">
        <f>IF($F93=1,FIND(MID($B93,5,1),"0123456789")-1,"")</f>
        <v/>
      </c>
      <c r="L93">
        <f>IF($F93=1,FIND(MID($B93,6,1),"0123456789")-1,"")</f>
        <v/>
      </c>
      <c r="M93">
        <f>IF($F93=1,FIND(MID($B93,7,1),"0123456789")-1,"")</f>
        <v/>
      </c>
      <c r="N93">
        <f>IF($F93=1,FIND(MID($B93,8,1),"0123456789")-1,"")</f>
        <v/>
      </c>
      <c r="O93">
        <f>IF($F93=1,FIND(MID($B93,9,1),"0123456789")-1,"")</f>
        <v/>
      </c>
      <c r="P93">
        <f>IF($F93=1,FIND(MID($B93,10,1),"0123456789")-1,"")</f>
        <v/>
      </c>
      <c r="Q93">
        <f>IF($F93=1,SUMPRODUCT($G93:$P93,{1,2,4,8,16,32,64,128,256,512}),"")</f>
        <v/>
      </c>
      <c r="R93">
        <f>IF($F93=1,MOD(MOD($Q93,11),10),"")</f>
        <v/>
      </c>
    </row>
    <row r="94">
      <c r="A94" s="6" t="n"/>
      <c r="B94" s="7">
        <f>IF($A94="","",UPPER(SUBSTITUTE(SUBSTITUTE(SUBSTITUTE(SUBSTITUTE(SUBSTITUTE(SUBSTITUTE($A94," ",""),"-",""),".",""),"/",""),"i","I"),"ı","?")))</f>
        <v/>
      </c>
      <c r="C94" s="8">
        <f>IF($F94=1,$R94,"")</f>
        <v/>
      </c>
      <c r="D94" s="7">
        <f>IF($A94="","",IF($F94=0,"Biçim hatalı",IF(FIND(MID($B94,11,1),"0123456789")-1=$R94,"Geçerli","Kontrol hanesi hatalı (doğrusu: "&amp;$R94&amp;")")))</f>
        <v/>
      </c>
      <c r="F94">
        <f>IF($A94="","",IF(AND(LEN($B94)=11,SUMPRODUCT(--ISNUMBER(FIND(MID($B94,{1,2,3},1),"ABCDEFGHIJKLMNOPQRSTUVWXYZ")))=3,ISNUMBER(FIND(MID($B94,4,1),"UJZ")),SUMPRODUCT(--ISNUMBER(FIND(MID($B94,{5,6,7,8,9,10,11},1),"0123456789")))=7),1,0))</f>
        <v/>
      </c>
      <c r="G94">
        <f>IF($F94=1,INDEX({10,12,13,14,15,16,17,18,19,20,21,23,24,25,26,27,28,29,30,31,32,34,35,36,37,38},1,FIND(MID($B94,1,1),"ABCDEFGHIJKLMNOPQRSTUVWXYZ")),"")</f>
        <v/>
      </c>
      <c r="H94">
        <f>IF($F94=1,INDEX({10,12,13,14,15,16,17,18,19,20,21,23,24,25,26,27,28,29,30,31,32,34,35,36,37,38},1,FIND(MID($B94,2,1),"ABCDEFGHIJKLMNOPQRSTUVWXYZ")),"")</f>
        <v/>
      </c>
      <c r="I94">
        <f>IF($F94=1,INDEX({10,12,13,14,15,16,17,18,19,20,21,23,24,25,26,27,28,29,30,31,32,34,35,36,37,38},1,FIND(MID($B94,3,1),"ABCDEFGHIJKLMNOPQRSTUVWXYZ")),"")</f>
        <v/>
      </c>
      <c r="J94">
        <f>IF($F94=1,INDEX({10,12,13,14,15,16,17,18,19,20,21,23,24,25,26,27,28,29,30,31,32,34,35,36,37,38},1,FIND(MID($B94,4,1),"ABCDEFGHIJKLMNOPQRSTUVWXYZ")),"")</f>
        <v/>
      </c>
      <c r="K94">
        <f>IF($F94=1,FIND(MID($B94,5,1),"0123456789")-1,"")</f>
        <v/>
      </c>
      <c r="L94">
        <f>IF($F94=1,FIND(MID($B94,6,1),"0123456789")-1,"")</f>
        <v/>
      </c>
      <c r="M94">
        <f>IF($F94=1,FIND(MID($B94,7,1),"0123456789")-1,"")</f>
        <v/>
      </c>
      <c r="N94">
        <f>IF($F94=1,FIND(MID($B94,8,1),"0123456789")-1,"")</f>
        <v/>
      </c>
      <c r="O94">
        <f>IF($F94=1,FIND(MID($B94,9,1),"0123456789")-1,"")</f>
        <v/>
      </c>
      <c r="P94">
        <f>IF($F94=1,FIND(MID($B94,10,1),"0123456789")-1,"")</f>
        <v/>
      </c>
      <c r="Q94">
        <f>IF($F94=1,SUMPRODUCT($G94:$P94,{1,2,4,8,16,32,64,128,256,512}),"")</f>
        <v/>
      </c>
      <c r="R94">
        <f>IF($F94=1,MOD(MOD($Q94,11),10),"")</f>
        <v/>
      </c>
    </row>
    <row r="95">
      <c r="A95" s="6" t="n"/>
      <c r="B95" s="7">
        <f>IF($A95="","",UPPER(SUBSTITUTE(SUBSTITUTE(SUBSTITUTE(SUBSTITUTE(SUBSTITUTE(SUBSTITUTE($A95," ",""),"-",""),".",""),"/",""),"i","I"),"ı","?")))</f>
        <v/>
      </c>
      <c r="C95" s="8">
        <f>IF($F95=1,$R95,"")</f>
        <v/>
      </c>
      <c r="D95" s="7">
        <f>IF($A95="","",IF($F95=0,"Biçim hatalı",IF(FIND(MID($B95,11,1),"0123456789")-1=$R95,"Geçerli","Kontrol hanesi hatalı (doğrusu: "&amp;$R95&amp;")")))</f>
        <v/>
      </c>
      <c r="F95">
        <f>IF($A95="","",IF(AND(LEN($B95)=11,SUMPRODUCT(--ISNUMBER(FIND(MID($B95,{1,2,3},1),"ABCDEFGHIJKLMNOPQRSTUVWXYZ")))=3,ISNUMBER(FIND(MID($B95,4,1),"UJZ")),SUMPRODUCT(--ISNUMBER(FIND(MID($B95,{5,6,7,8,9,10,11},1),"0123456789")))=7),1,0))</f>
        <v/>
      </c>
      <c r="G95">
        <f>IF($F95=1,INDEX({10,12,13,14,15,16,17,18,19,20,21,23,24,25,26,27,28,29,30,31,32,34,35,36,37,38},1,FIND(MID($B95,1,1),"ABCDEFGHIJKLMNOPQRSTUVWXYZ")),"")</f>
        <v/>
      </c>
      <c r="H95">
        <f>IF($F95=1,INDEX({10,12,13,14,15,16,17,18,19,20,21,23,24,25,26,27,28,29,30,31,32,34,35,36,37,38},1,FIND(MID($B95,2,1),"ABCDEFGHIJKLMNOPQRSTUVWXYZ")),"")</f>
        <v/>
      </c>
      <c r="I95">
        <f>IF($F95=1,INDEX({10,12,13,14,15,16,17,18,19,20,21,23,24,25,26,27,28,29,30,31,32,34,35,36,37,38},1,FIND(MID($B95,3,1),"ABCDEFGHIJKLMNOPQRSTUVWXYZ")),"")</f>
        <v/>
      </c>
      <c r="J95">
        <f>IF($F95=1,INDEX({10,12,13,14,15,16,17,18,19,20,21,23,24,25,26,27,28,29,30,31,32,34,35,36,37,38},1,FIND(MID($B95,4,1),"ABCDEFGHIJKLMNOPQRSTUVWXYZ")),"")</f>
        <v/>
      </c>
      <c r="K95">
        <f>IF($F95=1,FIND(MID($B95,5,1),"0123456789")-1,"")</f>
        <v/>
      </c>
      <c r="L95">
        <f>IF($F95=1,FIND(MID($B95,6,1),"0123456789")-1,"")</f>
        <v/>
      </c>
      <c r="M95">
        <f>IF($F95=1,FIND(MID($B95,7,1),"0123456789")-1,"")</f>
        <v/>
      </c>
      <c r="N95">
        <f>IF($F95=1,FIND(MID($B95,8,1),"0123456789")-1,"")</f>
        <v/>
      </c>
      <c r="O95">
        <f>IF($F95=1,FIND(MID($B95,9,1),"0123456789")-1,"")</f>
        <v/>
      </c>
      <c r="P95">
        <f>IF($F95=1,FIND(MID($B95,10,1),"0123456789")-1,"")</f>
        <v/>
      </c>
      <c r="Q95">
        <f>IF($F95=1,SUMPRODUCT($G95:$P95,{1,2,4,8,16,32,64,128,256,512}),"")</f>
        <v/>
      </c>
      <c r="R95">
        <f>IF($F95=1,MOD(MOD($Q95,11),10),"")</f>
        <v/>
      </c>
    </row>
    <row r="96">
      <c r="A96" s="6" t="n"/>
      <c r="B96" s="7">
        <f>IF($A96="","",UPPER(SUBSTITUTE(SUBSTITUTE(SUBSTITUTE(SUBSTITUTE(SUBSTITUTE(SUBSTITUTE($A96," ",""),"-",""),".",""),"/",""),"i","I"),"ı","?")))</f>
        <v/>
      </c>
      <c r="C96" s="8">
        <f>IF($F96=1,$R96,"")</f>
        <v/>
      </c>
      <c r="D96" s="7">
        <f>IF($A96="","",IF($F96=0,"Biçim hatalı",IF(FIND(MID($B96,11,1),"0123456789")-1=$R96,"Geçerli","Kontrol hanesi hatalı (doğrusu: "&amp;$R96&amp;")")))</f>
        <v/>
      </c>
      <c r="F96">
        <f>IF($A96="","",IF(AND(LEN($B96)=11,SUMPRODUCT(--ISNUMBER(FIND(MID($B96,{1,2,3},1),"ABCDEFGHIJKLMNOPQRSTUVWXYZ")))=3,ISNUMBER(FIND(MID($B96,4,1),"UJZ")),SUMPRODUCT(--ISNUMBER(FIND(MID($B96,{5,6,7,8,9,10,11},1),"0123456789")))=7),1,0))</f>
        <v/>
      </c>
      <c r="G96">
        <f>IF($F96=1,INDEX({10,12,13,14,15,16,17,18,19,20,21,23,24,25,26,27,28,29,30,31,32,34,35,36,37,38},1,FIND(MID($B96,1,1),"ABCDEFGHIJKLMNOPQRSTUVWXYZ")),"")</f>
        <v/>
      </c>
      <c r="H96">
        <f>IF($F96=1,INDEX({10,12,13,14,15,16,17,18,19,20,21,23,24,25,26,27,28,29,30,31,32,34,35,36,37,38},1,FIND(MID($B96,2,1),"ABCDEFGHIJKLMNOPQRSTUVWXYZ")),"")</f>
        <v/>
      </c>
      <c r="I96">
        <f>IF($F96=1,INDEX({10,12,13,14,15,16,17,18,19,20,21,23,24,25,26,27,28,29,30,31,32,34,35,36,37,38},1,FIND(MID($B96,3,1),"ABCDEFGHIJKLMNOPQRSTUVWXYZ")),"")</f>
        <v/>
      </c>
      <c r="J96">
        <f>IF($F96=1,INDEX({10,12,13,14,15,16,17,18,19,20,21,23,24,25,26,27,28,29,30,31,32,34,35,36,37,38},1,FIND(MID($B96,4,1),"ABCDEFGHIJKLMNOPQRSTUVWXYZ")),"")</f>
        <v/>
      </c>
      <c r="K96">
        <f>IF($F96=1,FIND(MID($B96,5,1),"0123456789")-1,"")</f>
        <v/>
      </c>
      <c r="L96">
        <f>IF($F96=1,FIND(MID($B96,6,1),"0123456789")-1,"")</f>
        <v/>
      </c>
      <c r="M96">
        <f>IF($F96=1,FIND(MID($B96,7,1),"0123456789")-1,"")</f>
        <v/>
      </c>
      <c r="N96">
        <f>IF($F96=1,FIND(MID($B96,8,1),"0123456789")-1,"")</f>
        <v/>
      </c>
      <c r="O96">
        <f>IF($F96=1,FIND(MID($B96,9,1),"0123456789")-1,"")</f>
        <v/>
      </c>
      <c r="P96">
        <f>IF($F96=1,FIND(MID($B96,10,1),"0123456789")-1,"")</f>
        <v/>
      </c>
      <c r="Q96">
        <f>IF($F96=1,SUMPRODUCT($G96:$P96,{1,2,4,8,16,32,64,128,256,512}),"")</f>
        <v/>
      </c>
      <c r="R96">
        <f>IF($F96=1,MOD(MOD($Q96,11),10),"")</f>
        <v/>
      </c>
    </row>
    <row r="97">
      <c r="A97" s="6" t="n"/>
      <c r="B97" s="7">
        <f>IF($A97="","",UPPER(SUBSTITUTE(SUBSTITUTE(SUBSTITUTE(SUBSTITUTE(SUBSTITUTE(SUBSTITUTE($A97," ",""),"-",""),".",""),"/",""),"i","I"),"ı","?")))</f>
        <v/>
      </c>
      <c r="C97" s="8">
        <f>IF($F97=1,$R97,"")</f>
        <v/>
      </c>
      <c r="D97" s="7">
        <f>IF($A97="","",IF($F97=0,"Biçim hatalı",IF(FIND(MID($B97,11,1),"0123456789")-1=$R97,"Geçerli","Kontrol hanesi hatalı (doğrusu: "&amp;$R97&amp;")")))</f>
        <v/>
      </c>
      <c r="F97">
        <f>IF($A97="","",IF(AND(LEN($B97)=11,SUMPRODUCT(--ISNUMBER(FIND(MID($B97,{1,2,3},1),"ABCDEFGHIJKLMNOPQRSTUVWXYZ")))=3,ISNUMBER(FIND(MID($B97,4,1),"UJZ")),SUMPRODUCT(--ISNUMBER(FIND(MID($B97,{5,6,7,8,9,10,11},1),"0123456789")))=7),1,0))</f>
        <v/>
      </c>
      <c r="G97">
        <f>IF($F97=1,INDEX({10,12,13,14,15,16,17,18,19,20,21,23,24,25,26,27,28,29,30,31,32,34,35,36,37,38},1,FIND(MID($B97,1,1),"ABCDEFGHIJKLMNOPQRSTUVWXYZ")),"")</f>
        <v/>
      </c>
      <c r="H97">
        <f>IF($F97=1,INDEX({10,12,13,14,15,16,17,18,19,20,21,23,24,25,26,27,28,29,30,31,32,34,35,36,37,38},1,FIND(MID($B97,2,1),"ABCDEFGHIJKLMNOPQRSTUVWXYZ")),"")</f>
        <v/>
      </c>
      <c r="I97">
        <f>IF($F97=1,INDEX({10,12,13,14,15,16,17,18,19,20,21,23,24,25,26,27,28,29,30,31,32,34,35,36,37,38},1,FIND(MID($B97,3,1),"ABCDEFGHIJKLMNOPQRSTUVWXYZ")),"")</f>
        <v/>
      </c>
      <c r="J97">
        <f>IF($F97=1,INDEX({10,12,13,14,15,16,17,18,19,20,21,23,24,25,26,27,28,29,30,31,32,34,35,36,37,38},1,FIND(MID($B97,4,1),"ABCDEFGHIJKLMNOPQRSTUVWXYZ")),"")</f>
        <v/>
      </c>
      <c r="K97">
        <f>IF($F97=1,FIND(MID($B97,5,1),"0123456789")-1,"")</f>
        <v/>
      </c>
      <c r="L97">
        <f>IF($F97=1,FIND(MID($B97,6,1),"0123456789")-1,"")</f>
        <v/>
      </c>
      <c r="M97">
        <f>IF($F97=1,FIND(MID($B97,7,1),"0123456789")-1,"")</f>
        <v/>
      </c>
      <c r="N97">
        <f>IF($F97=1,FIND(MID($B97,8,1),"0123456789")-1,"")</f>
        <v/>
      </c>
      <c r="O97">
        <f>IF($F97=1,FIND(MID($B97,9,1),"0123456789")-1,"")</f>
        <v/>
      </c>
      <c r="P97">
        <f>IF($F97=1,FIND(MID($B97,10,1),"0123456789")-1,"")</f>
        <v/>
      </c>
      <c r="Q97">
        <f>IF($F97=1,SUMPRODUCT($G97:$P97,{1,2,4,8,16,32,64,128,256,512}),"")</f>
        <v/>
      </c>
      <c r="R97">
        <f>IF($F97=1,MOD(MOD($Q97,11),10),"")</f>
        <v/>
      </c>
    </row>
    <row r="98">
      <c r="A98" s="6" t="n"/>
      <c r="B98" s="7">
        <f>IF($A98="","",UPPER(SUBSTITUTE(SUBSTITUTE(SUBSTITUTE(SUBSTITUTE(SUBSTITUTE(SUBSTITUTE($A98," ",""),"-",""),".",""),"/",""),"i","I"),"ı","?")))</f>
        <v/>
      </c>
      <c r="C98" s="8">
        <f>IF($F98=1,$R98,"")</f>
        <v/>
      </c>
      <c r="D98" s="7">
        <f>IF($A98="","",IF($F98=0,"Biçim hatalı",IF(FIND(MID($B98,11,1),"0123456789")-1=$R98,"Geçerli","Kontrol hanesi hatalı (doğrusu: "&amp;$R98&amp;")")))</f>
        <v/>
      </c>
      <c r="F98">
        <f>IF($A98="","",IF(AND(LEN($B98)=11,SUMPRODUCT(--ISNUMBER(FIND(MID($B98,{1,2,3},1),"ABCDEFGHIJKLMNOPQRSTUVWXYZ")))=3,ISNUMBER(FIND(MID($B98,4,1),"UJZ")),SUMPRODUCT(--ISNUMBER(FIND(MID($B98,{5,6,7,8,9,10,11},1),"0123456789")))=7),1,0))</f>
        <v/>
      </c>
      <c r="G98">
        <f>IF($F98=1,INDEX({10,12,13,14,15,16,17,18,19,20,21,23,24,25,26,27,28,29,30,31,32,34,35,36,37,38},1,FIND(MID($B98,1,1),"ABCDEFGHIJKLMNOPQRSTUVWXYZ")),"")</f>
        <v/>
      </c>
      <c r="H98">
        <f>IF($F98=1,INDEX({10,12,13,14,15,16,17,18,19,20,21,23,24,25,26,27,28,29,30,31,32,34,35,36,37,38},1,FIND(MID($B98,2,1),"ABCDEFGHIJKLMNOPQRSTUVWXYZ")),"")</f>
        <v/>
      </c>
      <c r="I98">
        <f>IF($F98=1,INDEX({10,12,13,14,15,16,17,18,19,20,21,23,24,25,26,27,28,29,30,31,32,34,35,36,37,38},1,FIND(MID($B98,3,1),"ABCDEFGHIJKLMNOPQRSTUVWXYZ")),"")</f>
        <v/>
      </c>
      <c r="J98">
        <f>IF($F98=1,INDEX({10,12,13,14,15,16,17,18,19,20,21,23,24,25,26,27,28,29,30,31,32,34,35,36,37,38},1,FIND(MID($B98,4,1),"ABCDEFGHIJKLMNOPQRSTUVWXYZ")),"")</f>
        <v/>
      </c>
      <c r="K98">
        <f>IF($F98=1,FIND(MID($B98,5,1),"0123456789")-1,"")</f>
        <v/>
      </c>
      <c r="L98">
        <f>IF($F98=1,FIND(MID($B98,6,1),"0123456789")-1,"")</f>
        <v/>
      </c>
      <c r="M98">
        <f>IF($F98=1,FIND(MID($B98,7,1),"0123456789")-1,"")</f>
        <v/>
      </c>
      <c r="N98">
        <f>IF($F98=1,FIND(MID($B98,8,1),"0123456789")-1,"")</f>
        <v/>
      </c>
      <c r="O98">
        <f>IF($F98=1,FIND(MID($B98,9,1),"0123456789")-1,"")</f>
        <v/>
      </c>
      <c r="P98">
        <f>IF($F98=1,FIND(MID($B98,10,1),"0123456789")-1,"")</f>
        <v/>
      </c>
      <c r="Q98">
        <f>IF($F98=1,SUMPRODUCT($G98:$P98,{1,2,4,8,16,32,64,128,256,512}),"")</f>
        <v/>
      </c>
      <c r="R98">
        <f>IF($F98=1,MOD(MOD($Q98,11),10),"")</f>
        <v/>
      </c>
    </row>
    <row r="99">
      <c r="A99" s="6" t="n"/>
      <c r="B99" s="7">
        <f>IF($A99="","",UPPER(SUBSTITUTE(SUBSTITUTE(SUBSTITUTE(SUBSTITUTE(SUBSTITUTE(SUBSTITUTE($A99," ",""),"-",""),".",""),"/",""),"i","I"),"ı","?")))</f>
        <v/>
      </c>
      <c r="C99" s="8">
        <f>IF($F99=1,$R99,"")</f>
        <v/>
      </c>
      <c r="D99" s="7">
        <f>IF($A99="","",IF($F99=0,"Biçim hatalı",IF(FIND(MID($B99,11,1),"0123456789")-1=$R99,"Geçerli","Kontrol hanesi hatalı (doğrusu: "&amp;$R99&amp;")")))</f>
        <v/>
      </c>
      <c r="F99">
        <f>IF($A99="","",IF(AND(LEN($B99)=11,SUMPRODUCT(--ISNUMBER(FIND(MID($B99,{1,2,3},1),"ABCDEFGHIJKLMNOPQRSTUVWXYZ")))=3,ISNUMBER(FIND(MID($B99,4,1),"UJZ")),SUMPRODUCT(--ISNUMBER(FIND(MID($B99,{5,6,7,8,9,10,11},1),"0123456789")))=7),1,0))</f>
        <v/>
      </c>
      <c r="G99">
        <f>IF($F99=1,INDEX({10,12,13,14,15,16,17,18,19,20,21,23,24,25,26,27,28,29,30,31,32,34,35,36,37,38},1,FIND(MID($B99,1,1),"ABCDEFGHIJKLMNOPQRSTUVWXYZ")),"")</f>
        <v/>
      </c>
      <c r="H99">
        <f>IF($F99=1,INDEX({10,12,13,14,15,16,17,18,19,20,21,23,24,25,26,27,28,29,30,31,32,34,35,36,37,38},1,FIND(MID($B99,2,1),"ABCDEFGHIJKLMNOPQRSTUVWXYZ")),"")</f>
        <v/>
      </c>
      <c r="I99">
        <f>IF($F99=1,INDEX({10,12,13,14,15,16,17,18,19,20,21,23,24,25,26,27,28,29,30,31,32,34,35,36,37,38},1,FIND(MID($B99,3,1),"ABCDEFGHIJKLMNOPQRSTUVWXYZ")),"")</f>
        <v/>
      </c>
      <c r="J99">
        <f>IF($F99=1,INDEX({10,12,13,14,15,16,17,18,19,20,21,23,24,25,26,27,28,29,30,31,32,34,35,36,37,38},1,FIND(MID($B99,4,1),"ABCDEFGHIJKLMNOPQRSTUVWXYZ")),"")</f>
        <v/>
      </c>
      <c r="K99">
        <f>IF($F99=1,FIND(MID($B99,5,1),"0123456789")-1,"")</f>
        <v/>
      </c>
      <c r="L99">
        <f>IF($F99=1,FIND(MID($B99,6,1),"0123456789")-1,"")</f>
        <v/>
      </c>
      <c r="M99">
        <f>IF($F99=1,FIND(MID($B99,7,1),"0123456789")-1,"")</f>
        <v/>
      </c>
      <c r="N99">
        <f>IF($F99=1,FIND(MID($B99,8,1),"0123456789")-1,"")</f>
        <v/>
      </c>
      <c r="O99">
        <f>IF($F99=1,FIND(MID($B99,9,1),"0123456789")-1,"")</f>
        <v/>
      </c>
      <c r="P99">
        <f>IF($F99=1,FIND(MID($B99,10,1),"0123456789")-1,"")</f>
        <v/>
      </c>
      <c r="Q99">
        <f>IF($F99=1,SUMPRODUCT($G99:$P99,{1,2,4,8,16,32,64,128,256,512}),"")</f>
        <v/>
      </c>
      <c r="R99">
        <f>IF($F99=1,MOD(MOD($Q99,11),10),"")</f>
        <v/>
      </c>
    </row>
    <row r="100">
      <c r="A100" s="6" t="n"/>
      <c r="B100" s="7">
        <f>IF($A100="","",UPPER(SUBSTITUTE(SUBSTITUTE(SUBSTITUTE(SUBSTITUTE(SUBSTITUTE(SUBSTITUTE($A100," ",""),"-",""),".",""),"/",""),"i","I"),"ı","?")))</f>
        <v/>
      </c>
      <c r="C100" s="8">
        <f>IF($F100=1,$R100,"")</f>
        <v/>
      </c>
      <c r="D100" s="7">
        <f>IF($A100="","",IF($F100=0,"Biçim hatalı",IF(FIND(MID($B100,11,1),"0123456789")-1=$R100,"Geçerli","Kontrol hanesi hatalı (doğrusu: "&amp;$R100&amp;")")))</f>
        <v/>
      </c>
      <c r="F100">
        <f>IF($A100="","",IF(AND(LEN($B100)=11,SUMPRODUCT(--ISNUMBER(FIND(MID($B100,{1,2,3},1),"ABCDEFGHIJKLMNOPQRSTUVWXYZ")))=3,ISNUMBER(FIND(MID($B100,4,1),"UJZ")),SUMPRODUCT(--ISNUMBER(FIND(MID($B100,{5,6,7,8,9,10,11},1),"0123456789")))=7),1,0))</f>
        <v/>
      </c>
      <c r="G100">
        <f>IF($F100=1,INDEX({10,12,13,14,15,16,17,18,19,20,21,23,24,25,26,27,28,29,30,31,32,34,35,36,37,38},1,FIND(MID($B100,1,1),"ABCDEFGHIJKLMNOPQRSTUVWXYZ")),"")</f>
        <v/>
      </c>
      <c r="H100">
        <f>IF($F100=1,INDEX({10,12,13,14,15,16,17,18,19,20,21,23,24,25,26,27,28,29,30,31,32,34,35,36,37,38},1,FIND(MID($B100,2,1),"ABCDEFGHIJKLMNOPQRSTUVWXYZ")),"")</f>
        <v/>
      </c>
      <c r="I100">
        <f>IF($F100=1,INDEX({10,12,13,14,15,16,17,18,19,20,21,23,24,25,26,27,28,29,30,31,32,34,35,36,37,38},1,FIND(MID($B100,3,1),"ABCDEFGHIJKLMNOPQRSTUVWXYZ")),"")</f>
        <v/>
      </c>
      <c r="J100">
        <f>IF($F100=1,INDEX({10,12,13,14,15,16,17,18,19,20,21,23,24,25,26,27,28,29,30,31,32,34,35,36,37,38},1,FIND(MID($B100,4,1),"ABCDEFGHIJKLMNOPQRSTUVWXYZ")),"")</f>
        <v/>
      </c>
      <c r="K100">
        <f>IF($F100=1,FIND(MID($B100,5,1),"0123456789")-1,"")</f>
        <v/>
      </c>
      <c r="L100">
        <f>IF($F100=1,FIND(MID($B100,6,1),"0123456789")-1,"")</f>
        <v/>
      </c>
      <c r="M100">
        <f>IF($F100=1,FIND(MID($B100,7,1),"0123456789")-1,"")</f>
        <v/>
      </c>
      <c r="N100">
        <f>IF($F100=1,FIND(MID($B100,8,1),"0123456789")-1,"")</f>
        <v/>
      </c>
      <c r="O100">
        <f>IF($F100=1,FIND(MID($B100,9,1),"0123456789")-1,"")</f>
        <v/>
      </c>
      <c r="P100">
        <f>IF($F100=1,FIND(MID($B100,10,1),"0123456789")-1,"")</f>
        <v/>
      </c>
      <c r="Q100">
        <f>IF($F100=1,SUMPRODUCT($G100:$P100,{1,2,4,8,16,32,64,128,256,512}),"")</f>
        <v/>
      </c>
      <c r="R100">
        <f>IF($F100=1,MOD(MOD($Q100,11),10),"")</f>
        <v/>
      </c>
    </row>
    <row r="101">
      <c r="A101" s="6" t="n"/>
      <c r="B101" s="7">
        <f>IF($A101="","",UPPER(SUBSTITUTE(SUBSTITUTE(SUBSTITUTE(SUBSTITUTE(SUBSTITUTE(SUBSTITUTE($A101," ",""),"-",""),".",""),"/",""),"i","I"),"ı","?")))</f>
        <v/>
      </c>
      <c r="C101" s="8">
        <f>IF($F101=1,$R101,"")</f>
        <v/>
      </c>
      <c r="D101" s="7">
        <f>IF($A101="","",IF($F101=0,"Biçim hatalı",IF(FIND(MID($B101,11,1),"0123456789")-1=$R101,"Geçerli","Kontrol hanesi hatalı (doğrusu: "&amp;$R101&amp;")")))</f>
        <v/>
      </c>
      <c r="F101">
        <f>IF($A101="","",IF(AND(LEN($B101)=11,SUMPRODUCT(--ISNUMBER(FIND(MID($B101,{1,2,3},1),"ABCDEFGHIJKLMNOPQRSTUVWXYZ")))=3,ISNUMBER(FIND(MID($B101,4,1),"UJZ")),SUMPRODUCT(--ISNUMBER(FIND(MID($B101,{5,6,7,8,9,10,11},1),"0123456789")))=7),1,0))</f>
        <v/>
      </c>
      <c r="G101">
        <f>IF($F101=1,INDEX({10,12,13,14,15,16,17,18,19,20,21,23,24,25,26,27,28,29,30,31,32,34,35,36,37,38},1,FIND(MID($B101,1,1),"ABCDEFGHIJKLMNOPQRSTUVWXYZ")),"")</f>
        <v/>
      </c>
      <c r="H101">
        <f>IF($F101=1,INDEX({10,12,13,14,15,16,17,18,19,20,21,23,24,25,26,27,28,29,30,31,32,34,35,36,37,38},1,FIND(MID($B101,2,1),"ABCDEFGHIJKLMNOPQRSTUVWXYZ")),"")</f>
        <v/>
      </c>
      <c r="I101">
        <f>IF($F101=1,INDEX({10,12,13,14,15,16,17,18,19,20,21,23,24,25,26,27,28,29,30,31,32,34,35,36,37,38},1,FIND(MID($B101,3,1),"ABCDEFGHIJKLMNOPQRSTUVWXYZ")),"")</f>
        <v/>
      </c>
      <c r="J101">
        <f>IF($F101=1,INDEX({10,12,13,14,15,16,17,18,19,20,21,23,24,25,26,27,28,29,30,31,32,34,35,36,37,38},1,FIND(MID($B101,4,1),"ABCDEFGHIJKLMNOPQRSTUVWXYZ")),"")</f>
        <v/>
      </c>
      <c r="K101">
        <f>IF($F101=1,FIND(MID($B101,5,1),"0123456789")-1,"")</f>
        <v/>
      </c>
      <c r="L101">
        <f>IF($F101=1,FIND(MID($B101,6,1),"0123456789")-1,"")</f>
        <v/>
      </c>
      <c r="M101">
        <f>IF($F101=1,FIND(MID($B101,7,1),"0123456789")-1,"")</f>
        <v/>
      </c>
      <c r="N101">
        <f>IF($F101=1,FIND(MID($B101,8,1),"0123456789")-1,"")</f>
        <v/>
      </c>
      <c r="O101">
        <f>IF($F101=1,FIND(MID($B101,9,1),"0123456789")-1,"")</f>
        <v/>
      </c>
      <c r="P101">
        <f>IF($F101=1,FIND(MID($B101,10,1),"0123456789")-1,"")</f>
        <v/>
      </c>
      <c r="Q101">
        <f>IF($F101=1,SUMPRODUCT($G101:$P101,{1,2,4,8,16,32,64,128,256,512}),"")</f>
        <v/>
      </c>
      <c r="R101">
        <f>IF($F101=1,MOD(MOD($Q101,11),10),"")</f>
        <v/>
      </c>
    </row>
    <row r="102">
      <c r="A102" s="6" t="n"/>
      <c r="B102" s="7">
        <f>IF($A102="","",UPPER(SUBSTITUTE(SUBSTITUTE(SUBSTITUTE(SUBSTITUTE(SUBSTITUTE(SUBSTITUTE($A102," ",""),"-",""),".",""),"/",""),"i","I"),"ı","?")))</f>
        <v/>
      </c>
      <c r="C102" s="8">
        <f>IF($F102=1,$R102,"")</f>
        <v/>
      </c>
      <c r="D102" s="7">
        <f>IF($A102="","",IF($F102=0,"Biçim hatalı",IF(FIND(MID($B102,11,1),"0123456789")-1=$R102,"Geçerli","Kontrol hanesi hatalı (doğrusu: "&amp;$R102&amp;")")))</f>
        <v/>
      </c>
      <c r="F102">
        <f>IF($A102="","",IF(AND(LEN($B102)=11,SUMPRODUCT(--ISNUMBER(FIND(MID($B102,{1,2,3},1),"ABCDEFGHIJKLMNOPQRSTUVWXYZ")))=3,ISNUMBER(FIND(MID($B102,4,1),"UJZ")),SUMPRODUCT(--ISNUMBER(FIND(MID($B102,{5,6,7,8,9,10,11},1),"0123456789")))=7),1,0))</f>
        <v/>
      </c>
      <c r="G102">
        <f>IF($F102=1,INDEX({10,12,13,14,15,16,17,18,19,20,21,23,24,25,26,27,28,29,30,31,32,34,35,36,37,38},1,FIND(MID($B102,1,1),"ABCDEFGHIJKLMNOPQRSTUVWXYZ")),"")</f>
        <v/>
      </c>
      <c r="H102">
        <f>IF($F102=1,INDEX({10,12,13,14,15,16,17,18,19,20,21,23,24,25,26,27,28,29,30,31,32,34,35,36,37,38},1,FIND(MID($B102,2,1),"ABCDEFGHIJKLMNOPQRSTUVWXYZ")),"")</f>
        <v/>
      </c>
      <c r="I102">
        <f>IF($F102=1,INDEX({10,12,13,14,15,16,17,18,19,20,21,23,24,25,26,27,28,29,30,31,32,34,35,36,37,38},1,FIND(MID($B102,3,1),"ABCDEFGHIJKLMNOPQRSTUVWXYZ")),"")</f>
        <v/>
      </c>
      <c r="J102">
        <f>IF($F102=1,INDEX({10,12,13,14,15,16,17,18,19,20,21,23,24,25,26,27,28,29,30,31,32,34,35,36,37,38},1,FIND(MID($B102,4,1),"ABCDEFGHIJKLMNOPQRSTUVWXYZ")),"")</f>
        <v/>
      </c>
      <c r="K102">
        <f>IF($F102=1,FIND(MID($B102,5,1),"0123456789")-1,"")</f>
        <v/>
      </c>
      <c r="L102">
        <f>IF($F102=1,FIND(MID($B102,6,1),"0123456789")-1,"")</f>
        <v/>
      </c>
      <c r="M102">
        <f>IF($F102=1,FIND(MID($B102,7,1),"0123456789")-1,"")</f>
        <v/>
      </c>
      <c r="N102">
        <f>IF($F102=1,FIND(MID($B102,8,1),"0123456789")-1,"")</f>
        <v/>
      </c>
      <c r="O102">
        <f>IF($F102=1,FIND(MID($B102,9,1),"0123456789")-1,"")</f>
        <v/>
      </c>
      <c r="P102">
        <f>IF($F102=1,FIND(MID($B102,10,1),"0123456789")-1,"")</f>
        <v/>
      </c>
      <c r="Q102">
        <f>IF($F102=1,SUMPRODUCT($G102:$P102,{1,2,4,8,16,32,64,128,256,512}),"")</f>
        <v/>
      </c>
      <c r="R102">
        <f>IF($F102=1,MOD(MOD($Q102,11),10),"")</f>
        <v/>
      </c>
    </row>
    <row r="103">
      <c r="A103" s="6" t="n"/>
      <c r="B103" s="7">
        <f>IF($A103="","",UPPER(SUBSTITUTE(SUBSTITUTE(SUBSTITUTE(SUBSTITUTE(SUBSTITUTE(SUBSTITUTE($A103," ",""),"-",""),".",""),"/",""),"i","I"),"ı","?")))</f>
        <v/>
      </c>
      <c r="C103" s="8">
        <f>IF($F103=1,$R103,"")</f>
        <v/>
      </c>
      <c r="D103" s="7">
        <f>IF($A103="","",IF($F103=0,"Biçim hatalı",IF(FIND(MID($B103,11,1),"0123456789")-1=$R103,"Geçerli","Kontrol hanesi hatalı (doğrusu: "&amp;$R103&amp;")")))</f>
        <v/>
      </c>
      <c r="F103">
        <f>IF($A103="","",IF(AND(LEN($B103)=11,SUMPRODUCT(--ISNUMBER(FIND(MID($B103,{1,2,3},1),"ABCDEFGHIJKLMNOPQRSTUVWXYZ")))=3,ISNUMBER(FIND(MID($B103,4,1),"UJZ")),SUMPRODUCT(--ISNUMBER(FIND(MID($B103,{5,6,7,8,9,10,11},1),"0123456789")))=7),1,0))</f>
        <v/>
      </c>
      <c r="G103">
        <f>IF($F103=1,INDEX({10,12,13,14,15,16,17,18,19,20,21,23,24,25,26,27,28,29,30,31,32,34,35,36,37,38},1,FIND(MID($B103,1,1),"ABCDEFGHIJKLMNOPQRSTUVWXYZ")),"")</f>
        <v/>
      </c>
      <c r="H103">
        <f>IF($F103=1,INDEX({10,12,13,14,15,16,17,18,19,20,21,23,24,25,26,27,28,29,30,31,32,34,35,36,37,38},1,FIND(MID($B103,2,1),"ABCDEFGHIJKLMNOPQRSTUVWXYZ")),"")</f>
        <v/>
      </c>
      <c r="I103">
        <f>IF($F103=1,INDEX({10,12,13,14,15,16,17,18,19,20,21,23,24,25,26,27,28,29,30,31,32,34,35,36,37,38},1,FIND(MID($B103,3,1),"ABCDEFGHIJKLMNOPQRSTUVWXYZ")),"")</f>
        <v/>
      </c>
      <c r="J103">
        <f>IF($F103=1,INDEX({10,12,13,14,15,16,17,18,19,20,21,23,24,25,26,27,28,29,30,31,32,34,35,36,37,38},1,FIND(MID($B103,4,1),"ABCDEFGHIJKLMNOPQRSTUVWXYZ")),"")</f>
        <v/>
      </c>
      <c r="K103">
        <f>IF($F103=1,FIND(MID($B103,5,1),"0123456789")-1,"")</f>
        <v/>
      </c>
      <c r="L103">
        <f>IF($F103=1,FIND(MID($B103,6,1),"0123456789")-1,"")</f>
        <v/>
      </c>
      <c r="M103">
        <f>IF($F103=1,FIND(MID($B103,7,1),"0123456789")-1,"")</f>
        <v/>
      </c>
      <c r="N103">
        <f>IF($F103=1,FIND(MID($B103,8,1),"0123456789")-1,"")</f>
        <v/>
      </c>
      <c r="O103">
        <f>IF($F103=1,FIND(MID($B103,9,1),"0123456789")-1,"")</f>
        <v/>
      </c>
      <c r="P103">
        <f>IF($F103=1,FIND(MID($B103,10,1),"0123456789")-1,"")</f>
        <v/>
      </c>
      <c r="Q103">
        <f>IF($F103=1,SUMPRODUCT($G103:$P103,{1,2,4,8,16,32,64,128,256,512}),"")</f>
        <v/>
      </c>
      <c r="R103">
        <f>IF($F103=1,MOD(MOD($Q103,11),10),"")</f>
        <v/>
      </c>
    </row>
    <row r="104">
      <c r="A104" s="6" t="n"/>
      <c r="B104" s="7">
        <f>IF($A104="","",UPPER(SUBSTITUTE(SUBSTITUTE(SUBSTITUTE(SUBSTITUTE(SUBSTITUTE(SUBSTITUTE($A104," ",""),"-",""),".",""),"/",""),"i","I"),"ı","?")))</f>
        <v/>
      </c>
      <c r="C104" s="8">
        <f>IF($F104=1,$R104,"")</f>
        <v/>
      </c>
      <c r="D104" s="7">
        <f>IF($A104="","",IF($F104=0,"Biçim hatalı",IF(FIND(MID($B104,11,1),"0123456789")-1=$R104,"Geçerli","Kontrol hanesi hatalı (doğrusu: "&amp;$R104&amp;")")))</f>
        <v/>
      </c>
      <c r="F104">
        <f>IF($A104="","",IF(AND(LEN($B104)=11,SUMPRODUCT(--ISNUMBER(FIND(MID($B104,{1,2,3},1),"ABCDEFGHIJKLMNOPQRSTUVWXYZ")))=3,ISNUMBER(FIND(MID($B104,4,1),"UJZ")),SUMPRODUCT(--ISNUMBER(FIND(MID($B104,{5,6,7,8,9,10,11},1),"0123456789")))=7),1,0))</f>
        <v/>
      </c>
      <c r="G104">
        <f>IF($F104=1,INDEX({10,12,13,14,15,16,17,18,19,20,21,23,24,25,26,27,28,29,30,31,32,34,35,36,37,38},1,FIND(MID($B104,1,1),"ABCDEFGHIJKLMNOPQRSTUVWXYZ")),"")</f>
        <v/>
      </c>
      <c r="H104">
        <f>IF($F104=1,INDEX({10,12,13,14,15,16,17,18,19,20,21,23,24,25,26,27,28,29,30,31,32,34,35,36,37,38},1,FIND(MID($B104,2,1),"ABCDEFGHIJKLMNOPQRSTUVWXYZ")),"")</f>
        <v/>
      </c>
      <c r="I104">
        <f>IF($F104=1,INDEX({10,12,13,14,15,16,17,18,19,20,21,23,24,25,26,27,28,29,30,31,32,34,35,36,37,38},1,FIND(MID($B104,3,1),"ABCDEFGHIJKLMNOPQRSTUVWXYZ")),"")</f>
        <v/>
      </c>
      <c r="J104">
        <f>IF($F104=1,INDEX({10,12,13,14,15,16,17,18,19,20,21,23,24,25,26,27,28,29,30,31,32,34,35,36,37,38},1,FIND(MID($B104,4,1),"ABCDEFGHIJKLMNOPQRSTUVWXYZ")),"")</f>
        <v/>
      </c>
      <c r="K104">
        <f>IF($F104=1,FIND(MID($B104,5,1),"0123456789")-1,"")</f>
        <v/>
      </c>
      <c r="L104">
        <f>IF($F104=1,FIND(MID($B104,6,1),"0123456789")-1,"")</f>
        <v/>
      </c>
      <c r="M104">
        <f>IF($F104=1,FIND(MID($B104,7,1),"0123456789")-1,"")</f>
        <v/>
      </c>
      <c r="N104">
        <f>IF($F104=1,FIND(MID($B104,8,1),"0123456789")-1,"")</f>
        <v/>
      </c>
      <c r="O104">
        <f>IF($F104=1,FIND(MID($B104,9,1),"0123456789")-1,"")</f>
        <v/>
      </c>
      <c r="P104">
        <f>IF($F104=1,FIND(MID($B104,10,1),"0123456789")-1,"")</f>
        <v/>
      </c>
      <c r="Q104">
        <f>IF($F104=1,SUMPRODUCT($G104:$P104,{1,2,4,8,16,32,64,128,256,512}),"")</f>
        <v/>
      </c>
      <c r="R104">
        <f>IF($F104=1,MOD(MOD($Q104,11),10),"")</f>
        <v/>
      </c>
    </row>
    <row r="105">
      <c r="A105" s="6" t="n"/>
      <c r="B105" s="7">
        <f>IF($A105="","",UPPER(SUBSTITUTE(SUBSTITUTE(SUBSTITUTE(SUBSTITUTE(SUBSTITUTE(SUBSTITUTE($A105," ",""),"-",""),".",""),"/",""),"i","I"),"ı","?")))</f>
        <v/>
      </c>
      <c r="C105" s="8">
        <f>IF($F105=1,$R105,"")</f>
        <v/>
      </c>
      <c r="D105" s="7">
        <f>IF($A105="","",IF($F105=0,"Biçim hatalı",IF(FIND(MID($B105,11,1),"0123456789")-1=$R105,"Geçerli","Kontrol hanesi hatalı (doğrusu: "&amp;$R105&amp;")")))</f>
        <v/>
      </c>
      <c r="F105">
        <f>IF($A105="","",IF(AND(LEN($B105)=11,SUMPRODUCT(--ISNUMBER(FIND(MID($B105,{1,2,3},1),"ABCDEFGHIJKLMNOPQRSTUVWXYZ")))=3,ISNUMBER(FIND(MID($B105,4,1),"UJZ")),SUMPRODUCT(--ISNUMBER(FIND(MID($B105,{5,6,7,8,9,10,11},1),"0123456789")))=7),1,0))</f>
        <v/>
      </c>
      <c r="G105">
        <f>IF($F105=1,INDEX({10,12,13,14,15,16,17,18,19,20,21,23,24,25,26,27,28,29,30,31,32,34,35,36,37,38},1,FIND(MID($B105,1,1),"ABCDEFGHIJKLMNOPQRSTUVWXYZ")),"")</f>
        <v/>
      </c>
      <c r="H105">
        <f>IF($F105=1,INDEX({10,12,13,14,15,16,17,18,19,20,21,23,24,25,26,27,28,29,30,31,32,34,35,36,37,38},1,FIND(MID($B105,2,1),"ABCDEFGHIJKLMNOPQRSTUVWXYZ")),"")</f>
        <v/>
      </c>
      <c r="I105">
        <f>IF($F105=1,INDEX({10,12,13,14,15,16,17,18,19,20,21,23,24,25,26,27,28,29,30,31,32,34,35,36,37,38},1,FIND(MID($B105,3,1),"ABCDEFGHIJKLMNOPQRSTUVWXYZ")),"")</f>
        <v/>
      </c>
      <c r="J105">
        <f>IF($F105=1,INDEX({10,12,13,14,15,16,17,18,19,20,21,23,24,25,26,27,28,29,30,31,32,34,35,36,37,38},1,FIND(MID($B105,4,1),"ABCDEFGHIJKLMNOPQRSTUVWXYZ")),"")</f>
        <v/>
      </c>
      <c r="K105">
        <f>IF($F105=1,FIND(MID($B105,5,1),"0123456789")-1,"")</f>
        <v/>
      </c>
      <c r="L105">
        <f>IF($F105=1,FIND(MID($B105,6,1),"0123456789")-1,"")</f>
        <v/>
      </c>
      <c r="M105">
        <f>IF($F105=1,FIND(MID($B105,7,1),"0123456789")-1,"")</f>
        <v/>
      </c>
      <c r="N105">
        <f>IF($F105=1,FIND(MID($B105,8,1),"0123456789")-1,"")</f>
        <v/>
      </c>
      <c r="O105">
        <f>IF($F105=1,FIND(MID($B105,9,1),"0123456789")-1,"")</f>
        <v/>
      </c>
      <c r="P105">
        <f>IF($F105=1,FIND(MID($B105,10,1),"0123456789")-1,"")</f>
        <v/>
      </c>
      <c r="Q105">
        <f>IF($F105=1,SUMPRODUCT($G105:$P105,{1,2,4,8,16,32,64,128,256,512}),"")</f>
        <v/>
      </c>
      <c r="R105">
        <f>IF($F105=1,MOD(MOD($Q105,11),10),"")</f>
        <v/>
      </c>
    </row>
    <row r="106">
      <c r="A106" s="6" t="n"/>
      <c r="B106" s="7">
        <f>IF($A106="","",UPPER(SUBSTITUTE(SUBSTITUTE(SUBSTITUTE(SUBSTITUTE(SUBSTITUTE(SUBSTITUTE($A106," ",""),"-",""),".",""),"/",""),"i","I"),"ı","?")))</f>
        <v/>
      </c>
      <c r="C106" s="8">
        <f>IF($F106=1,$R106,"")</f>
        <v/>
      </c>
      <c r="D106" s="7">
        <f>IF($A106="","",IF($F106=0,"Biçim hatalı",IF(FIND(MID($B106,11,1),"0123456789")-1=$R106,"Geçerli","Kontrol hanesi hatalı (doğrusu: "&amp;$R106&amp;")")))</f>
        <v/>
      </c>
      <c r="F106">
        <f>IF($A106="","",IF(AND(LEN($B106)=11,SUMPRODUCT(--ISNUMBER(FIND(MID($B106,{1,2,3},1),"ABCDEFGHIJKLMNOPQRSTUVWXYZ")))=3,ISNUMBER(FIND(MID($B106,4,1),"UJZ")),SUMPRODUCT(--ISNUMBER(FIND(MID($B106,{5,6,7,8,9,10,11},1),"0123456789")))=7),1,0))</f>
        <v/>
      </c>
      <c r="G106">
        <f>IF($F106=1,INDEX({10,12,13,14,15,16,17,18,19,20,21,23,24,25,26,27,28,29,30,31,32,34,35,36,37,38},1,FIND(MID($B106,1,1),"ABCDEFGHIJKLMNOPQRSTUVWXYZ")),"")</f>
        <v/>
      </c>
      <c r="H106">
        <f>IF($F106=1,INDEX({10,12,13,14,15,16,17,18,19,20,21,23,24,25,26,27,28,29,30,31,32,34,35,36,37,38},1,FIND(MID($B106,2,1),"ABCDEFGHIJKLMNOPQRSTUVWXYZ")),"")</f>
        <v/>
      </c>
      <c r="I106">
        <f>IF($F106=1,INDEX({10,12,13,14,15,16,17,18,19,20,21,23,24,25,26,27,28,29,30,31,32,34,35,36,37,38},1,FIND(MID($B106,3,1),"ABCDEFGHIJKLMNOPQRSTUVWXYZ")),"")</f>
        <v/>
      </c>
      <c r="J106">
        <f>IF($F106=1,INDEX({10,12,13,14,15,16,17,18,19,20,21,23,24,25,26,27,28,29,30,31,32,34,35,36,37,38},1,FIND(MID($B106,4,1),"ABCDEFGHIJKLMNOPQRSTUVWXYZ")),"")</f>
        <v/>
      </c>
      <c r="K106">
        <f>IF($F106=1,FIND(MID($B106,5,1),"0123456789")-1,"")</f>
        <v/>
      </c>
      <c r="L106">
        <f>IF($F106=1,FIND(MID($B106,6,1),"0123456789")-1,"")</f>
        <v/>
      </c>
      <c r="M106">
        <f>IF($F106=1,FIND(MID($B106,7,1),"0123456789")-1,"")</f>
        <v/>
      </c>
      <c r="N106">
        <f>IF($F106=1,FIND(MID($B106,8,1),"0123456789")-1,"")</f>
        <v/>
      </c>
      <c r="O106">
        <f>IF($F106=1,FIND(MID($B106,9,1),"0123456789")-1,"")</f>
        <v/>
      </c>
      <c r="P106">
        <f>IF($F106=1,FIND(MID($B106,10,1),"0123456789")-1,"")</f>
        <v/>
      </c>
      <c r="Q106">
        <f>IF($F106=1,SUMPRODUCT($G106:$P106,{1,2,4,8,16,32,64,128,256,512}),"")</f>
        <v/>
      </c>
      <c r="R106">
        <f>IF($F106=1,MOD(MOD($Q106,11),10),"")</f>
        <v/>
      </c>
    </row>
    <row r="107">
      <c r="A107" s="6" t="n"/>
      <c r="B107" s="7">
        <f>IF($A107="","",UPPER(SUBSTITUTE(SUBSTITUTE(SUBSTITUTE(SUBSTITUTE(SUBSTITUTE(SUBSTITUTE($A107," ",""),"-",""),".",""),"/",""),"i","I"),"ı","?")))</f>
        <v/>
      </c>
      <c r="C107" s="8">
        <f>IF($F107=1,$R107,"")</f>
        <v/>
      </c>
      <c r="D107" s="7">
        <f>IF($A107="","",IF($F107=0,"Biçim hatalı",IF(FIND(MID($B107,11,1),"0123456789")-1=$R107,"Geçerli","Kontrol hanesi hatalı (doğrusu: "&amp;$R107&amp;")")))</f>
        <v/>
      </c>
      <c r="F107">
        <f>IF($A107="","",IF(AND(LEN($B107)=11,SUMPRODUCT(--ISNUMBER(FIND(MID($B107,{1,2,3},1),"ABCDEFGHIJKLMNOPQRSTUVWXYZ")))=3,ISNUMBER(FIND(MID($B107,4,1),"UJZ")),SUMPRODUCT(--ISNUMBER(FIND(MID($B107,{5,6,7,8,9,10,11},1),"0123456789")))=7),1,0))</f>
        <v/>
      </c>
      <c r="G107">
        <f>IF($F107=1,INDEX({10,12,13,14,15,16,17,18,19,20,21,23,24,25,26,27,28,29,30,31,32,34,35,36,37,38},1,FIND(MID($B107,1,1),"ABCDEFGHIJKLMNOPQRSTUVWXYZ")),"")</f>
        <v/>
      </c>
      <c r="H107">
        <f>IF($F107=1,INDEX({10,12,13,14,15,16,17,18,19,20,21,23,24,25,26,27,28,29,30,31,32,34,35,36,37,38},1,FIND(MID($B107,2,1),"ABCDEFGHIJKLMNOPQRSTUVWXYZ")),"")</f>
        <v/>
      </c>
      <c r="I107">
        <f>IF($F107=1,INDEX({10,12,13,14,15,16,17,18,19,20,21,23,24,25,26,27,28,29,30,31,32,34,35,36,37,38},1,FIND(MID($B107,3,1),"ABCDEFGHIJKLMNOPQRSTUVWXYZ")),"")</f>
        <v/>
      </c>
      <c r="J107">
        <f>IF($F107=1,INDEX({10,12,13,14,15,16,17,18,19,20,21,23,24,25,26,27,28,29,30,31,32,34,35,36,37,38},1,FIND(MID($B107,4,1),"ABCDEFGHIJKLMNOPQRSTUVWXYZ")),"")</f>
        <v/>
      </c>
      <c r="K107">
        <f>IF($F107=1,FIND(MID($B107,5,1),"0123456789")-1,"")</f>
        <v/>
      </c>
      <c r="L107">
        <f>IF($F107=1,FIND(MID($B107,6,1),"0123456789")-1,"")</f>
        <v/>
      </c>
      <c r="M107">
        <f>IF($F107=1,FIND(MID($B107,7,1),"0123456789")-1,"")</f>
        <v/>
      </c>
      <c r="N107">
        <f>IF($F107=1,FIND(MID($B107,8,1),"0123456789")-1,"")</f>
        <v/>
      </c>
      <c r="O107">
        <f>IF($F107=1,FIND(MID($B107,9,1),"0123456789")-1,"")</f>
        <v/>
      </c>
      <c r="P107">
        <f>IF($F107=1,FIND(MID($B107,10,1),"0123456789")-1,"")</f>
        <v/>
      </c>
      <c r="Q107">
        <f>IF($F107=1,SUMPRODUCT($G107:$P107,{1,2,4,8,16,32,64,128,256,512}),"")</f>
        <v/>
      </c>
      <c r="R107">
        <f>IF($F107=1,MOD(MOD($Q107,11),10),"")</f>
        <v/>
      </c>
    </row>
    <row r="108">
      <c r="A108" s="6" t="n"/>
      <c r="B108" s="7">
        <f>IF($A108="","",UPPER(SUBSTITUTE(SUBSTITUTE(SUBSTITUTE(SUBSTITUTE(SUBSTITUTE(SUBSTITUTE($A108," ",""),"-",""),".",""),"/",""),"i","I"),"ı","?")))</f>
        <v/>
      </c>
      <c r="C108" s="8">
        <f>IF($F108=1,$R108,"")</f>
        <v/>
      </c>
      <c r="D108" s="7">
        <f>IF($A108="","",IF($F108=0,"Biçim hatalı",IF(FIND(MID($B108,11,1),"0123456789")-1=$R108,"Geçerli","Kontrol hanesi hatalı (doğrusu: "&amp;$R108&amp;")")))</f>
        <v/>
      </c>
      <c r="F108">
        <f>IF($A108="","",IF(AND(LEN($B108)=11,SUMPRODUCT(--ISNUMBER(FIND(MID($B108,{1,2,3},1),"ABCDEFGHIJKLMNOPQRSTUVWXYZ")))=3,ISNUMBER(FIND(MID($B108,4,1),"UJZ")),SUMPRODUCT(--ISNUMBER(FIND(MID($B108,{5,6,7,8,9,10,11},1),"0123456789")))=7),1,0))</f>
        <v/>
      </c>
      <c r="G108">
        <f>IF($F108=1,INDEX({10,12,13,14,15,16,17,18,19,20,21,23,24,25,26,27,28,29,30,31,32,34,35,36,37,38},1,FIND(MID($B108,1,1),"ABCDEFGHIJKLMNOPQRSTUVWXYZ")),"")</f>
        <v/>
      </c>
      <c r="H108">
        <f>IF($F108=1,INDEX({10,12,13,14,15,16,17,18,19,20,21,23,24,25,26,27,28,29,30,31,32,34,35,36,37,38},1,FIND(MID($B108,2,1),"ABCDEFGHIJKLMNOPQRSTUVWXYZ")),"")</f>
        <v/>
      </c>
      <c r="I108">
        <f>IF($F108=1,INDEX({10,12,13,14,15,16,17,18,19,20,21,23,24,25,26,27,28,29,30,31,32,34,35,36,37,38},1,FIND(MID($B108,3,1),"ABCDEFGHIJKLMNOPQRSTUVWXYZ")),"")</f>
        <v/>
      </c>
      <c r="J108">
        <f>IF($F108=1,INDEX({10,12,13,14,15,16,17,18,19,20,21,23,24,25,26,27,28,29,30,31,32,34,35,36,37,38},1,FIND(MID($B108,4,1),"ABCDEFGHIJKLMNOPQRSTUVWXYZ")),"")</f>
        <v/>
      </c>
      <c r="K108">
        <f>IF($F108=1,FIND(MID($B108,5,1),"0123456789")-1,"")</f>
        <v/>
      </c>
      <c r="L108">
        <f>IF($F108=1,FIND(MID($B108,6,1),"0123456789")-1,"")</f>
        <v/>
      </c>
      <c r="M108">
        <f>IF($F108=1,FIND(MID($B108,7,1),"0123456789")-1,"")</f>
        <v/>
      </c>
      <c r="N108">
        <f>IF($F108=1,FIND(MID($B108,8,1),"0123456789")-1,"")</f>
        <v/>
      </c>
      <c r="O108">
        <f>IF($F108=1,FIND(MID($B108,9,1),"0123456789")-1,"")</f>
        <v/>
      </c>
      <c r="P108">
        <f>IF($F108=1,FIND(MID($B108,10,1),"0123456789")-1,"")</f>
        <v/>
      </c>
      <c r="Q108">
        <f>IF($F108=1,SUMPRODUCT($G108:$P108,{1,2,4,8,16,32,64,128,256,512}),"")</f>
        <v/>
      </c>
      <c r="R108">
        <f>IF($F108=1,MOD(MOD($Q108,11),10),"")</f>
        <v/>
      </c>
    </row>
    <row r="109">
      <c r="A109" s="6" t="n"/>
      <c r="B109" s="7">
        <f>IF($A109="","",UPPER(SUBSTITUTE(SUBSTITUTE(SUBSTITUTE(SUBSTITUTE(SUBSTITUTE(SUBSTITUTE($A109," ",""),"-",""),".",""),"/",""),"i","I"),"ı","?")))</f>
        <v/>
      </c>
      <c r="C109" s="8">
        <f>IF($F109=1,$R109,"")</f>
        <v/>
      </c>
      <c r="D109" s="7">
        <f>IF($A109="","",IF($F109=0,"Biçim hatalı",IF(FIND(MID($B109,11,1),"0123456789")-1=$R109,"Geçerli","Kontrol hanesi hatalı (doğrusu: "&amp;$R109&amp;")")))</f>
        <v/>
      </c>
      <c r="F109">
        <f>IF($A109="","",IF(AND(LEN($B109)=11,SUMPRODUCT(--ISNUMBER(FIND(MID($B109,{1,2,3},1),"ABCDEFGHIJKLMNOPQRSTUVWXYZ")))=3,ISNUMBER(FIND(MID($B109,4,1),"UJZ")),SUMPRODUCT(--ISNUMBER(FIND(MID($B109,{5,6,7,8,9,10,11},1),"0123456789")))=7),1,0))</f>
        <v/>
      </c>
      <c r="G109">
        <f>IF($F109=1,INDEX({10,12,13,14,15,16,17,18,19,20,21,23,24,25,26,27,28,29,30,31,32,34,35,36,37,38},1,FIND(MID($B109,1,1),"ABCDEFGHIJKLMNOPQRSTUVWXYZ")),"")</f>
        <v/>
      </c>
      <c r="H109">
        <f>IF($F109=1,INDEX({10,12,13,14,15,16,17,18,19,20,21,23,24,25,26,27,28,29,30,31,32,34,35,36,37,38},1,FIND(MID($B109,2,1),"ABCDEFGHIJKLMNOPQRSTUVWXYZ")),"")</f>
        <v/>
      </c>
      <c r="I109">
        <f>IF($F109=1,INDEX({10,12,13,14,15,16,17,18,19,20,21,23,24,25,26,27,28,29,30,31,32,34,35,36,37,38},1,FIND(MID($B109,3,1),"ABCDEFGHIJKLMNOPQRSTUVWXYZ")),"")</f>
        <v/>
      </c>
      <c r="J109">
        <f>IF($F109=1,INDEX({10,12,13,14,15,16,17,18,19,20,21,23,24,25,26,27,28,29,30,31,32,34,35,36,37,38},1,FIND(MID($B109,4,1),"ABCDEFGHIJKLMNOPQRSTUVWXYZ")),"")</f>
        <v/>
      </c>
      <c r="K109">
        <f>IF($F109=1,FIND(MID($B109,5,1),"0123456789")-1,"")</f>
        <v/>
      </c>
      <c r="L109">
        <f>IF($F109=1,FIND(MID($B109,6,1),"0123456789")-1,"")</f>
        <v/>
      </c>
      <c r="M109">
        <f>IF($F109=1,FIND(MID($B109,7,1),"0123456789")-1,"")</f>
        <v/>
      </c>
      <c r="N109">
        <f>IF($F109=1,FIND(MID($B109,8,1),"0123456789")-1,"")</f>
        <v/>
      </c>
      <c r="O109">
        <f>IF($F109=1,FIND(MID($B109,9,1),"0123456789")-1,"")</f>
        <v/>
      </c>
      <c r="P109">
        <f>IF($F109=1,FIND(MID($B109,10,1),"0123456789")-1,"")</f>
        <v/>
      </c>
      <c r="Q109">
        <f>IF($F109=1,SUMPRODUCT($G109:$P109,{1,2,4,8,16,32,64,128,256,512}),"")</f>
        <v/>
      </c>
      <c r="R109">
        <f>IF($F109=1,MOD(MOD($Q109,11),10),"")</f>
        <v/>
      </c>
    </row>
    <row r="110">
      <c r="A110" s="6" t="n"/>
      <c r="B110" s="7">
        <f>IF($A110="","",UPPER(SUBSTITUTE(SUBSTITUTE(SUBSTITUTE(SUBSTITUTE(SUBSTITUTE(SUBSTITUTE($A110," ",""),"-",""),".",""),"/",""),"i","I"),"ı","?")))</f>
        <v/>
      </c>
      <c r="C110" s="8">
        <f>IF($F110=1,$R110,"")</f>
        <v/>
      </c>
      <c r="D110" s="7">
        <f>IF($A110="","",IF($F110=0,"Biçim hatalı",IF(FIND(MID($B110,11,1),"0123456789")-1=$R110,"Geçerli","Kontrol hanesi hatalı (doğrusu: "&amp;$R110&amp;")")))</f>
        <v/>
      </c>
      <c r="F110">
        <f>IF($A110="","",IF(AND(LEN($B110)=11,SUMPRODUCT(--ISNUMBER(FIND(MID($B110,{1,2,3},1),"ABCDEFGHIJKLMNOPQRSTUVWXYZ")))=3,ISNUMBER(FIND(MID($B110,4,1),"UJZ")),SUMPRODUCT(--ISNUMBER(FIND(MID($B110,{5,6,7,8,9,10,11},1),"0123456789")))=7),1,0))</f>
        <v/>
      </c>
      <c r="G110">
        <f>IF($F110=1,INDEX({10,12,13,14,15,16,17,18,19,20,21,23,24,25,26,27,28,29,30,31,32,34,35,36,37,38},1,FIND(MID($B110,1,1),"ABCDEFGHIJKLMNOPQRSTUVWXYZ")),"")</f>
        <v/>
      </c>
      <c r="H110">
        <f>IF($F110=1,INDEX({10,12,13,14,15,16,17,18,19,20,21,23,24,25,26,27,28,29,30,31,32,34,35,36,37,38},1,FIND(MID($B110,2,1),"ABCDEFGHIJKLMNOPQRSTUVWXYZ")),"")</f>
        <v/>
      </c>
      <c r="I110">
        <f>IF($F110=1,INDEX({10,12,13,14,15,16,17,18,19,20,21,23,24,25,26,27,28,29,30,31,32,34,35,36,37,38},1,FIND(MID($B110,3,1),"ABCDEFGHIJKLMNOPQRSTUVWXYZ")),"")</f>
        <v/>
      </c>
      <c r="J110">
        <f>IF($F110=1,INDEX({10,12,13,14,15,16,17,18,19,20,21,23,24,25,26,27,28,29,30,31,32,34,35,36,37,38},1,FIND(MID($B110,4,1),"ABCDEFGHIJKLMNOPQRSTUVWXYZ")),"")</f>
        <v/>
      </c>
      <c r="K110">
        <f>IF($F110=1,FIND(MID($B110,5,1),"0123456789")-1,"")</f>
        <v/>
      </c>
      <c r="L110">
        <f>IF($F110=1,FIND(MID($B110,6,1),"0123456789")-1,"")</f>
        <v/>
      </c>
      <c r="M110">
        <f>IF($F110=1,FIND(MID($B110,7,1),"0123456789")-1,"")</f>
        <v/>
      </c>
      <c r="N110">
        <f>IF($F110=1,FIND(MID($B110,8,1),"0123456789")-1,"")</f>
        <v/>
      </c>
      <c r="O110">
        <f>IF($F110=1,FIND(MID($B110,9,1),"0123456789")-1,"")</f>
        <v/>
      </c>
      <c r="P110">
        <f>IF($F110=1,FIND(MID($B110,10,1),"0123456789")-1,"")</f>
        <v/>
      </c>
      <c r="Q110">
        <f>IF($F110=1,SUMPRODUCT($G110:$P110,{1,2,4,8,16,32,64,128,256,512}),"")</f>
        <v/>
      </c>
      <c r="R110">
        <f>IF($F110=1,MOD(MOD($Q110,11),10),"")</f>
        <v/>
      </c>
    </row>
    <row r="111">
      <c r="A111" s="6" t="n"/>
      <c r="B111" s="7">
        <f>IF($A111="","",UPPER(SUBSTITUTE(SUBSTITUTE(SUBSTITUTE(SUBSTITUTE(SUBSTITUTE(SUBSTITUTE($A111," ",""),"-",""),".",""),"/",""),"i","I"),"ı","?")))</f>
        <v/>
      </c>
      <c r="C111" s="8">
        <f>IF($F111=1,$R111,"")</f>
        <v/>
      </c>
      <c r="D111" s="7">
        <f>IF($A111="","",IF($F111=0,"Biçim hatalı",IF(FIND(MID($B111,11,1),"0123456789")-1=$R111,"Geçerli","Kontrol hanesi hatalı (doğrusu: "&amp;$R111&amp;")")))</f>
        <v/>
      </c>
      <c r="F111">
        <f>IF($A111="","",IF(AND(LEN($B111)=11,SUMPRODUCT(--ISNUMBER(FIND(MID($B111,{1,2,3},1),"ABCDEFGHIJKLMNOPQRSTUVWXYZ")))=3,ISNUMBER(FIND(MID($B111,4,1),"UJZ")),SUMPRODUCT(--ISNUMBER(FIND(MID($B111,{5,6,7,8,9,10,11},1),"0123456789")))=7),1,0))</f>
        <v/>
      </c>
      <c r="G111">
        <f>IF($F111=1,INDEX({10,12,13,14,15,16,17,18,19,20,21,23,24,25,26,27,28,29,30,31,32,34,35,36,37,38},1,FIND(MID($B111,1,1),"ABCDEFGHIJKLMNOPQRSTUVWXYZ")),"")</f>
        <v/>
      </c>
      <c r="H111">
        <f>IF($F111=1,INDEX({10,12,13,14,15,16,17,18,19,20,21,23,24,25,26,27,28,29,30,31,32,34,35,36,37,38},1,FIND(MID($B111,2,1),"ABCDEFGHIJKLMNOPQRSTUVWXYZ")),"")</f>
        <v/>
      </c>
      <c r="I111">
        <f>IF($F111=1,INDEX({10,12,13,14,15,16,17,18,19,20,21,23,24,25,26,27,28,29,30,31,32,34,35,36,37,38},1,FIND(MID($B111,3,1),"ABCDEFGHIJKLMNOPQRSTUVWXYZ")),"")</f>
        <v/>
      </c>
      <c r="J111">
        <f>IF($F111=1,INDEX({10,12,13,14,15,16,17,18,19,20,21,23,24,25,26,27,28,29,30,31,32,34,35,36,37,38},1,FIND(MID($B111,4,1),"ABCDEFGHIJKLMNOPQRSTUVWXYZ")),"")</f>
        <v/>
      </c>
      <c r="K111">
        <f>IF($F111=1,FIND(MID($B111,5,1),"0123456789")-1,"")</f>
        <v/>
      </c>
      <c r="L111">
        <f>IF($F111=1,FIND(MID($B111,6,1),"0123456789")-1,"")</f>
        <v/>
      </c>
      <c r="M111">
        <f>IF($F111=1,FIND(MID($B111,7,1),"0123456789")-1,"")</f>
        <v/>
      </c>
      <c r="N111">
        <f>IF($F111=1,FIND(MID($B111,8,1),"0123456789")-1,"")</f>
        <v/>
      </c>
      <c r="O111">
        <f>IF($F111=1,FIND(MID($B111,9,1),"0123456789")-1,"")</f>
        <v/>
      </c>
      <c r="P111">
        <f>IF($F111=1,FIND(MID($B111,10,1),"0123456789")-1,"")</f>
        <v/>
      </c>
      <c r="Q111">
        <f>IF($F111=1,SUMPRODUCT($G111:$P111,{1,2,4,8,16,32,64,128,256,512}),"")</f>
        <v/>
      </c>
      <c r="R111">
        <f>IF($F111=1,MOD(MOD($Q111,11),10),"")</f>
        <v/>
      </c>
    </row>
    <row r="112">
      <c r="A112" s="6" t="n"/>
      <c r="B112" s="7">
        <f>IF($A112="","",UPPER(SUBSTITUTE(SUBSTITUTE(SUBSTITUTE(SUBSTITUTE(SUBSTITUTE(SUBSTITUTE($A112," ",""),"-",""),".",""),"/",""),"i","I"),"ı","?")))</f>
        <v/>
      </c>
      <c r="C112" s="8">
        <f>IF($F112=1,$R112,"")</f>
        <v/>
      </c>
      <c r="D112" s="7">
        <f>IF($A112="","",IF($F112=0,"Biçim hatalı",IF(FIND(MID($B112,11,1),"0123456789")-1=$R112,"Geçerli","Kontrol hanesi hatalı (doğrusu: "&amp;$R112&amp;")")))</f>
        <v/>
      </c>
      <c r="F112">
        <f>IF($A112="","",IF(AND(LEN($B112)=11,SUMPRODUCT(--ISNUMBER(FIND(MID($B112,{1,2,3},1),"ABCDEFGHIJKLMNOPQRSTUVWXYZ")))=3,ISNUMBER(FIND(MID($B112,4,1),"UJZ")),SUMPRODUCT(--ISNUMBER(FIND(MID($B112,{5,6,7,8,9,10,11},1),"0123456789")))=7),1,0))</f>
        <v/>
      </c>
      <c r="G112">
        <f>IF($F112=1,INDEX({10,12,13,14,15,16,17,18,19,20,21,23,24,25,26,27,28,29,30,31,32,34,35,36,37,38},1,FIND(MID($B112,1,1),"ABCDEFGHIJKLMNOPQRSTUVWXYZ")),"")</f>
        <v/>
      </c>
      <c r="H112">
        <f>IF($F112=1,INDEX({10,12,13,14,15,16,17,18,19,20,21,23,24,25,26,27,28,29,30,31,32,34,35,36,37,38},1,FIND(MID($B112,2,1),"ABCDEFGHIJKLMNOPQRSTUVWXYZ")),"")</f>
        <v/>
      </c>
      <c r="I112">
        <f>IF($F112=1,INDEX({10,12,13,14,15,16,17,18,19,20,21,23,24,25,26,27,28,29,30,31,32,34,35,36,37,38},1,FIND(MID($B112,3,1),"ABCDEFGHIJKLMNOPQRSTUVWXYZ")),"")</f>
        <v/>
      </c>
      <c r="J112">
        <f>IF($F112=1,INDEX({10,12,13,14,15,16,17,18,19,20,21,23,24,25,26,27,28,29,30,31,32,34,35,36,37,38},1,FIND(MID($B112,4,1),"ABCDEFGHIJKLMNOPQRSTUVWXYZ")),"")</f>
        <v/>
      </c>
      <c r="K112">
        <f>IF($F112=1,FIND(MID($B112,5,1),"0123456789")-1,"")</f>
        <v/>
      </c>
      <c r="L112">
        <f>IF($F112=1,FIND(MID($B112,6,1),"0123456789")-1,"")</f>
        <v/>
      </c>
      <c r="M112">
        <f>IF($F112=1,FIND(MID($B112,7,1),"0123456789")-1,"")</f>
        <v/>
      </c>
      <c r="N112">
        <f>IF($F112=1,FIND(MID($B112,8,1),"0123456789")-1,"")</f>
        <v/>
      </c>
      <c r="O112">
        <f>IF($F112=1,FIND(MID($B112,9,1),"0123456789")-1,"")</f>
        <v/>
      </c>
      <c r="P112">
        <f>IF($F112=1,FIND(MID($B112,10,1),"0123456789")-1,"")</f>
        <v/>
      </c>
      <c r="Q112">
        <f>IF($F112=1,SUMPRODUCT($G112:$P112,{1,2,4,8,16,32,64,128,256,512}),"")</f>
        <v/>
      </c>
      <c r="R112">
        <f>IF($F112=1,MOD(MOD($Q112,11),10),"")</f>
        <v/>
      </c>
    </row>
    <row r="113">
      <c r="A113" s="6" t="n"/>
      <c r="B113" s="7">
        <f>IF($A113="","",UPPER(SUBSTITUTE(SUBSTITUTE(SUBSTITUTE(SUBSTITUTE(SUBSTITUTE(SUBSTITUTE($A113," ",""),"-",""),".",""),"/",""),"i","I"),"ı","?")))</f>
        <v/>
      </c>
      <c r="C113" s="8">
        <f>IF($F113=1,$R113,"")</f>
        <v/>
      </c>
      <c r="D113" s="7">
        <f>IF($A113="","",IF($F113=0,"Biçim hatalı",IF(FIND(MID($B113,11,1),"0123456789")-1=$R113,"Geçerli","Kontrol hanesi hatalı (doğrusu: "&amp;$R113&amp;")")))</f>
        <v/>
      </c>
      <c r="F113">
        <f>IF($A113="","",IF(AND(LEN($B113)=11,SUMPRODUCT(--ISNUMBER(FIND(MID($B113,{1,2,3},1),"ABCDEFGHIJKLMNOPQRSTUVWXYZ")))=3,ISNUMBER(FIND(MID($B113,4,1),"UJZ")),SUMPRODUCT(--ISNUMBER(FIND(MID($B113,{5,6,7,8,9,10,11},1),"0123456789")))=7),1,0))</f>
        <v/>
      </c>
      <c r="G113">
        <f>IF($F113=1,INDEX({10,12,13,14,15,16,17,18,19,20,21,23,24,25,26,27,28,29,30,31,32,34,35,36,37,38},1,FIND(MID($B113,1,1),"ABCDEFGHIJKLMNOPQRSTUVWXYZ")),"")</f>
        <v/>
      </c>
      <c r="H113">
        <f>IF($F113=1,INDEX({10,12,13,14,15,16,17,18,19,20,21,23,24,25,26,27,28,29,30,31,32,34,35,36,37,38},1,FIND(MID($B113,2,1),"ABCDEFGHIJKLMNOPQRSTUVWXYZ")),"")</f>
        <v/>
      </c>
      <c r="I113">
        <f>IF($F113=1,INDEX({10,12,13,14,15,16,17,18,19,20,21,23,24,25,26,27,28,29,30,31,32,34,35,36,37,38},1,FIND(MID($B113,3,1),"ABCDEFGHIJKLMNOPQRSTUVWXYZ")),"")</f>
        <v/>
      </c>
      <c r="J113">
        <f>IF($F113=1,INDEX({10,12,13,14,15,16,17,18,19,20,21,23,24,25,26,27,28,29,30,31,32,34,35,36,37,38},1,FIND(MID($B113,4,1),"ABCDEFGHIJKLMNOPQRSTUVWXYZ")),"")</f>
        <v/>
      </c>
      <c r="K113">
        <f>IF($F113=1,FIND(MID($B113,5,1),"0123456789")-1,"")</f>
        <v/>
      </c>
      <c r="L113">
        <f>IF($F113=1,FIND(MID($B113,6,1),"0123456789")-1,"")</f>
        <v/>
      </c>
      <c r="M113">
        <f>IF($F113=1,FIND(MID($B113,7,1),"0123456789")-1,"")</f>
        <v/>
      </c>
      <c r="N113">
        <f>IF($F113=1,FIND(MID($B113,8,1),"0123456789")-1,"")</f>
        <v/>
      </c>
      <c r="O113">
        <f>IF($F113=1,FIND(MID($B113,9,1),"0123456789")-1,"")</f>
        <v/>
      </c>
      <c r="P113">
        <f>IF($F113=1,FIND(MID($B113,10,1),"0123456789")-1,"")</f>
        <v/>
      </c>
      <c r="Q113">
        <f>IF($F113=1,SUMPRODUCT($G113:$P113,{1,2,4,8,16,32,64,128,256,512}),"")</f>
        <v/>
      </c>
      <c r="R113">
        <f>IF($F113=1,MOD(MOD($Q113,11),10),"")</f>
        <v/>
      </c>
    </row>
    <row r="114">
      <c r="A114" s="6" t="n"/>
      <c r="B114" s="7">
        <f>IF($A114="","",UPPER(SUBSTITUTE(SUBSTITUTE(SUBSTITUTE(SUBSTITUTE(SUBSTITUTE(SUBSTITUTE($A114," ",""),"-",""),".",""),"/",""),"i","I"),"ı","?")))</f>
        <v/>
      </c>
      <c r="C114" s="8">
        <f>IF($F114=1,$R114,"")</f>
        <v/>
      </c>
      <c r="D114" s="7">
        <f>IF($A114="","",IF($F114=0,"Biçim hatalı",IF(FIND(MID($B114,11,1),"0123456789")-1=$R114,"Geçerli","Kontrol hanesi hatalı (doğrusu: "&amp;$R114&amp;")")))</f>
        <v/>
      </c>
      <c r="F114">
        <f>IF($A114="","",IF(AND(LEN($B114)=11,SUMPRODUCT(--ISNUMBER(FIND(MID($B114,{1,2,3},1),"ABCDEFGHIJKLMNOPQRSTUVWXYZ")))=3,ISNUMBER(FIND(MID($B114,4,1),"UJZ")),SUMPRODUCT(--ISNUMBER(FIND(MID($B114,{5,6,7,8,9,10,11},1),"0123456789")))=7),1,0))</f>
        <v/>
      </c>
      <c r="G114">
        <f>IF($F114=1,INDEX({10,12,13,14,15,16,17,18,19,20,21,23,24,25,26,27,28,29,30,31,32,34,35,36,37,38},1,FIND(MID($B114,1,1),"ABCDEFGHIJKLMNOPQRSTUVWXYZ")),"")</f>
        <v/>
      </c>
      <c r="H114">
        <f>IF($F114=1,INDEX({10,12,13,14,15,16,17,18,19,20,21,23,24,25,26,27,28,29,30,31,32,34,35,36,37,38},1,FIND(MID($B114,2,1),"ABCDEFGHIJKLMNOPQRSTUVWXYZ")),"")</f>
        <v/>
      </c>
      <c r="I114">
        <f>IF($F114=1,INDEX({10,12,13,14,15,16,17,18,19,20,21,23,24,25,26,27,28,29,30,31,32,34,35,36,37,38},1,FIND(MID($B114,3,1),"ABCDEFGHIJKLMNOPQRSTUVWXYZ")),"")</f>
        <v/>
      </c>
      <c r="J114">
        <f>IF($F114=1,INDEX({10,12,13,14,15,16,17,18,19,20,21,23,24,25,26,27,28,29,30,31,32,34,35,36,37,38},1,FIND(MID($B114,4,1),"ABCDEFGHIJKLMNOPQRSTUVWXYZ")),"")</f>
        <v/>
      </c>
      <c r="K114">
        <f>IF($F114=1,FIND(MID($B114,5,1),"0123456789")-1,"")</f>
        <v/>
      </c>
      <c r="L114">
        <f>IF($F114=1,FIND(MID($B114,6,1),"0123456789")-1,"")</f>
        <v/>
      </c>
      <c r="M114">
        <f>IF($F114=1,FIND(MID($B114,7,1),"0123456789")-1,"")</f>
        <v/>
      </c>
      <c r="N114">
        <f>IF($F114=1,FIND(MID($B114,8,1),"0123456789")-1,"")</f>
        <v/>
      </c>
      <c r="O114">
        <f>IF($F114=1,FIND(MID($B114,9,1),"0123456789")-1,"")</f>
        <v/>
      </c>
      <c r="P114">
        <f>IF($F114=1,FIND(MID($B114,10,1),"0123456789")-1,"")</f>
        <v/>
      </c>
      <c r="Q114">
        <f>IF($F114=1,SUMPRODUCT($G114:$P114,{1,2,4,8,16,32,64,128,256,512}),"")</f>
        <v/>
      </c>
      <c r="R114">
        <f>IF($F114=1,MOD(MOD($Q114,11),10),"")</f>
        <v/>
      </c>
    </row>
    <row r="115">
      <c r="A115" s="6" t="n"/>
      <c r="B115" s="7">
        <f>IF($A115="","",UPPER(SUBSTITUTE(SUBSTITUTE(SUBSTITUTE(SUBSTITUTE(SUBSTITUTE(SUBSTITUTE($A115," ",""),"-",""),".",""),"/",""),"i","I"),"ı","?")))</f>
        <v/>
      </c>
      <c r="C115" s="8">
        <f>IF($F115=1,$R115,"")</f>
        <v/>
      </c>
      <c r="D115" s="7">
        <f>IF($A115="","",IF($F115=0,"Biçim hatalı",IF(FIND(MID($B115,11,1),"0123456789")-1=$R115,"Geçerli","Kontrol hanesi hatalı (doğrusu: "&amp;$R115&amp;")")))</f>
        <v/>
      </c>
      <c r="F115">
        <f>IF($A115="","",IF(AND(LEN($B115)=11,SUMPRODUCT(--ISNUMBER(FIND(MID($B115,{1,2,3},1),"ABCDEFGHIJKLMNOPQRSTUVWXYZ")))=3,ISNUMBER(FIND(MID($B115,4,1),"UJZ")),SUMPRODUCT(--ISNUMBER(FIND(MID($B115,{5,6,7,8,9,10,11},1),"0123456789")))=7),1,0))</f>
        <v/>
      </c>
      <c r="G115">
        <f>IF($F115=1,INDEX({10,12,13,14,15,16,17,18,19,20,21,23,24,25,26,27,28,29,30,31,32,34,35,36,37,38},1,FIND(MID($B115,1,1),"ABCDEFGHIJKLMNOPQRSTUVWXYZ")),"")</f>
        <v/>
      </c>
      <c r="H115">
        <f>IF($F115=1,INDEX({10,12,13,14,15,16,17,18,19,20,21,23,24,25,26,27,28,29,30,31,32,34,35,36,37,38},1,FIND(MID($B115,2,1),"ABCDEFGHIJKLMNOPQRSTUVWXYZ")),"")</f>
        <v/>
      </c>
      <c r="I115">
        <f>IF($F115=1,INDEX({10,12,13,14,15,16,17,18,19,20,21,23,24,25,26,27,28,29,30,31,32,34,35,36,37,38},1,FIND(MID($B115,3,1),"ABCDEFGHIJKLMNOPQRSTUVWXYZ")),"")</f>
        <v/>
      </c>
      <c r="J115">
        <f>IF($F115=1,INDEX({10,12,13,14,15,16,17,18,19,20,21,23,24,25,26,27,28,29,30,31,32,34,35,36,37,38},1,FIND(MID($B115,4,1),"ABCDEFGHIJKLMNOPQRSTUVWXYZ")),"")</f>
        <v/>
      </c>
      <c r="K115">
        <f>IF($F115=1,FIND(MID($B115,5,1),"0123456789")-1,"")</f>
        <v/>
      </c>
      <c r="L115">
        <f>IF($F115=1,FIND(MID($B115,6,1),"0123456789")-1,"")</f>
        <v/>
      </c>
      <c r="M115">
        <f>IF($F115=1,FIND(MID($B115,7,1),"0123456789")-1,"")</f>
        <v/>
      </c>
      <c r="N115">
        <f>IF($F115=1,FIND(MID($B115,8,1),"0123456789")-1,"")</f>
        <v/>
      </c>
      <c r="O115">
        <f>IF($F115=1,FIND(MID($B115,9,1),"0123456789")-1,"")</f>
        <v/>
      </c>
      <c r="P115">
        <f>IF($F115=1,FIND(MID($B115,10,1),"0123456789")-1,"")</f>
        <v/>
      </c>
      <c r="Q115">
        <f>IF($F115=1,SUMPRODUCT($G115:$P115,{1,2,4,8,16,32,64,128,256,512}),"")</f>
        <v/>
      </c>
      <c r="R115">
        <f>IF($F115=1,MOD(MOD($Q115,11),10),"")</f>
        <v/>
      </c>
    </row>
    <row r="116">
      <c r="A116" s="6" t="n"/>
      <c r="B116" s="7">
        <f>IF($A116="","",UPPER(SUBSTITUTE(SUBSTITUTE(SUBSTITUTE(SUBSTITUTE(SUBSTITUTE(SUBSTITUTE($A116," ",""),"-",""),".",""),"/",""),"i","I"),"ı","?")))</f>
        <v/>
      </c>
      <c r="C116" s="8">
        <f>IF($F116=1,$R116,"")</f>
        <v/>
      </c>
      <c r="D116" s="7">
        <f>IF($A116="","",IF($F116=0,"Biçim hatalı",IF(FIND(MID($B116,11,1),"0123456789")-1=$R116,"Geçerli","Kontrol hanesi hatalı (doğrusu: "&amp;$R116&amp;")")))</f>
        <v/>
      </c>
      <c r="F116">
        <f>IF($A116="","",IF(AND(LEN($B116)=11,SUMPRODUCT(--ISNUMBER(FIND(MID($B116,{1,2,3},1),"ABCDEFGHIJKLMNOPQRSTUVWXYZ")))=3,ISNUMBER(FIND(MID($B116,4,1),"UJZ")),SUMPRODUCT(--ISNUMBER(FIND(MID($B116,{5,6,7,8,9,10,11},1),"0123456789")))=7),1,0))</f>
        <v/>
      </c>
      <c r="G116">
        <f>IF($F116=1,INDEX({10,12,13,14,15,16,17,18,19,20,21,23,24,25,26,27,28,29,30,31,32,34,35,36,37,38},1,FIND(MID($B116,1,1),"ABCDEFGHIJKLMNOPQRSTUVWXYZ")),"")</f>
        <v/>
      </c>
      <c r="H116">
        <f>IF($F116=1,INDEX({10,12,13,14,15,16,17,18,19,20,21,23,24,25,26,27,28,29,30,31,32,34,35,36,37,38},1,FIND(MID($B116,2,1),"ABCDEFGHIJKLMNOPQRSTUVWXYZ")),"")</f>
        <v/>
      </c>
      <c r="I116">
        <f>IF($F116=1,INDEX({10,12,13,14,15,16,17,18,19,20,21,23,24,25,26,27,28,29,30,31,32,34,35,36,37,38},1,FIND(MID($B116,3,1),"ABCDEFGHIJKLMNOPQRSTUVWXYZ")),"")</f>
        <v/>
      </c>
      <c r="J116">
        <f>IF($F116=1,INDEX({10,12,13,14,15,16,17,18,19,20,21,23,24,25,26,27,28,29,30,31,32,34,35,36,37,38},1,FIND(MID($B116,4,1),"ABCDEFGHIJKLMNOPQRSTUVWXYZ")),"")</f>
        <v/>
      </c>
      <c r="K116">
        <f>IF($F116=1,FIND(MID($B116,5,1),"0123456789")-1,"")</f>
        <v/>
      </c>
      <c r="L116">
        <f>IF($F116=1,FIND(MID($B116,6,1),"0123456789")-1,"")</f>
        <v/>
      </c>
      <c r="M116">
        <f>IF($F116=1,FIND(MID($B116,7,1),"0123456789")-1,"")</f>
        <v/>
      </c>
      <c r="N116">
        <f>IF($F116=1,FIND(MID($B116,8,1),"0123456789")-1,"")</f>
        <v/>
      </c>
      <c r="O116">
        <f>IF($F116=1,FIND(MID($B116,9,1),"0123456789")-1,"")</f>
        <v/>
      </c>
      <c r="P116">
        <f>IF($F116=1,FIND(MID($B116,10,1),"0123456789")-1,"")</f>
        <v/>
      </c>
      <c r="Q116">
        <f>IF($F116=1,SUMPRODUCT($G116:$P116,{1,2,4,8,16,32,64,128,256,512}),"")</f>
        <v/>
      </c>
      <c r="R116">
        <f>IF($F116=1,MOD(MOD($Q116,11),10),"")</f>
        <v/>
      </c>
    </row>
    <row r="117">
      <c r="A117" s="6" t="n"/>
      <c r="B117" s="7">
        <f>IF($A117="","",UPPER(SUBSTITUTE(SUBSTITUTE(SUBSTITUTE(SUBSTITUTE(SUBSTITUTE(SUBSTITUTE($A117," ",""),"-",""),".",""),"/",""),"i","I"),"ı","?")))</f>
        <v/>
      </c>
      <c r="C117" s="8">
        <f>IF($F117=1,$R117,"")</f>
        <v/>
      </c>
      <c r="D117" s="7">
        <f>IF($A117="","",IF($F117=0,"Biçim hatalı",IF(FIND(MID($B117,11,1),"0123456789")-1=$R117,"Geçerli","Kontrol hanesi hatalı (doğrusu: "&amp;$R117&amp;")")))</f>
        <v/>
      </c>
      <c r="F117">
        <f>IF($A117="","",IF(AND(LEN($B117)=11,SUMPRODUCT(--ISNUMBER(FIND(MID($B117,{1,2,3},1),"ABCDEFGHIJKLMNOPQRSTUVWXYZ")))=3,ISNUMBER(FIND(MID($B117,4,1),"UJZ")),SUMPRODUCT(--ISNUMBER(FIND(MID($B117,{5,6,7,8,9,10,11},1),"0123456789")))=7),1,0))</f>
        <v/>
      </c>
      <c r="G117">
        <f>IF($F117=1,INDEX({10,12,13,14,15,16,17,18,19,20,21,23,24,25,26,27,28,29,30,31,32,34,35,36,37,38},1,FIND(MID($B117,1,1),"ABCDEFGHIJKLMNOPQRSTUVWXYZ")),"")</f>
        <v/>
      </c>
      <c r="H117">
        <f>IF($F117=1,INDEX({10,12,13,14,15,16,17,18,19,20,21,23,24,25,26,27,28,29,30,31,32,34,35,36,37,38},1,FIND(MID($B117,2,1),"ABCDEFGHIJKLMNOPQRSTUVWXYZ")),"")</f>
        <v/>
      </c>
      <c r="I117">
        <f>IF($F117=1,INDEX({10,12,13,14,15,16,17,18,19,20,21,23,24,25,26,27,28,29,30,31,32,34,35,36,37,38},1,FIND(MID($B117,3,1),"ABCDEFGHIJKLMNOPQRSTUVWXYZ")),"")</f>
        <v/>
      </c>
      <c r="J117">
        <f>IF($F117=1,INDEX({10,12,13,14,15,16,17,18,19,20,21,23,24,25,26,27,28,29,30,31,32,34,35,36,37,38},1,FIND(MID($B117,4,1),"ABCDEFGHIJKLMNOPQRSTUVWXYZ")),"")</f>
        <v/>
      </c>
      <c r="K117">
        <f>IF($F117=1,FIND(MID($B117,5,1),"0123456789")-1,"")</f>
        <v/>
      </c>
      <c r="L117">
        <f>IF($F117=1,FIND(MID($B117,6,1),"0123456789")-1,"")</f>
        <v/>
      </c>
      <c r="M117">
        <f>IF($F117=1,FIND(MID($B117,7,1),"0123456789")-1,"")</f>
        <v/>
      </c>
      <c r="N117">
        <f>IF($F117=1,FIND(MID($B117,8,1),"0123456789")-1,"")</f>
        <v/>
      </c>
      <c r="O117">
        <f>IF($F117=1,FIND(MID($B117,9,1),"0123456789")-1,"")</f>
        <v/>
      </c>
      <c r="P117">
        <f>IF($F117=1,FIND(MID($B117,10,1),"0123456789")-1,"")</f>
        <v/>
      </c>
      <c r="Q117">
        <f>IF($F117=1,SUMPRODUCT($G117:$P117,{1,2,4,8,16,32,64,128,256,512}),"")</f>
        <v/>
      </c>
      <c r="R117">
        <f>IF($F117=1,MOD(MOD($Q117,11),10),"")</f>
        <v/>
      </c>
    </row>
    <row r="118">
      <c r="A118" s="6" t="n"/>
      <c r="B118" s="7">
        <f>IF($A118="","",UPPER(SUBSTITUTE(SUBSTITUTE(SUBSTITUTE(SUBSTITUTE(SUBSTITUTE(SUBSTITUTE($A118," ",""),"-",""),".",""),"/",""),"i","I"),"ı","?")))</f>
        <v/>
      </c>
      <c r="C118" s="8">
        <f>IF($F118=1,$R118,"")</f>
        <v/>
      </c>
      <c r="D118" s="7">
        <f>IF($A118="","",IF($F118=0,"Biçim hatalı",IF(FIND(MID($B118,11,1),"0123456789")-1=$R118,"Geçerli","Kontrol hanesi hatalı (doğrusu: "&amp;$R118&amp;")")))</f>
        <v/>
      </c>
      <c r="F118">
        <f>IF($A118="","",IF(AND(LEN($B118)=11,SUMPRODUCT(--ISNUMBER(FIND(MID($B118,{1,2,3},1),"ABCDEFGHIJKLMNOPQRSTUVWXYZ")))=3,ISNUMBER(FIND(MID($B118,4,1),"UJZ")),SUMPRODUCT(--ISNUMBER(FIND(MID($B118,{5,6,7,8,9,10,11},1),"0123456789")))=7),1,0))</f>
        <v/>
      </c>
      <c r="G118">
        <f>IF($F118=1,INDEX({10,12,13,14,15,16,17,18,19,20,21,23,24,25,26,27,28,29,30,31,32,34,35,36,37,38},1,FIND(MID($B118,1,1),"ABCDEFGHIJKLMNOPQRSTUVWXYZ")),"")</f>
        <v/>
      </c>
      <c r="H118">
        <f>IF($F118=1,INDEX({10,12,13,14,15,16,17,18,19,20,21,23,24,25,26,27,28,29,30,31,32,34,35,36,37,38},1,FIND(MID($B118,2,1),"ABCDEFGHIJKLMNOPQRSTUVWXYZ")),"")</f>
        <v/>
      </c>
      <c r="I118">
        <f>IF($F118=1,INDEX({10,12,13,14,15,16,17,18,19,20,21,23,24,25,26,27,28,29,30,31,32,34,35,36,37,38},1,FIND(MID($B118,3,1),"ABCDEFGHIJKLMNOPQRSTUVWXYZ")),"")</f>
        <v/>
      </c>
      <c r="J118">
        <f>IF($F118=1,INDEX({10,12,13,14,15,16,17,18,19,20,21,23,24,25,26,27,28,29,30,31,32,34,35,36,37,38},1,FIND(MID($B118,4,1),"ABCDEFGHIJKLMNOPQRSTUVWXYZ")),"")</f>
        <v/>
      </c>
      <c r="K118">
        <f>IF($F118=1,FIND(MID($B118,5,1),"0123456789")-1,"")</f>
        <v/>
      </c>
      <c r="L118">
        <f>IF($F118=1,FIND(MID($B118,6,1),"0123456789")-1,"")</f>
        <v/>
      </c>
      <c r="M118">
        <f>IF($F118=1,FIND(MID($B118,7,1),"0123456789")-1,"")</f>
        <v/>
      </c>
      <c r="N118">
        <f>IF($F118=1,FIND(MID($B118,8,1),"0123456789")-1,"")</f>
        <v/>
      </c>
      <c r="O118">
        <f>IF($F118=1,FIND(MID($B118,9,1),"0123456789")-1,"")</f>
        <v/>
      </c>
      <c r="P118">
        <f>IF($F118=1,FIND(MID($B118,10,1),"0123456789")-1,"")</f>
        <v/>
      </c>
      <c r="Q118">
        <f>IF($F118=1,SUMPRODUCT($G118:$P118,{1,2,4,8,16,32,64,128,256,512}),"")</f>
        <v/>
      </c>
      <c r="R118">
        <f>IF($F118=1,MOD(MOD($Q118,11),10),"")</f>
        <v/>
      </c>
    </row>
    <row r="119">
      <c r="A119" s="6" t="n"/>
      <c r="B119" s="7">
        <f>IF($A119="","",UPPER(SUBSTITUTE(SUBSTITUTE(SUBSTITUTE(SUBSTITUTE(SUBSTITUTE(SUBSTITUTE($A119," ",""),"-",""),".",""),"/",""),"i","I"),"ı","?")))</f>
        <v/>
      </c>
      <c r="C119" s="8">
        <f>IF($F119=1,$R119,"")</f>
        <v/>
      </c>
      <c r="D119" s="7">
        <f>IF($A119="","",IF($F119=0,"Biçim hatalı",IF(FIND(MID($B119,11,1),"0123456789")-1=$R119,"Geçerli","Kontrol hanesi hatalı (doğrusu: "&amp;$R119&amp;")")))</f>
        <v/>
      </c>
      <c r="F119">
        <f>IF($A119="","",IF(AND(LEN($B119)=11,SUMPRODUCT(--ISNUMBER(FIND(MID($B119,{1,2,3},1),"ABCDEFGHIJKLMNOPQRSTUVWXYZ")))=3,ISNUMBER(FIND(MID($B119,4,1),"UJZ")),SUMPRODUCT(--ISNUMBER(FIND(MID($B119,{5,6,7,8,9,10,11},1),"0123456789")))=7),1,0))</f>
        <v/>
      </c>
      <c r="G119">
        <f>IF($F119=1,INDEX({10,12,13,14,15,16,17,18,19,20,21,23,24,25,26,27,28,29,30,31,32,34,35,36,37,38},1,FIND(MID($B119,1,1),"ABCDEFGHIJKLMNOPQRSTUVWXYZ")),"")</f>
        <v/>
      </c>
      <c r="H119">
        <f>IF($F119=1,INDEX({10,12,13,14,15,16,17,18,19,20,21,23,24,25,26,27,28,29,30,31,32,34,35,36,37,38},1,FIND(MID($B119,2,1),"ABCDEFGHIJKLMNOPQRSTUVWXYZ")),"")</f>
        <v/>
      </c>
      <c r="I119">
        <f>IF($F119=1,INDEX({10,12,13,14,15,16,17,18,19,20,21,23,24,25,26,27,28,29,30,31,32,34,35,36,37,38},1,FIND(MID($B119,3,1),"ABCDEFGHIJKLMNOPQRSTUVWXYZ")),"")</f>
        <v/>
      </c>
      <c r="J119">
        <f>IF($F119=1,INDEX({10,12,13,14,15,16,17,18,19,20,21,23,24,25,26,27,28,29,30,31,32,34,35,36,37,38},1,FIND(MID($B119,4,1),"ABCDEFGHIJKLMNOPQRSTUVWXYZ")),"")</f>
        <v/>
      </c>
      <c r="K119">
        <f>IF($F119=1,FIND(MID($B119,5,1),"0123456789")-1,"")</f>
        <v/>
      </c>
      <c r="L119">
        <f>IF($F119=1,FIND(MID($B119,6,1),"0123456789")-1,"")</f>
        <v/>
      </c>
      <c r="M119">
        <f>IF($F119=1,FIND(MID($B119,7,1),"0123456789")-1,"")</f>
        <v/>
      </c>
      <c r="N119">
        <f>IF($F119=1,FIND(MID($B119,8,1),"0123456789")-1,"")</f>
        <v/>
      </c>
      <c r="O119">
        <f>IF($F119=1,FIND(MID($B119,9,1),"0123456789")-1,"")</f>
        <v/>
      </c>
      <c r="P119">
        <f>IF($F119=1,FIND(MID($B119,10,1),"0123456789")-1,"")</f>
        <v/>
      </c>
      <c r="Q119">
        <f>IF($F119=1,SUMPRODUCT($G119:$P119,{1,2,4,8,16,32,64,128,256,512}),"")</f>
        <v/>
      </c>
      <c r="R119">
        <f>IF($F119=1,MOD(MOD($Q119,11),10),"")</f>
        <v/>
      </c>
    </row>
    <row r="120">
      <c r="A120" s="6" t="n"/>
      <c r="B120" s="7">
        <f>IF($A120="","",UPPER(SUBSTITUTE(SUBSTITUTE(SUBSTITUTE(SUBSTITUTE(SUBSTITUTE(SUBSTITUTE($A120," ",""),"-",""),".",""),"/",""),"i","I"),"ı","?")))</f>
        <v/>
      </c>
      <c r="C120" s="8">
        <f>IF($F120=1,$R120,"")</f>
        <v/>
      </c>
      <c r="D120" s="7">
        <f>IF($A120="","",IF($F120=0,"Biçim hatalı",IF(FIND(MID($B120,11,1),"0123456789")-1=$R120,"Geçerli","Kontrol hanesi hatalı (doğrusu: "&amp;$R120&amp;")")))</f>
        <v/>
      </c>
      <c r="F120">
        <f>IF($A120="","",IF(AND(LEN($B120)=11,SUMPRODUCT(--ISNUMBER(FIND(MID($B120,{1,2,3},1),"ABCDEFGHIJKLMNOPQRSTUVWXYZ")))=3,ISNUMBER(FIND(MID($B120,4,1),"UJZ")),SUMPRODUCT(--ISNUMBER(FIND(MID($B120,{5,6,7,8,9,10,11},1),"0123456789")))=7),1,0))</f>
        <v/>
      </c>
      <c r="G120">
        <f>IF($F120=1,INDEX({10,12,13,14,15,16,17,18,19,20,21,23,24,25,26,27,28,29,30,31,32,34,35,36,37,38},1,FIND(MID($B120,1,1),"ABCDEFGHIJKLMNOPQRSTUVWXYZ")),"")</f>
        <v/>
      </c>
      <c r="H120">
        <f>IF($F120=1,INDEX({10,12,13,14,15,16,17,18,19,20,21,23,24,25,26,27,28,29,30,31,32,34,35,36,37,38},1,FIND(MID($B120,2,1),"ABCDEFGHIJKLMNOPQRSTUVWXYZ")),"")</f>
        <v/>
      </c>
      <c r="I120">
        <f>IF($F120=1,INDEX({10,12,13,14,15,16,17,18,19,20,21,23,24,25,26,27,28,29,30,31,32,34,35,36,37,38},1,FIND(MID($B120,3,1),"ABCDEFGHIJKLMNOPQRSTUVWXYZ")),"")</f>
        <v/>
      </c>
      <c r="J120">
        <f>IF($F120=1,INDEX({10,12,13,14,15,16,17,18,19,20,21,23,24,25,26,27,28,29,30,31,32,34,35,36,37,38},1,FIND(MID($B120,4,1),"ABCDEFGHIJKLMNOPQRSTUVWXYZ")),"")</f>
        <v/>
      </c>
      <c r="K120">
        <f>IF($F120=1,FIND(MID($B120,5,1),"0123456789")-1,"")</f>
        <v/>
      </c>
      <c r="L120">
        <f>IF($F120=1,FIND(MID($B120,6,1),"0123456789")-1,"")</f>
        <v/>
      </c>
      <c r="M120">
        <f>IF($F120=1,FIND(MID($B120,7,1),"0123456789")-1,"")</f>
        <v/>
      </c>
      <c r="N120">
        <f>IF($F120=1,FIND(MID($B120,8,1),"0123456789")-1,"")</f>
        <v/>
      </c>
      <c r="O120">
        <f>IF($F120=1,FIND(MID($B120,9,1),"0123456789")-1,"")</f>
        <v/>
      </c>
      <c r="P120">
        <f>IF($F120=1,FIND(MID($B120,10,1),"0123456789")-1,"")</f>
        <v/>
      </c>
      <c r="Q120">
        <f>IF($F120=1,SUMPRODUCT($G120:$P120,{1,2,4,8,16,32,64,128,256,512}),"")</f>
        <v/>
      </c>
      <c r="R120">
        <f>IF($F120=1,MOD(MOD($Q120,11),10),"")</f>
        <v/>
      </c>
    </row>
    <row r="121">
      <c r="A121" s="6" t="n"/>
      <c r="B121" s="7">
        <f>IF($A121="","",UPPER(SUBSTITUTE(SUBSTITUTE(SUBSTITUTE(SUBSTITUTE(SUBSTITUTE(SUBSTITUTE($A121," ",""),"-",""),".",""),"/",""),"i","I"),"ı","?")))</f>
        <v/>
      </c>
      <c r="C121" s="8">
        <f>IF($F121=1,$R121,"")</f>
        <v/>
      </c>
      <c r="D121" s="7">
        <f>IF($A121="","",IF($F121=0,"Biçim hatalı",IF(FIND(MID($B121,11,1),"0123456789")-1=$R121,"Geçerli","Kontrol hanesi hatalı (doğrusu: "&amp;$R121&amp;")")))</f>
        <v/>
      </c>
      <c r="F121">
        <f>IF($A121="","",IF(AND(LEN($B121)=11,SUMPRODUCT(--ISNUMBER(FIND(MID($B121,{1,2,3},1),"ABCDEFGHIJKLMNOPQRSTUVWXYZ")))=3,ISNUMBER(FIND(MID($B121,4,1),"UJZ")),SUMPRODUCT(--ISNUMBER(FIND(MID($B121,{5,6,7,8,9,10,11},1),"0123456789")))=7),1,0))</f>
        <v/>
      </c>
      <c r="G121">
        <f>IF($F121=1,INDEX({10,12,13,14,15,16,17,18,19,20,21,23,24,25,26,27,28,29,30,31,32,34,35,36,37,38},1,FIND(MID($B121,1,1),"ABCDEFGHIJKLMNOPQRSTUVWXYZ")),"")</f>
        <v/>
      </c>
      <c r="H121">
        <f>IF($F121=1,INDEX({10,12,13,14,15,16,17,18,19,20,21,23,24,25,26,27,28,29,30,31,32,34,35,36,37,38},1,FIND(MID($B121,2,1),"ABCDEFGHIJKLMNOPQRSTUVWXYZ")),"")</f>
        <v/>
      </c>
      <c r="I121">
        <f>IF($F121=1,INDEX({10,12,13,14,15,16,17,18,19,20,21,23,24,25,26,27,28,29,30,31,32,34,35,36,37,38},1,FIND(MID($B121,3,1),"ABCDEFGHIJKLMNOPQRSTUVWXYZ")),"")</f>
        <v/>
      </c>
      <c r="J121">
        <f>IF($F121=1,INDEX({10,12,13,14,15,16,17,18,19,20,21,23,24,25,26,27,28,29,30,31,32,34,35,36,37,38},1,FIND(MID($B121,4,1),"ABCDEFGHIJKLMNOPQRSTUVWXYZ")),"")</f>
        <v/>
      </c>
      <c r="K121">
        <f>IF($F121=1,FIND(MID($B121,5,1),"0123456789")-1,"")</f>
        <v/>
      </c>
      <c r="L121">
        <f>IF($F121=1,FIND(MID($B121,6,1),"0123456789")-1,"")</f>
        <v/>
      </c>
      <c r="M121">
        <f>IF($F121=1,FIND(MID($B121,7,1),"0123456789")-1,"")</f>
        <v/>
      </c>
      <c r="N121">
        <f>IF($F121=1,FIND(MID($B121,8,1),"0123456789")-1,"")</f>
        <v/>
      </c>
      <c r="O121">
        <f>IF($F121=1,FIND(MID($B121,9,1),"0123456789")-1,"")</f>
        <v/>
      </c>
      <c r="P121">
        <f>IF($F121=1,FIND(MID($B121,10,1),"0123456789")-1,"")</f>
        <v/>
      </c>
      <c r="Q121">
        <f>IF($F121=1,SUMPRODUCT($G121:$P121,{1,2,4,8,16,32,64,128,256,512}),"")</f>
        <v/>
      </c>
      <c r="R121">
        <f>IF($F121=1,MOD(MOD($Q121,11),10),"")</f>
        <v/>
      </c>
    </row>
    <row r="122">
      <c r="A122" s="6" t="n"/>
      <c r="B122" s="7">
        <f>IF($A122="","",UPPER(SUBSTITUTE(SUBSTITUTE(SUBSTITUTE(SUBSTITUTE(SUBSTITUTE(SUBSTITUTE($A122," ",""),"-",""),".",""),"/",""),"i","I"),"ı","?")))</f>
        <v/>
      </c>
      <c r="C122" s="8">
        <f>IF($F122=1,$R122,"")</f>
        <v/>
      </c>
      <c r="D122" s="7">
        <f>IF($A122="","",IF($F122=0,"Biçim hatalı",IF(FIND(MID($B122,11,1),"0123456789")-1=$R122,"Geçerli","Kontrol hanesi hatalı (doğrusu: "&amp;$R122&amp;")")))</f>
        <v/>
      </c>
      <c r="F122">
        <f>IF($A122="","",IF(AND(LEN($B122)=11,SUMPRODUCT(--ISNUMBER(FIND(MID($B122,{1,2,3},1),"ABCDEFGHIJKLMNOPQRSTUVWXYZ")))=3,ISNUMBER(FIND(MID($B122,4,1),"UJZ")),SUMPRODUCT(--ISNUMBER(FIND(MID($B122,{5,6,7,8,9,10,11},1),"0123456789")))=7),1,0))</f>
        <v/>
      </c>
      <c r="G122">
        <f>IF($F122=1,INDEX({10,12,13,14,15,16,17,18,19,20,21,23,24,25,26,27,28,29,30,31,32,34,35,36,37,38},1,FIND(MID($B122,1,1),"ABCDEFGHIJKLMNOPQRSTUVWXYZ")),"")</f>
        <v/>
      </c>
      <c r="H122">
        <f>IF($F122=1,INDEX({10,12,13,14,15,16,17,18,19,20,21,23,24,25,26,27,28,29,30,31,32,34,35,36,37,38},1,FIND(MID($B122,2,1),"ABCDEFGHIJKLMNOPQRSTUVWXYZ")),"")</f>
        <v/>
      </c>
      <c r="I122">
        <f>IF($F122=1,INDEX({10,12,13,14,15,16,17,18,19,20,21,23,24,25,26,27,28,29,30,31,32,34,35,36,37,38},1,FIND(MID($B122,3,1),"ABCDEFGHIJKLMNOPQRSTUVWXYZ")),"")</f>
        <v/>
      </c>
      <c r="J122">
        <f>IF($F122=1,INDEX({10,12,13,14,15,16,17,18,19,20,21,23,24,25,26,27,28,29,30,31,32,34,35,36,37,38},1,FIND(MID($B122,4,1),"ABCDEFGHIJKLMNOPQRSTUVWXYZ")),"")</f>
        <v/>
      </c>
      <c r="K122">
        <f>IF($F122=1,FIND(MID($B122,5,1),"0123456789")-1,"")</f>
        <v/>
      </c>
      <c r="L122">
        <f>IF($F122=1,FIND(MID($B122,6,1),"0123456789")-1,"")</f>
        <v/>
      </c>
      <c r="M122">
        <f>IF($F122=1,FIND(MID($B122,7,1),"0123456789")-1,"")</f>
        <v/>
      </c>
      <c r="N122">
        <f>IF($F122=1,FIND(MID($B122,8,1),"0123456789")-1,"")</f>
        <v/>
      </c>
      <c r="O122">
        <f>IF($F122=1,FIND(MID($B122,9,1),"0123456789")-1,"")</f>
        <v/>
      </c>
      <c r="P122">
        <f>IF($F122=1,FIND(MID($B122,10,1),"0123456789")-1,"")</f>
        <v/>
      </c>
      <c r="Q122">
        <f>IF($F122=1,SUMPRODUCT($G122:$P122,{1,2,4,8,16,32,64,128,256,512}),"")</f>
        <v/>
      </c>
      <c r="R122">
        <f>IF($F122=1,MOD(MOD($Q122,11),10),"")</f>
        <v/>
      </c>
    </row>
    <row r="123">
      <c r="A123" s="6" t="n"/>
      <c r="B123" s="7">
        <f>IF($A123="","",UPPER(SUBSTITUTE(SUBSTITUTE(SUBSTITUTE(SUBSTITUTE(SUBSTITUTE(SUBSTITUTE($A123," ",""),"-",""),".",""),"/",""),"i","I"),"ı","?")))</f>
        <v/>
      </c>
      <c r="C123" s="8">
        <f>IF($F123=1,$R123,"")</f>
        <v/>
      </c>
      <c r="D123" s="7">
        <f>IF($A123="","",IF($F123=0,"Biçim hatalı",IF(FIND(MID($B123,11,1),"0123456789")-1=$R123,"Geçerli","Kontrol hanesi hatalı (doğrusu: "&amp;$R123&amp;")")))</f>
        <v/>
      </c>
      <c r="F123">
        <f>IF($A123="","",IF(AND(LEN($B123)=11,SUMPRODUCT(--ISNUMBER(FIND(MID($B123,{1,2,3},1),"ABCDEFGHIJKLMNOPQRSTUVWXYZ")))=3,ISNUMBER(FIND(MID($B123,4,1),"UJZ")),SUMPRODUCT(--ISNUMBER(FIND(MID($B123,{5,6,7,8,9,10,11},1),"0123456789")))=7),1,0))</f>
        <v/>
      </c>
      <c r="G123">
        <f>IF($F123=1,INDEX({10,12,13,14,15,16,17,18,19,20,21,23,24,25,26,27,28,29,30,31,32,34,35,36,37,38},1,FIND(MID($B123,1,1),"ABCDEFGHIJKLMNOPQRSTUVWXYZ")),"")</f>
        <v/>
      </c>
      <c r="H123">
        <f>IF($F123=1,INDEX({10,12,13,14,15,16,17,18,19,20,21,23,24,25,26,27,28,29,30,31,32,34,35,36,37,38},1,FIND(MID($B123,2,1),"ABCDEFGHIJKLMNOPQRSTUVWXYZ")),"")</f>
        <v/>
      </c>
      <c r="I123">
        <f>IF($F123=1,INDEX({10,12,13,14,15,16,17,18,19,20,21,23,24,25,26,27,28,29,30,31,32,34,35,36,37,38},1,FIND(MID($B123,3,1),"ABCDEFGHIJKLMNOPQRSTUVWXYZ")),"")</f>
        <v/>
      </c>
      <c r="J123">
        <f>IF($F123=1,INDEX({10,12,13,14,15,16,17,18,19,20,21,23,24,25,26,27,28,29,30,31,32,34,35,36,37,38},1,FIND(MID($B123,4,1),"ABCDEFGHIJKLMNOPQRSTUVWXYZ")),"")</f>
        <v/>
      </c>
      <c r="K123">
        <f>IF($F123=1,FIND(MID($B123,5,1),"0123456789")-1,"")</f>
        <v/>
      </c>
      <c r="L123">
        <f>IF($F123=1,FIND(MID($B123,6,1),"0123456789")-1,"")</f>
        <v/>
      </c>
      <c r="M123">
        <f>IF($F123=1,FIND(MID($B123,7,1),"0123456789")-1,"")</f>
        <v/>
      </c>
      <c r="N123">
        <f>IF($F123=1,FIND(MID($B123,8,1),"0123456789")-1,"")</f>
        <v/>
      </c>
      <c r="O123">
        <f>IF($F123=1,FIND(MID($B123,9,1),"0123456789")-1,"")</f>
        <v/>
      </c>
      <c r="P123">
        <f>IF($F123=1,FIND(MID($B123,10,1),"0123456789")-1,"")</f>
        <v/>
      </c>
      <c r="Q123">
        <f>IF($F123=1,SUMPRODUCT($G123:$P123,{1,2,4,8,16,32,64,128,256,512}),"")</f>
        <v/>
      </c>
      <c r="R123">
        <f>IF($F123=1,MOD(MOD($Q123,11),10),"")</f>
        <v/>
      </c>
    </row>
    <row r="124">
      <c r="A124" s="6" t="n"/>
      <c r="B124" s="7">
        <f>IF($A124="","",UPPER(SUBSTITUTE(SUBSTITUTE(SUBSTITUTE(SUBSTITUTE(SUBSTITUTE(SUBSTITUTE($A124," ",""),"-",""),".",""),"/",""),"i","I"),"ı","?")))</f>
        <v/>
      </c>
      <c r="C124" s="8">
        <f>IF($F124=1,$R124,"")</f>
        <v/>
      </c>
      <c r="D124" s="7">
        <f>IF($A124="","",IF($F124=0,"Biçim hatalı",IF(FIND(MID($B124,11,1),"0123456789")-1=$R124,"Geçerli","Kontrol hanesi hatalı (doğrusu: "&amp;$R124&amp;")")))</f>
        <v/>
      </c>
      <c r="F124">
        <f>IF($A124="","",IF(AND(LEN($B124)=11,SUMPRODUCT(--ISNUMBER(FIND(MID($B124,{1,2,3},1),"ABCDEFGHIJKLMNOPQRSTUVWXYZ")))=3,ISNUMBER(FIND(MID($B124,4,1),"UJZ")),SUMPRODUCT(--ISNUMBER(FIND(MID($B124,{5,6,7,8,9,10,11},1),"0123456789")))=7),1,0))</f>
        <v/>
      </c>
      <c r="G124">
        <f>IF($F124=1,INDEX({10,12,13,14,15,16,17,18,19,20,21,23,24,25,26,27,28,29,30,31,32,34,35,36,37,38},1,FIND(MID($B124,1,1),"ABCDEFGHIJKLMNOPQRSTUVWXYZ")),"")</f>
        <v/>
      </c>
      <c r="H124">
        <f>IF($F124=1,INDEX({10,12,13,14,15,16,17,18,19,20,21,23,24,25,26,27,28,29,30,31,32,34,35,36,37,38},1,FIND(MID($B124,2,1),"ABCDEFGHIJKLMNOPQRSTUVWXYZ")),"")</f>
        <v/>
      </c>
      <c r="I124">
        <f>IF($F124=1,INDEX({10,12,13,14,15,16,17,18,19,20,21,23,24,25,26,27,28,29,30,31,32,34,35,36,37,38},1,FIND(MID($B124,3,1),"ABCDEFGHIJKLMNOPQRSTUVWXYZ")),"")</f>
        <v/>
      </c>
      <c r="J124">
        <f>IF($F124=1,INDEX({10,12,13,14,15,16,17,18,19,20,21,23,24,25,26,27,28,29,30,31,32,34,35,36,37,38},1,FIND(MID($B124,4,1),"ABCDEFGHIJKLMNOPQRSTUVWXYZ")),"")</f>
        <v/>
      </c>
      <c r="K124">
        <f>IF($F124=1,FIND(MID($B124,5,1),"0123456789")-1,"")</f>
        <v/>
      </c>
      <c r="L124">
        <f>IF($F124=1,FIND(MID($B124,6,1),"0123456789")-1,"")</f>
        <v/>
      </c>
      <c r="M124">
        <f>IF($F124=1,FIND(MID($B124,7,1),"0123456789")-1,"")</f>
        <v/>
      </c>
      <c r="N124">
        <f>IF($F124=1,FIND(MID($B124,8,1),"0123456789")-1,"")</f>
        <v/>
      </c>
      <c r="O124">
        <f>IF($F124=1,FIND(MID($B124,9,1),"0123456789")-1,"")</f>
        <v/>
      </c>
      <c r="P124">
        <f>IF($F124=1,FIND(MID($B124,10,1),"0123456789")-1,"")</f>
        <v/>
      </c>
      <c r="Q124">
        <f>IF($F124=1,SUMPRODUCT($G124:$P124,{1,2,4,8,16,32,64,128,256,512}),"")</f>
        <v/>
      </c>
      <c r="R124">
        <f>IF($F124=1,MOD(MOD($Q124,11),10),"")</f>
        <v/>
      </c>
    </row>
    <row r="125">
      <c r="A125" s="6" t="n"/>
      <c r="B125" s="7">
        <f>IF($A125="","",UPPER(SUBSTITUTE(SUBSTITUTE(SUBSTITUTE(SUBSTITUTE(SUBSTITUTE(SUBSTITUTE($A125," ",""),"-",""),".",""),"/",""),"i","I"),"ı","?")))</f>
        <v/>
      </c>
      <c r="C125" s="8">
        <f>IF($F125=1,$R125,"")</f>
        <v/>
      </c>
      <c r="D125" s="7">
        <f>IF($A125="","",IF($F125=0,"Biçim hatalı",IF(FIND(MID($B125,11,1),"0123456789")-1=$R125,"Geçerli","Kontrol hanesi hatalı (doğrusu: "&amp;$R125&amp;")")))</f>
        <v/>
      </c>
      <c r="F125">
        <f>IF($A125="","",IF(AND(LEN($B125)=11,SUMPRODUCT(--ISNUMBER(FIND(MID($B125,{1,2,3},1),"ABCDEFGHIJKLMNOPQRSTUVWXYZ")))=3,ISNUMBER(FIND(MID($B125,4,1),"UJZ")),SUMPRODUCT(--ISNUMBER(FIND(MID($B125,{5,6,7,8,9,10,11},1),"0123456789")))=7),1,0))</f>
        <v/>
      </c>
      <c r="G125">
        <f>IF($F125=1,INDEX({10,12,13,14,15,16,17,18,19,20,21,23,24,25,26,27,28,29,30,31,32,34,35,36,37,38},1,FIND(MID($B125,1,1),"ABCDEFGHIJKLMNOPQRSTUVWXYZ")),"")</f>
        <v/>
      </c>
      <c r="H125">
        <f>IF($F125=1,INDEX({10,12,13,14,15,16,17,18,19,20,21,23,24,25,26,27,28,29,30,31,32,34,35,36,37,38},1,FIND(MID($B125,2,1),"ABCDEFGHIJKLMNOPQRSTUVWXYZ")),"")</f>
        <v/>
      </c>
      <c r="I125">
        <f>IF($F125=1,INDEX({10,12,13,14,15,16,17,18,19,20,21,23,24,25,26,27,28,29,30,31,32,34,35,36,37,38},1,FIND(MID($B125,3,1),"ABCDEFGHIJKLMNOPQRSTUVWXYZ")),"")</f>
        <v/>
      </c>
      <c r="J125">
        <f>IF($F125=1,INDEX({10,12,13,14,15,16,17,18,19,20,21,23,24,25,26,27,28,29,30,31,32,34,35,36,37,38},1,FIND(MID($B125,4,1),"ABCDEFGHIJKLMNOPQRSTUVWXYZ")),"")</f>
        <v/>
      </c>
      <c r="K125">
        <f>IF($F125=1,FIND(MID($B125,5,1),"0123456789")-1,"")</f>
        <v/>
      </c>
      <c r="L125">
        <f>IF($F125=1,FIND(MID($B125,6,1),"0123456789")-1,"")</f>
        <v/>
      </c>
      <c r="M125">
        <f>IF($F125=1,FIND(MID($B125,7,1),"0123456789")-1,"")</f>
        <v/>
      </c>
      <c r="N125">
        <f>IF($F125=1,FIND(MID($B125,8,1),"0123456789")-1,"")</f>
        <v/>
      </c>
      <c r="O125">
        <f>IF($F125=1,FIND(MID($B125,9,1),"0123456789")-1,"")</f>
        <v/>
      </c>
      <c r="P125">
        <f>IF($F125=1,FIND(MID($B125,10,1),"0123456789")-1,"")</f>
        <v/>
      </c>
      <c r="Q125">
        <f>IF($F125=1,SUMPRODUCT($G125:$P125,{1,2,4,8,16,32,64,128,256,512}),"")</f>
        <v/>
      </c>
      <c r="R125">
        <f>IF($F125=1,MOD(MOD($Q125,11),10),"")</f>
        <v/>
      </c>
    </row>
    <row r="126">
      <c r="A126" s="6" t="n"/>
      <c r="B126" s="7">
        <f>IF($A126="","",UPPER(SUBSTITUTE(SUBSTITUTE(SUBSTITUTE(SUBSTITUTE(SUBSTITUTE(SUBSTITUTE($A126," ",""),"-",""),".",""),"/",""),"i","I"),"ı","?")))</f>
        <v/>
      </c>
      <c r="C126" s="8">
        <f>IF($F126=1,$R126,"")</f>
        <v/>
      </c>
      <c r="D126" s="7">
        <f>IF($A126="","",IF($F126=0,"Biçim hatalı",IF(FIND(MID($B126,11,1),"0123456789")-1=$R126,"Geçerli","Kontrol hanesi hatalı (doğrusu: "&amp;$R126&amp;")")))</f>
        <v/>
      </c>
      <c r="F126">
        <f>IF($A126="","",IF(AND(LEN($B126)=11,SUMPRODUCT(--ISNUMBER(FIND(MID($B126,{1,2,3},1),"ABCDEFGHIJKLMNOPQRSTUVWXYZ")))=3,ISNUMBER(FIND(MID($B126,4,1),"UJZ")),SUMPRODUCT(--ISNUMBER(FIND(MID($B126,{5,6,7,8,9,10,11},1),"0123456789")))=7),1,0))</f>
        <v/>
      </c>
      <c r="G126">
        <f>IF($F126=1,INDEX({10,12,13,14,15,16,17,18,19,20,21,23,24,25,26,27,28,29,30,31,32,34,35,36,37,38},1,FIND(MID($B126,1,1),"ABCDEFGHIJKLMNOPQRSTUVWXYZ")),"")</f>
        <v/>
      </c>
      <c r="H126">
        <f>IF($F126=1,INDEX({10,12,13,14,15,16,17,18,19,20,21,23,24,25,26,27,28,29,30,31,32,34,35,36,37,38},1,FIND(MID($B126,2,1),"ABCDEFGHIJKLMNOPQRSTUVWXYZ")),"")</f>
        <v/>
      </c>
      <c r="I126">
        <f>IF($F126=1,INDEX({10,12,13,14,15,16,17,18,19,20,21,23,24,25,26,27,28,29,30,31,32,34,35,36,37,38},1,FIND(MID($B126,3,1),"ABCDEFGHIJKLMNOPQRSTUVWXYZ")),"")</f>
        <v/>
      </c>
      <c r="J126">
        <f>IF($F126=1,INDEX({10,12,13,14,15,16,17,18,19,20,21,23,24,25,26,27,28,29,30,31,32,34,35,36,37,38},1,FIND(MID($B126,4,1),"ABCDEFGHIJKLMNOPQRSTUVWXYZ")),"")</f>
        <v/>
      </c>
      <c r="K126">
        <f>IF($F126=1,FIND(MID($B126,5,1),"0123456789")-1,"")</f>
        <v/>
      </c>
      <c r="L126">
        <f>IF($F126=1,FIND(MID($B126,6,1),"0123456789")-1,"")</f>
        <v/>
      </c>
      <c r="M126">
        <f>IF($F126=1,FIND(MID($B126,7,1),"0123456789")-1,"")</f>
        <v/>
      </c>
      <c r="N126">
        <f>IF($F126=1,FIND(MID($B126,8,1),"0123456789")-1,"")</f>
        <v/>
      </c>
      <c r="O126">
        <f>IF($F126=1,FIND(MID($B126,9,1),"0123456789")-1,"")</f>
        <v/>
      </c>
      <c r="P126">
        <f>IF($F126=1,FIND(MID($B126,10,1),"0123456789")-1,"")</f>
        <v/>
      </c>
      <c r="Q126">
        <f>IF($F126=1,SUMPRODUCT($G126:$P126,{1,2,4,8,16,32,64,128,256,512}),"")</f>
        <v/>
      </c>
      <c r="R126">
        <f>IF($F126=1,MOD(MOD($Q126,11),10),"")</f>
        <v/>
      </c>
    </row>
    <row r="127">
      <c r="A127" s="6" t="n"/>
      <c r="B127" s="7">
        <f>IF($A127="","",UPPER(SUBSTITUTE(SUBSTITUTE(SUBSTITUTE(SUBSTITUTE(SUBSTITUTE(SUBSTITUTE($A127," ",""),"-",""),".",""),"/",""),"i","I"),"ı","?")))</f>
        <v/>
      </c>
      <c r="C127" s="8">
        <f>IF($F127=1,$R127,"")</f>
        <v/>
      </c>
      <c r="D127" s="7">
        <f>IF($A127="","",IF($F127=0,"Biçim hatalı",IF(FIND(MID($B127,11,1),"0123456789")-1=$R127,"Geçerli","Kontrol hanesi hatalı (doğrusu: "&amp;$R127&amp;")")))</f>
        <v/>
      </c>
      <c r="F127">
        <f>IF($A127="","",IF(AND(LEN($B127)=11,SUMPRODUCT(--ISNUMBER(FIND(MID($B127,{1,2,3},1),"ABCDEFGHIJKLMNOPQRSTUVWXYZ")))=3,ISNUMBER(FIND(MID($B127,4,1),"UJZ")),SUMPRODUCT(--ISNUMBER(FIND(MID($B127,{5,6,7,8,9,10,11},1),"0123456789")))=7),1,0))</f>
        <v/>
      </c>
      <c r="G127">
        <f>IF($F127=1,INDEX({10,12,13,14,15,16,17,18,19,20,21,23,24,25,26,27,28,29,30,31,32,34,35,36,37,38},1,FIND(MID($B127,1,1),"ABCDEFGHIJKLMNOPQRSTUVWXYZ")),"")</f>
        <v/>
      </c>
      <c r="H127">
        <f>IF($F127=1,INDEX({10,12,13,14,15,16,17,18,19,20,21,23,24,25,26,27,28,29,30,31,32,34,35,36,37,38},1,FIND(MID($B127,2,1),"ABCDEFGHIJKLMNOPQRSTUVWXYZ")),"")</f>
        <v/>
      </c>
      <c r="I127">
        <f>IF($F127=1,INDEX({10,12,13,14,15,16,17,18,19,20,21,23,24,25,26,27,28,29,30,31,32,34,35,36,37,38},1,FIND(MID($B127,3,1),"ABCDEFGHIJKLMNOPQRSTUVWXYZ")),"")</f>
        <v/>
      </c>
      <c r="J127">
        <f>IF($F127=1,INDEX({10,12,13,14,15,16,17,18,19,20,21,23,24,25,26,27,28,29,30,31,32,34,35,36,37,38},1,FIND(MID($B127,4,1),"ABCDEFGHIJKLMNOPQRSTUVWXYZ")),"")</f>
        <v/>
      </c>
      <c r="K127">
        <f>IF($F127=1,FIND(MID($B127,5,1),"0123456789")-1,"")</f>
        <v/>
      </c>
      <c r="L127">
        <f>IF($F127=1,FIND(MID($B127,6,1),"0123456789")-1,"")</f>
        <v/>
      </c>
      <c r="M127">
        <f>IF($F127=1,FIND(MID($B127,7,1),"0123456789")-1,"")</f>
        <v/>
      </c>
      <c r="N127">
        <f>IF($F127=1,FIND(MID($B127,8,1),"0123456789")-1,"")</f>
        <v/>
      </c>
      <c r="O127">
        <f>IF($F127=1,FIND(MID($B127,9,1),"0123456789")-1,"")</f>
        <v/>
      </c>
      <c r="P127">
        <f>IF($F127=1,FIND(MID($B127,10,1),"0123456789")-1,"")</f>
        <v/>
      </c>
      <c r="Q127">
        <f>IF($F127=1,SUMPRODUCT($G127:$P127,{1,2,4,8,16,32,64,128,256,512}),"")</f>
        <v/>
      </c>
      <c r="R127">
        <f>IF($F127=1,MOD(MOD($Q127,11),10),"")</f>
        <v/>
      </c>
    </row>
    <row r="128">
      <c r="A128" s="6" t="n"/>
      <c r="B128" s="7">
        <f>IF($A128="","",UPPER(SUBSTITUTE(SUBSTITUTE(SUBSTITUTE(SUBSTITUTE(SUBSTITUTE(SUBSTITUTE($A128," ",""),"-",""),".",""),"/",""),"i","I"),"ı","?")))</f>
        <v/>
      </c>
      <c r="C128" s="8">
        <f>IF($F128=1,$R128,"")</f>
        <v/>
      </c>
      <c r="D128" s="7">
        <f>IF($A128="","",IF($F128=0,"Biçim hatalı",IF(FIND(MID($B128,11,1),"0123456789")-1=$R128,"Geçerli","Kontrol hanesi hatalı (doğrusu: "&amp;$R128&amp;")")))</f>
        <v/>
      </c>
      <c r="F128">
        <f>IF($A128="","",IF(AND(LEN($B128)=11,SUMPRODUCT(--ISNUMBER(FIND(MID($B128,{1,2,3},1),"ABCDEFGHIJKLMNOPQRSTUVWXYZ")))=3,ISNUMBER(FIND(MID($B128,4,1),"UJZ")),SUMPRODUCT(--ISNUMBER(FIND(MID($B128,{5,6,7,8,9,10,11},1),"0123456789")))=7),1,0))</f>
        <v/>
      </c>
      <c r="G128">
        <f>IF($F128=1,INDEX({10,12,13,14,15,16,17,18,19,20,21,23,24,25,26,27,28,29,30,31,32,34,35,36,37,38},1,FIND(MID($B128,1,1),"ABCDEFGHIJKLMNOPQRSTUVWXYZ")),"")</f>
        <v/>
      </c>
      <c r="H128">
        <f>IF($F128=1,INDEX({10,12,13,14,15,16,17,18,19,20,21,23,24,25,26,27,28,29,30,31,32,34,35,36,37,38},1,FIND(MID($B128,2,1),"ABCDEFGHIJKLMNOPQRSTUVWXYZ")),"")</f>
        <v/>
      </c>
      <c r="I128">
        <f>IF($F128=1,INDEX({10,12,13,14,15,16,17,18,19,20,21,23,24,25,26,27,28,29,30,31,32,34,35,36,37,38},1,FIND(MID($B128,3,1),"ABCDEFGHIJKLMNOPQRSTUVWXYZ")),"")</f>
        <v/>
      </c>
      <c r="J128">
        <f>IF($F128=1,INDEX({10,12,13,14,15,16,17,18,19,20,21,23,24,25,26,27,28,29,30,31,32,34,35,36,37,38},1,FIND(MID($B128,4,1),"ABCDEFGHIJKLMNOPQRSTUVWXYZ")),"")</f>
        <v/>
      </c>
      <c r="K128">
        <f>IF($F128=1,FIND(MID($B128,5,1),"0123456789")-1,"")</f>
        <v/>
      </c>
      <c r="L128">
        <f>IF($F128=1,FIND(MID($B128,6,1),"0123456789")-1,"")</f>
        <v/>
      </c>
      <c r="M128">
        <f>IF($F128=1,FIND(MID($B128,7,1),"0123456789")-1,"")</f>
        <v/>
      </c>
      <c r="N128">
        <f>IF($F128=1,FIND(MID($B128,8,1),"0123456789")-1,"")</f>
        <v/>
      </c>
      <c r="O128">
        <f>IF($F128=1,FIND(MID($B128,9,1),"0123456789")-1,"")</f>
        <v/>
      </c>
      <c r="P128">
        <f>IF($F128=1,FIND(MID($B128,10,1),"0123456789")-1,"")</f>
        <v/>
      </c>
      <c r="Q128">
        <f>IF($F128=1,SUMPRODUCT($G128:$P128,{1,2,4,8,16,32,64,128,256,512}),"")</f>
        <v/>
      </c>
      <c r="R128">
        <f>IF($F128=1,MOD(MOD($Q128,11),10),"")</f>
        <v/>
      </c>
    </row>
    <row r="129">
      <c r="A129" s="6" t="n"/>
      <c r="B129" s="7">
        <f>IF($A129="","",UPPER(SUBSTITUTE(SUBSTITUTE(SUBSTITUTE(SUBSTITUTE(SUBSTITUTE(SUBSTITUTE($A129," ",""),"-",""),".",""),"/",""),"i","I"),"ı","?")))</f>
        <v/>
      </c>
      <c r="C129" s="8">
        <f>IF($F129=1,$R129,"")</f>
        <v/>
      </c>
      <c r="D129" s="7">
        <f>IF($A129="","",IF($F129=0,"Biçim hatalı",IF(FIND(MID($B129,11,1),"0123456789")-1=$R129,"Geçerli","Kontrol hanesi hatalı (doğrusu: "&amp;$R129&amp;")")))</f>
        <v/>
      </c>
      <c r="F129">
        <f>IF($A129="","",IF(AND(LEN($B129)=11,SUMPRODUCT(--ISNUMBER(FIND(MID($B129,{1,2,3},1),"ABCDEFGHIJKLMNOPQRSTUVWXYZ")))=3,ISNUMBER(FIND(MID($B129,4,1),"UJZ")),SUMPRODUCT(--ISNUMBER(FIND(MID($B129,{5,6,7,8,9,10,11},1),"0123456789")))=7),1,0))</f>
        <v/>
      </c>
      <c r="G129">
        <f>IF($F129=1,INDEX({10,12,13,14,15,16,17,18,19,20,21,23,24,25,26,27,28,29,30,31,32,34,35,36,37,38},1,FIND(MID($B129,1,1),"ABCDEFGHIJKLMNOPQRSTUVWXYZ")),"")</f>
        <v/>
      </c>
      <c r="H129">
        <f>IF($F129=1,INDEX({10,12,13,14,15,16,17,18,19,20,21,23,24,25,26,27,28,29,30,31,32,34,35,36,37,38},1,FIND(MID($B129,2,1),"ABCDEFGHIJKLMNOPQRSTUVWXYZ")),"")</f>
        <v/>
      </c>
      <c r="I129">
        <f>IF($F129=1,INDEX({10,12,13,14,15,16,17,18,19,20,21,23,24,25,26,27,28,29,30,31,32,34,35,36,37,38},1,FIND(MID($B129,3,1),"ABCDEFGHIJKLMNOPQRSTUVWXYZ")),"")</f>
        <v/>
      </c>
      <c r="J129">
        <f>IF($F129=1,INDEX({10,12,13,14,15,16,17,18,19,20,21,23,24,25,26,27,28,29,30,31,32,34,35,36,37,38},1,FIND(MID($B129,4,1),"ABCDEFGHIJKLMNOPQRSTUVWXYZ")),"")</f>
        <v/>
      </c>
      <c r="K129">
        <f>IF($F129=1,FIND(MID($B129,5,1),"0123456789")-1,"")</f>
        <v/>
      </c>
      <c r="L129">
        <f>IF($F129=1,FIND(MID($B129,6,1),"0123456789")-1,"")</f>
        <v/>
      </c>
      <c r="M129">
        <f>IF($F129=1,FIND(MID($B129,7,1),"0123456789")-1,"")</f>
        <v/>
      </c>
      <c r="N129">
        <f>IF($F129=1,FIND(MID($B129,8,1),"0123456789")-1,"")</f>
        <v/>
      </c>
      <c r="O129">
        <f>IF($F129=1,FIND(MID($B129,9,1),"0123456789")-1,"")</f>
        <v/>
      </c>
      <c r="P129">
        <f>IF($F129=1,FIND(MID($B129,10,1),"0123456789")-1,"")</f>
        <v/>
      </c>
      <c r="Q129">
        <f>IF($F129=1,SUMPRODUCT($G129:$P129,{1,2,4,8,16,32,64,128,256,512}),"")</f>
        <v/>
      </c>
      <c r="R129">
        <f>IF($F129=1,MOD(MOD($Q129,11),10),"")</f>
        <v/>
      </c>
    </row>
    <row r="130">
      <c r="A130" s="6" t="n"/>
      <c r="B130" s="7">
        <f>IF($A130="","",UPPER(SUBSTITUTE(SUBSTITUTE(SUBSTITUTE(SUBSTITUTE(SUBSTITUTE(SUBSTITUTE($A130," ",""),"-",""),".",""),"/",""),"i","I"),"ı","?")))</f>
        <v/>
      </c>
      <c r="C130" s="8">
        <f>IF($F130=1,$R130,"")</f>
        <v/>
      </c>
      <c r="D130" s="7">
        <f>IF($A130="","",IF($F130=0,"Biçim hatalı",IF(FIND(MID($B130,11,1),"0123456789")-1=$R130,"Geçerli","Kontrol hanesi hatalı (doğrusu: "&amp;$R130&amp;")")))</f>
        <v/>
      </c>
      <c r="F130">
        <f>IF($A130="","",IF(AND(LEN($B130)=11,SUMPRODUCT(--ISNUMBER(FIND(MID($B130,{1,2,3},1),"ABCDEFGHIJKLMNOPQRSTUVWXYZ")))=3,ISNUMBER(FIND(MID($B130,4,1),"UJZ")),SUMPRODUCT(--ISNUMBER(FIND(MID($B130,{5,6,7,8,9,10,11},1),"0123456789")))=7),1,0))</f>
        <v/>
      </c>
      <c r="G130">
        <f>IF($F130=1,INDEX({10,12,13,14,15,16,17,18,19,20,21,23,24,25,26,27,28,29,30,31,32,34,35,36,37,38},1,FIND(MID($B130,1,1),"ABCDEFGHIJKLMNOPQRSTUVWXYZ")),"")</f>
        <v/>
      </c>
      <c r="H130">
        <f>IF($F130=1,INDEX({10,12,13,14,15,16,17,18,19,20,21,23,24,25,26,27,28,29,30,31,32,34,35,36,37,38},1,FIND(MID($B130,2,1),"ABCDEFGHIJKLMNOPQRSTUVWXYZ")),"")</f>
        <v/>
      </c>
      <c r="I130">
        <f>IF($F130=1,INDEX({10,12,13,14,15,16,17,18,19,20,21,23,24,25,26,27,28,29,30,31,32,34,35,36,37,38},1,FIND(MID($B130,3,1),"ABCDEFGHIJKLMNOPQRSTUVWXYZ")),"")</f>
        <v/>
      </c>
      <c r="J130">
        <f>IF($F130=1,INDEX({10,12,13,14,15,16,17,18,19,20,21,23,24,25,26,27,28,29,30,31,32,34,35,36,37,38},1,FIND(MID($B130,4,1),"ABCDEFGHIJKLMNOPQRSTUVWXYZ")),"")</f>
        <v/>
      </c>
      <c r="K130">
        <f>IF($F130=1,FIND(MID($B130,5,1),"0123456789")-1,"")</f>
        <v/>
      </c>
      <c r="L130">
        <f>IF($F130=1,FIND(MID($B130,6,1),"0123456789")-1,"")</f>
        <v/>
      </c>
      <c r="M130">
        <f>IF($F130=1,FIND(MID($B130,7,1),"0123456789")-1,"")</f>
        <v/>
      </c>
      <c r="N130">
        <f>IF($F130=1,FIND(MID($B130,8,1),"0123456789")-1,"")</f>
        <v/>
      </c>
      <c r="O130">
        <f>IF($F130=1,FIND(MID($B130,9,1),"0123456789")-1,"")</f>
        <v/>
      </c>
      <c r="P130">
        <f>IF($F130=1,FIND(MID($B130,10,1),"0123456789")-1,"")</f>
        <v/>
      </c>
      <c r="Q130">
        <f>IF($F130=1,SUMPRODUCT($G130:$P130,{1,2,4,8,16,32,64,128,256,512}),"")</f>
        <v/>
      </c>
      <c r="R130">
        <f>IF($F130=1,MOD(MOD($Q130,11),10),"")</f>
        <v/>
      </c>
    </row>
    <row r="131">
      <c r="A131" s="6" t="n"/>
      <c r="B131" s="7">
        <f>IF($A131="","",UPPER(SUBSTITUTE(SUBSTITUTE(SUBSTITUTE(SUBSTITUTE(SUBSTITUTE(SUBSTITUTE($A131," ",""),"-",""),".",""),"/",""),"i","I"),"ı","?")))</f>
        <v/>
      </c>
      <c r="C131" s="8">
        <f>IF($F131=1,$R131,"")</f>
        <v/>
      </c>
      <c r="D131" s="7">
        <f>IF($A131="","",IF($F131=0,"Biçim hatalı",IF(FIND(MID($B131,11,1),"0123456789")-1=$R131,"Geçerli","Kontrol hanesi hatalı (doğrusu: "&amp;$R131&amp;")")))</f>
        <v/>
      </c>
      <c r="F131">
        <f>IF($A131="","",IF(AND(LEN($B131)=11,SUMPRODUCT(--ISNUMBER(FIND(MID($B131,{1,2,3},1),"ABCDEFGHIJKLMNOPQRSTUVWXYZ")))=3,ISNUMBER(FIND(MID($B131,4,1),"UJZ")),SUMPRODUCT(--ISNUMBER(FIND(MID($B131,{5,6,7,8,9,10,11},1),"0123456789")))=7),1,0))</f>
        <v/>
      </c>
      <c r="G131">
        <f>IF($F131=1,INDEX({10,12,13,14,15,16,17,18,19,20,21,23,24,25,26,27,28,29,30,31,32,34,35,36,37,38},1,FIND(MID($B131,1,1),"ABCDEFGHIJKLMNOPQRSTUVWXYZ")),"")</f>
        <v/>
      </c>
      <c r="H131">
        <f>IF($F131=1,INDEX({10,12,13,14,15,16,17,18,19,20,21,23,24,25,26,27,28,29,30,31,32,34,35,36,37,38},1,FIND(MID($B131,2,1),"ABCDEFGHIJKLMNOPQRSTUVWXYZ")),"")</f>
        <v/>
      </c>
      <c r="I131">
        <f>IF($F131=1,INDEX({10,12,13,14,15,16,17,18,19,20,21,23,24,25,26,27,28,29,30,31,32,34,35,36,37,38},1,FIND(MID($B131,3,1),"ABCDEFGHIJKLMNOPQRSTUVWXYZ")),"")</f>
        <v/>
      </c>
      <c r="J131">
        <f>IF($F131=1,INDEX({10,12,13,14,15,16,17,18,19,20,21,23,24,25,26,27,28,29,30,31,32,34,35,36,37,38},1,FIND(MID($B131,4,1),"ABCDEFGHIJKLMNOPQRSTUVWXYZ")),"")</f>
        <v/>
      </c>
      <c r="K131">
        <f>IF($F131=1,FIND(MID($B131,5,1),"0123456789")-1,"")</f>
        <v/>
      </c>
      <c r="L131">
        <f>IF($F131=1,FIND(MID($B131,6,1),"0123456789")-1,"")</f>
        <v/>
      </c>
      <c r="M131">
        <f>IF($F131=1,FIND(MID($B131,7,1),"0123456789")-1,"")</f>
        <v/>
      </c>
      <c r="N131">
        <f>IF($F131=1,FIND(MID($B131,8,1),"0123456789")-1,"")</f>
        <v/>
      </c>
      <c r="O131">
        <f>IF($F131=1,FIND(MID($B131,9,1),"0123456789")-1,"")</f>
        <v/>
      </c>
      <c r="P131">
        <f>IF($F131=1,FIND(MID($B131,10,1),"0123456789")-1,"")</f>
        <v/>
      </c>
      <c r="Q131">
        <f>IF($F131=1,SUMPRODUCT($G131:$P131,{1,2,4,8,16,32,64,128,256,512}),"")</f>
        <v/>
      </c>
      <c r="R131">
        <f>IF($F131=1,MOD(MOD($Q131,11),10),"")</f>
        <v/>
      </c>
    </row>
    <row r="132">
      <c r="A132" s="6" t="n"/>
      <c r="B132" s="7">
        <f>IF($A132="","",UPPER(SUBSTITUTE(SUBSTITUTE(SUBSTITUTE(SUBSTITUTE(SUBSTITUTE(SUBSTITUTE($A132," ",""),"-",""),".",""),"/",""),"i","I"),"ı","?")))</f>
        <v/>
      </c>
      <c r="C132" s="8">
        <f>IF($F132=1,$R132,"")</f>
        <v/>
      </c>
      <c r="D132" s="7">
        <f>IF($A132="","",IF($F132=0,"Biçim hatalı",IF(FIND(MID($B132,11,1),"0123456789")-1=$R132,"Geçerli","Kontrol hanesi hatalı (doğrusu: "&amp;$R132&amp;")")))</f>
        <v/>
      </c>
      <c r="F132">
        <f>IF($A132="","",IF(AND(LEN($B132)=11,SUMPRODUCT(--ISNUMBER(FIND(MID($B132,{1,2,3},1),"ABCDEFGHIJKLMNOPQRSTUVWXYZ")))=3,ISNUMBER(FIND(MID($B132,4,1),"UJZ")),SUMPRODUCT(--ISNUMBER(FIND(MID($B132,{5,6,7,8,9,10,11},1),"0123456789")))=7),1,0))</f>
        <v/>
      </c>
      <c r="G132">
        <f>IF($F132=1,INDEX({10,12,13,14,15,16,17,18,19,20,21,23,24,25,26,27,28,29,30,31,32,34,35,36,37,38},1,FIND(MID($B132,1,1),"ABCDEFGHIJKLMNOPQRSTUVWXYZ")),"")</f>
        <v/>
      </c>
      <c r="H132">
        <f>IF($F132=1,INDEX({10,12,13,14,15,16,17,18,19,20,21,23,24,25,26,27,28,29,30,31,32,34,35,36,37,38},1,FIND(MID($B132,2,1),"ABCDEFGHIJKLMNOPQRSTUVWXYZ")),"")</f>
        <v/>
      </c>
      <c r="I132">
        <f>IF($F132=1,INDEX({10,12,13,14,15,16,17,18,19,20,21,23,24,25,26,27,28,29,30,31,32,34,35,36,37,38},1,FIND(MID($B132,3,1),"ABCDEFGHIJKLMNOPQRSTUVWXYZ")),"")</f>
        <v/>
      </c>
      <c r="J132">
        <f>IF($F132=1,INDEX({10,12,13,14,15,16,17,18,19,20,21,23,24,25,26,27,28,29,30,31,32,34,35,36,37,38},1,FIND(MID($B132,4,1),"ABCDEFGHIJKLMNOPQRSTUVWXYZ")),"")</f>
        <v/>
      </c>
      <c r="K132">
        <f>IF($F132=1,FIND(MID($B132,5,1),"0123456789")-1,"")</f>
        <v/>
      </c>
      <c r="L132">
        <f>IF($F132=1,FIND(MID($B132,6,1),"0123456789")-1,"")</f>
        <v/>
      </c>
      <c r="M132">
        <f>IF($F132=1,FIND(MID($B132,7,1),"0123456789")-1,"")</f>
        <v/>
      </c>
      <c r="N132">
        <f>IF($F132=1,FIND(MID($B132,8,1),"0123456789")-1,"")</f>
        <v/>
      </c>
      <c r="O132">
        <f>IF($F132=1,FIND(MID($B132,9,1),"0123456789")-1,"")</f>
        <v/>
      </c>
      <c r="P132">
        <f>IF($F132=1,FIND(MID($B132,10,1),"0123456789")-1,"")</f>
        <v/>
      </c>
      <c r="Q132">
        <f>IF($F132=1,SUMPRODUCT($G132:$P132,{1,2,4,8,16,32,64,128,256,512}),"")</f>
        <v/>
      </c>
      <c r="R132">
        <f>IF($F132=1,MOD(MOD($Q132,11),10),"")</f>
        <v/>
      </c>
    </row>
    <row r="133">
      <c r="A133" s="6" t="n"/>
      <c r="B133" s="7">
        <f>IF($A133="","",UPPER(SUBSTITUTE(SUBSTITUTE(SUBSTITUTE(SUBSTITUTE(SUBSTITUTE(SUBSTITUTE($A133," ",""),"-",""),".",""),"/",""),"i","I"),"ı","?")))</f>
        <v/>
      </c>
      <c r="C133" s="8">
        <f>IF($F133=1,$R133,"")</f>
        <v/>
      </c>
      <c r="D133" s="7">
        <f>IF($A133="","",IF($F133=0,"Biçim hatalı",IF(FIND(MID($B133,11,1),"0123456789")-1=$R133,"Geçerli","Kontrol hanesi hatalı (doğrusu: "&amp;$R133&amp;")")))</f>
        <v/>
      </c>
      <c r="F133">
        <f>IF($A133="","",IF(AND(LEN($B133)=11,SUMPRODUCT(--ISNUMBER(FIND(MID($B133,{1,2,3},1),"ABCDEFGHIJKLMNOPQRSTUVWXYZ")))=3,ISNUMBER(FIND(MID($B133,4,1),"UJZ")),SUMPRODUCT(--ISNUMBER(FIND(MID($B133,{5,6,7,8,9,10,11},1),"0123456789")))=7),1,0))</f>
        <v/>
      </c>
      <c r="G133">
        <f>IF($F133=1,INDEX({10,12,13,14,15,16,17,18,19,20,21,23,24,25,26,27,28,29,30,31,32,34,35,36,37,38},1,FIND(MID($B133,1,1),"ABCDEFGHIJKLMNOPQRSTUVWXYZ")),"")</f>
        <v/>
      </c>
      <c r="H133">
        <f>IF($F133=1,INDEX({10,12,13,14,15,16,17,18,19,20,21,23,24,25,26,27,28,29,30,31,32,34,35,36,37,38},1,FIND(MID($B133,2,1),"ABCDEFGHIJKLMNOPQRSTUVWXYZ")),"")</f>
        <v/>
      </c>
      <c r="I133">
        <f>IF($F133=1,INDEX({10,12,13,14,15,16,17,18,19,20,21,23,24,25,26,27,28,29,30,31,32,34,35,36,37,38},1,FIND(MID($B133,3,1),"ABCDEFGHIJKLMNOPQRSTUVWXYZ")),"")</f>
        <v/>
      </c>
      <c r="J133">
        <f>IF($F133=1,INDEX({10,12,13,14,15,16,17,18,19,20,21,23,24,25,26,27,28,29,30,31,32,34,35,36,37,38},1,FIND(MID($B133,4,1),"ABCDEFGHIJKLMNOPQRSTUVWXYZ")),"")</f>
        <v/>
      </c>
      <c r="K133">
        <f>IF($F133=1,FIND(MID($B133,5,1),"0123456789")-1,"")</f>
        <v/>
      </c>
      <c r="L133">
        <f>IF($F133=1,FIND(MID($B133,6,1),"0123456789")-1,"")</f>
        <v/>
      </c>
      <c r="M133">
        <f>IF($F133=1,FIND(MID($B133,7,1),"0123456789")-1,"")</f>
        <v/>
      </c>
      <c r="N133">
        <f>IF($F133=1,FIND(MID($B133,8,1),"0123456789")-1,"")</f>
        <v/>
      </c>
      <c r="O133">
        <f>IF($F133=1,FIND(MID($B133,9,1),"0123456789")-1,"")</f>
        <v/>
      </c>
      <c r="P133">
        <f>IF($F133=1,FIND(MID($B133,10,1),"0123456789")-1,"")</f>
        <v/>
      </c>
      <c r="Q133">
        <f>IF($F133=1,SUMPRODUCT($G133:$P133,{1,2,4,8,16,32,64,128,256,512}),"")</f>
        <v/>
      </c>
      <c r="R133">
        <f>IF($F133=1,MOD(MOD($Q133,11),10),"")</f>
        <v/>
      </c>
    </row>
    <row r="134">
      <c r="A134" s="6" t="n"/>
      <c r="B134" s="7">
        <f>IF($A134="","",UPPER(SUBSTITUTE(SUBSTITUTE(SUBSTITUTE(SUBSTITUTE(SUBSTITUTE(SUBSTITUTE($A134," ",""),"-",""),".",""),"/",""),"i","I"),"ı","?")))</f>
        <v/>
      </c>
      <c r="C134" s="8">
        <f>IF($F134=1,$R134,"")</f>
        <v/>
      </c>
      <c r="D134" s="7">
        <f>IF($A134="","",IF($F134=0,"Biçim hatalı",IF(FIND(MID($B134,11,1),"0123456789")-1=$R134,"Geçerli","Kontrol hanesi hatalı (doğrusu: "&amp;$R134&amp;")")))</f>
        <v/>
      </c>
      <c r="F134">
        <f>IF($A134="","",IF(AND(LEN($B134)=11,SUMPRODUCT(--ISNUMBER(FIND(MID($B134,{1,2,3},1),"ABCDEFGHIJKLMNOPQRSTUVWXYZ")))=3,ISNUMBER(FIND(MID($B134,4,1),"UJZ")),SUMPRODUCT(--ISNUMBER(FIND(MID($B134,{5,6,7,8,9,10,11},1),"0123456789")))=7),1,0))</f>
        <v/>
      </c>
      <c r="G134">
        <f>IF($F134=1,INDEX({10,12,13,14,15,16,17,18,19,20,21,23,24,25,26,27,28,29,30,31,32,34,35,36,37,38},1,FIND(MID($B134,1,1),"ABCDEFGHIJKLMNOPQRSTUVWXYZ")),"")</f>
        <v/>
      </c>
      <c r="H134">
        <f>IF($F134=1,INDEX({10,12,13,14,15,16,17,18,19,20,21,23,24,25,26,27,28,29,30,31,32,34,35,36,37,38},1,FIND(MID($B134,2,1),"ABCDEFGHIJKLMNOPQRSTUVWXYZ")),"")</f>
        <v/>
      </c>
      <c r="I134">
        <f>IF($F134=1,INDEX({10,12,13,14,15,16,17,18,19,20,21,23,24,25,26,27,28,29,30,31,32,34,35,36,37,38},1,FIND(MID($B134,3,1),"ABCDEFGHIJKLMNOPQRSTUVWXYZ")),"")</f>
        <v/>
      </c>
      <c r="J134">
        <f>IF($F134=1,INDEX({10,12,13,14,15,16,17,18,19,20,21,23,24,25,26,27,28,29,30,31,32,34,35,36,37,38},1,FIND(MID($B134,4,1),"ABCDEFGHIJKLMNOPQRSTUVWXYZ")),"")</f>
        <v/>
      </c>
      <c r="K134">
        <f>IF($F134=1,FIND(MID($B134,5,1),"0123456789")-1,"")</f>
        <v/>
      </c>
      <c r="L134">
        <f>IF($F134=1,FIND(MID($B134,6,1),"0123456789")-1,"")</f>
        <v/>
      </c>
      <c r="M134">
        <f>IF($F134=1,FIND(MID($B134,7,1),"0123456789")-1,"")</f>
        <v/>
      </c>
      <c r="N134">
        <f>IF($F134=1,FIND(MID($B134,8,1),"0123456789")-1,"")</f>
        <v/>
      </c>
      <c r="O134">
        <f>IF($F134=1,FIND(MID($B134,9,1),"0123456789")-1,"")</f>
        <v/>
      </c>
      <c r="P134">
        <f>IF($F134=1,FIND(MID($B134,10,1),"0123456789")-1,"")</f>
        <v/>
      </c>
      <c r="Q134">
        <f>IF($F134=1,SUMPRODUCT($G134:$P134,{1,2,4,8,16,32,64,128,256,512}),"")</f>
        <v/>
      </c>
      <c r="R134">
        <f>IF($F134=1,MOD(MOD($Q134,11),10),"")</f>
        <v/>
      </c>
    </row>
    <row r="135">
      <c r="A135" s="6" t="n"/>
      <c r="B135" s="7">
        <f>IF($A135="","",UPPER(SUBSTITUTE(SUBSTITUTE(SUBSTITUTE(SUBSTITUTE(SUBSTITUTE(SUBSTITUTE($A135," ",""),"-",""),".",""),"/",""),"i","I"),"ı","?")))</f>
        <v/>
      </c>
      <c r="C135" s="8">
        <f>IF($F135=1,$R135,"")</f>
        <v/>
      </c>
      <c r="D135" s="7">
        <f>IF($A135="","",IF($F135=0,"Biçim hatalı",IF(FIND(MID($B135,11,1),"0123456789")-1=$R135,"Geçerli","Kontrol hanesi hatalı (doğrusu: "&amp;$R135&amp;")")))</f>
        <v/>
      </c>
      <c r="F135">
        <f>IF($A135="","",IF(AND(LEN($B135)=11,SUMPRODUCT(--ISNUMBER(FIND(MID($B135,{1,2,3},1),"ABCDEFGHIJKLMNOPQRSTUVWXYZ")))=3,ISNUMBER(FIND(MID($B135,4,1),"UJZ")),SUMPRODUCT(--ISNUMBER(FIND(MID($B135,{5,6,7,8,9,10,11},1),"0123456789")))=7),1,0))</f>
        <v/>
      </c>
      <c r="G135">
        <f>IF($F135=1,INDEX({10,12,13,14,15,16,17,18,19,20,21,23,24,25,26,27,28,29,30,31,32,34,35,36,37,38},1,FIND(MID($B135,1,1),"ABCDEFGHIJKLMNOPQRSTUVWXYZ")),"")</f>
        <v/>
      </c>
      <c r="H135">
        <f>IF($F135=1,INDEX({10,12,13,14,15,16,17,18,19,20,21,23,24,25,26,27,28,29,30,31,32,34,35,36,37,38},1,FIND(MID($B135,2,1),"ABCDEFGHIJKLMNOPQRSTUVWXYZ")),"")</f>
        <v/>
      </c>
      <c r="I135">
        <f>IF($F135=1,INDEX({10,12,13,14,15,16,17,18,19,20,21,23,24,25,26,27,28,29,30,31,32,34,35,36,37,38},1,FIND(MID($B135,3,1),"ABCDEFGHIJKLMNOPQRSTUVWXYZ")),"")</f>
        <v/>
      </c>
      <c r="J135">
        <f>IF($F135=1,INDEX({10,12,13,14,15,16,17,18,19,20,21,23,24,25,26,27,28,29,30,31,32,34,35,36,37,38},1,FIND(MID($B135,4,1),"ABCDEFGHIJKLMNOPQRSTUVWXYZ")),"")</f>
        <v/>
      </c>
      <c r="K135">
        <f>IF($F135=1,FIND(MID($B135,5,1),"0123456789")-1,"")</f>
        <v/>
      </c>
      <c r="L135">
        <f>IF($F135=1,FIND(MID($B135,6,1),"0123456789")-1,"")</f>
        <v/>
      </c>
      <c r="M135">
        <f>IF($F135=1,FIND(MID($B135,7,1),"0123456789")-1,"")</f>
        <v/>
      </c>
      <c r="N135">
        <f>IF($F135=1,FIND(MID($B135,8,1),"0123456789")-1,"")</f>
        <v/>
      </c>
      <c r="O135">
        <f>IF($F135=1,FIND(MID($B135,9,1),"0123456789")-1,"")</f>
        <v/>
      </c>
      <c r="P135">
        <f>IF($F135=1,FIND(MID($B135,10,1),"0123456789")-1,"")</f>
        <v/>
      </c>
      <c r="Q135">
        <f>IF($F135=1,SUMPRODUCT($G135:$P135,{1,2,4,8,16,32,64,128,256,512}),"")</f>
        <v/>
      </c>
      <c r="R135">
        <f>IF($F135=1,MOD(MOD($Q135,11),10),"")</f>
        <v/>
      </c>
    </row>
    <row r="136">
      <c r="A136" s="6" t="n"/>
      <c r="B136" s="7">
        <f>IF($A136="","",UPPER(SUBSTITUTE(SUBSTITUTE(SUBSTITUTE(SUBSTITUTE(SUBSTITUTE(SUBSTITUTE($A136," ",""),"-",""),".",""),"/",""),"i","I"),"ı","?")))</f>
        <v/>
      </c>
      <c r="C136" s="8">
        <f>IF($F136=1,$R136,"")</f>
        <v/>
      </c>
      <c r="D136" s="7">
        <f>IF($A136="","",IF($F136=0,"Biçim hatalı",IF(FIND(MID($B136,11,1),"0123456789")-1=$R136,"Geçerli","Kontrol hanesi hatalı (doğrusu: "&amp;$R136&amp;")")))</f>
        <v/>
      </c>
      <c r="F136">
        <f>IF($A136="","",IF(AND(LEN($B136)=11,SUMPRODUCT(--ISNUMBER(FIND(MID($B136,{1,2,3},1),"ABCDEFGHIJKLMNOPQRSTUVWXYZ")))=3,ISNUMBER(FIND(MID($B136,4,1),"UJZ")),SUMPRODUCT(--ISNUMBER(FIND(MID($B136,{5,6,7,8,9,10,11},1),"0123456789")))=7),1,0))</f>
        <v/>
      </c>
      <c r="G136">
        <f>IF($F136=1,INDEX({10,12,13,14,15,16,17,18,19,20,21,23,24,25,26,27,28,29,30,31,32,34,35,36,37,38},1,FIND(MID($B136,1,1),"ABCDEFGHIJKLMNOPQRSTUVWXYZ")),"")</f>
        <v/>
      </c>
      <c r="H136">
        <f>IF($F136=1,INDEX({10,12,13,14,15,16,17,18,19,20,21,23,24,25,26,27,28,29,30,31,32,34,35,36,37,38},1,FIND(MID($B136,2,1),"ABCDEFGHIJKLMNOPQRSTUVWXYZ")),"")</f>
        <v/>
      </c>
      <c r="I136">
        <f>IF($F136=1,INDEX({10,12,13,14,15,16,17,18,19,20,21,23,24,25,26,27,28,29,30,31,32,34,35,36,37,38},1,FIND(MID($B136,3,1),"ABCDEFGHIJKLMNOPQRSTUVWXYZ")),"")</f>
        <v/>
      </c>
      <c r="J136">
        <f>IF($F136=1,INDEX({10,12,13,14,15,16,17,18,19,20,21,23,24,25,26,27,28,29,30,31,32,34,35,36,37,38},1,FIND(MID($B136,4,1),"ABCDEFGHIJKLMNOPQRSTUVWXYZ")),"")</f>
        <v/>
      </c>
      <c r="K136">
        <f>IF($F136=1,FIND(MID($B136,5,1),"0123456789")-1,"")</f>
        <v/>
      </c>
      <c r="L136">
        <f>IF($F136=1,FIND(MID($B136,6,1),"0123456789")-1,"")</f>
        <v/>
      </c>
      <c r="M136">
        <f>IF($F136=1,FIND(MID($B136,7,1),"0123456789")-1,"")</f>
        <v/>
      </c>
      <c r="N136">
        <f>IF($F136=1,FIND(MID($B136,8,1),"0123456789")-1,"")</f>
        <v/>
      </c>
      <c r="O136">
        <f>IF($F136=1,FIND(MID($B136,9,1),"0123456789")-1,"")</f>
        <v/>
      </c>
      <c r="P136">
        <f>IF($F136=1,FIND(MID($B136,10,1),"0123456789")-1,"")</f>
        <v/>
      </c>
      <c r="Q136">
        <f>IF($F136=1,SUMPRODUCT($G136:$P136,{1,2,4,8,16,32,64,128,256,512}),"")</f>
        <v/>
      </c>
      <c r="R136">
        <f>IF($F136=1,MOD(MOD($Q136,11),10),"")</f>
        <v/>
      </c>
    </row>
    <row r="137">
      <c r="A137" s="6" t="n"/>
      <c r="B137" s="7">
        <f>IF($A137="","",UPPER(SUBSTITUTE(SUBSTITUTE(SUBSTITUTE(SUBSTITUTE(SUBSTITUTE(SUBSTITUTE($A137," ",""),"-",""),".",""),"/",""),"i","I"),"ı","?")))</f>
        <v/>
      </c>
      <c r="C137" s="8">
        <f>IF($F137=1,$R137,"")</f>
        <v/>
      </c>
      <c r="D137" s="7">
        <f>IF($A137="","",IF($F137=0,"Biçim hatalı",IF(FIND(MID($B137,11,1),"0123456789")-1=$R137,"Geçerli","Kontrol hanesi hatalı (doğrusu: "&amp;$R137&amp;")")))</f>
        <v/>
      </c>
      <c r="F137">
        <f>IF($A137="","",IF(AND(LEN($B137)=11,SUMPRODUCT(--ISNUMBER(FIND(MID($B137,{1,2,3},1),"ABCDEFGHIJKLMNOPQRSTUVWXYZ")))=3,ISNUMBER(FIND(MID($B137,4,1),"UJZ")),SUMPRODUCT(--ISNUMBER(FIND(MID($B137,{5,6,7,8,9,10,11},1),"0123456789")))=7),1,0))</f>
        <v/>
      </c>
      <c r="G137">
        <f>IF($F137=1,INDEX({10,12,13,14,15,16,17,18,19,20,21,23,24,25,26,27,28,29,30,31,32,34,35,36,37,38},1,FIND(MID($B137,1,1),"ABCDEFGHIJKLMNOPQRSTUVWXYZ")),"")</f>
        <v/>
      </c>
      <c r="H137">
        <f>IF($F137=1,INDEX({10,12,13,14,15,16,17,18,19,20,21,23,24,25,26,27,28,29,30,31,32,34,35,36,37,38},1,FIND(MID($B137,2,1),"ABCDEFGHIJKLMNOPQRSTUVWXYZ")),"")</f>
        <v/>
      </c>
      <c r="I137">
        <f>IF($F137=1,INDEX({10,12,13,14,15,16,17,18,19,20,21,23,24,25,26,27,28,29,30,31,32,34,35,36,37,38},1,FIND(MID($B137,3,1),"ABCDEFGHIJKLMNOPQRSTUVWXYZ")),"")</f>
        <v/>
      </c>
      <c r="J137">
        <f>IF($F137=1,INDEX({10,12,13,14,15,16,17,18,19,20,21,23,24,25,26,27,28,29,30,31,32,34,35,36,37,38},1,FIND(MID($B137,4,1),"ABCDEFGHIJKLMNOPQRSTUVWXYZ")),"")</f>
        <v/>
      </c>
      <c r="K137">
        <f>IF($F137=1,FIND(MID($B137,5,1),"0123456789")-1,"")</f>
        <v/>
      </c>
      <c r="L137">
        <f>IF($F137=1,FIND(MID($B137,6,1),"0123456789")-1,"")</f>
        <v/>
      </c>
      <c r="M137">
        <f>IF($F137=1,FIND(MID($B137,7,1),"0123456789")-1,"")</f>
        <v/>
      </c>
      <c r="N137">
        <f>IF($F137=1,FIND(MID($B137,8,1),"0123456789")-1,"")</f>
        <v/>
      </c>
      <c r="O137">
        <f>IF($F137=1,FIND(MID($B137,9,1),"0123456789")-1,"")</f>
        <v/>
      </c>
      <c r="P137">
        <f>IF($F137=1,FIND(MID($B137,10,1),"0123456789")-1,"")</f>
        <v/>
      </c>
      <c r="Q137">
        <f>IF($F137=1,SUMPRODUCT($G137:$P137,{1,2,4,8,16,32,64,128,256,512}),"")</f>
        <v/>
      </c>
      <c r="R137">
        <f>IF($F137=1,MOD(MOD($Q137,11),10),"")</f>
        <v/>
      </c>
    </row>
    <row r="138">
      <c r="A138" s="6" t="n"/>
      <c r="B138" s="7">
        <f>IF($A138="","",UPPER(SUBSTITUTE(SUBSTITUTE(SUBSTITUTE(SUBSTITUTE(SUBSTITUTE(SUBSTITUTE($A138," ",""),"-",""),".",""),"/",""),"i","I"),"ı","?")))</f>
        <v/>
      </c>
      <c r="C138" s="8">
        <f>IF($F138=1,$R138,"")</f>
        <v/>
      </c>
      <c r="D138" s="7">
        <f>IF($A138="","",IF($F138=0,"Biçim hatalı",IF(FIND(MID($B138,11,1),"0123456789")-1=$R138,"Geçerli","Kontrol hanesi hatalı (doğrusu: "&amp;$R138&amp;")")))</f>
        <v/>
      </c>
      <c r="F138">
        <f>IF($A138="","",IF(AND(LEN($B138)=11,SUMPRODUCT(--ISNUMBER(FIND(MID($B138,{1,2,3},1),"ABCDEFGHIJKLMNOPQRSTUVWXYZ")))=3,ISNUMBER(FIND(MID($B138,4,1),"UJZ")),SUMPRODUCT(--ISNUMBER(FIND(MID($B138,{5,6,7,8,9,10,11},1),"0123456789")))=7),1,0))</f>
        <v/>
      </c>
      <c r="G138">
        <f>IF($F138=1,INDEX({10,12,13,14,15,16,17,18,19,20,21,23,24,25,26,27,28,29,30,31,32,34,35,36,37,38},1,FIND(MID($B138,1,1),"ABCDEFGHIJKLMNOPQRSTUVWXYZ")),"")</f>
        <v/>
      </c>
      <c r="H138">
        <f>IF($F138=1,INDEX({10,12,13,14,15,16,17,18,19,20,21,23,24,25,26,27,28,29,30,31,32,34,35,36,37,38},1,FIND(MID($B138,2,1),"ABCDEFGHIJKLMNOPQRSTUVWXYZ")),"")</f>
        <v/>
      </c>
      <c r="I138">
        <f>IF($F138=1,INDEX({10,12,13,14,15,16,17,18,19,20,21,23,24,25,26,27,28,29,30,31,32,34,35,36,37,38},1,FIND(MID($B138,3,1),"ABCDEFGHIJKLMNOPQRSTUVWXYZ")),"")</f>
        <v/>
      </c>
      <c r="J138">
        <f>IF($F138=1,INDEX({10,12,13,14,15,16,17,18,19,20,21,23,24,25,26,27,28,29,30,31,32,34,35,36,37,38},1,FIND(MID($B138,4,1),"ABCDEFGHIJKLMNOPQRSTUVWXYZ")),"")</f>
        <v/>
      </c>
      <c r="K138">
        <f>IF($F138=1,FIND(MID($B138,5,1),"0123456789")-1,"")</f>
        <v/>
      </c>
      <c r="L138">
        <f>IF($F138=1,FIND(MID($B138,6,1),"0123456789")-1,"")</f>
        <v/>
      </c>
      <c r="M138">
        <f>IF($F138=1,FIND(MID($B138,7,1),"0123456789")-1,"")</f>
        <v/>
      </c>
      <c r="N138">
        <f>IF($F138=1,FIND(MID($B138,8,1),"0123456789")-1,"")</f>
        <v/>
      </c>
      <c r="O138">
        <f>IF($F138=1,FIND(MID($B138,9,1),"0123456789")-1,"")</f>
        <v/>
      </c>
      <c r="P138">
        <f>IF($F138=1,FIND(MID($B138,10,1),"0123456789")-1,"")</f>
        <v/>
      </c>
      <c r="Q138">
        <f>IF($F138=1,SUMPRODUCT($G138:$P138,{1,2,4,8,16,32,64,128,256,512}),"")</f>
        <v/>
      </c>
      <c r="R138">
        <f>IF($F138=1,MOD(MOD($Q138,11),10),"")</f>
        <v/>
      </c>
    </row>
    <row r="139">
      <c r="A139" s="6" t="n"/>
      <c r="B139" s="7">
        <f>IF($A139="","",UPPER(SUBSTITUTE(SUBSTITUTE(SUBSTITUTE(SUBSTITUTE(SUBSTITUTE(SUBSTITUTE($A139," ",""),"-",""),".",""),"/",""),"i","I"),"ı","?")))</f>
        <v/>
      </c>
      <c r="C139" s="8">
        <f>IF($F139=1,$R139,"")</f>
        <v/>
      </c>
      <c r="D139" s="7">
        <f>IF($A139="","",IF($F139=0,"Biçim hatalı",IF(FIND(MID($B139,11,1),"0123456789")-1=$R139,"Geçerli","Kontrol hanesi hatalı (doğrusu: "&amp;$R139&amp;")")))</f>
        <v/>
      </c>
      <c r="F139">
        <f>IF($A139="","",IF(AND(LEN($B139)=11,SUMPRODUCT(--ISNUMBER(FIND(MID($B139,{1,2,3},1),"ABCDEFGHIJKLMNOPQRSTUVWXYZ")))=3,ISNUMBER(FIND(MID($B139,4,1),"UJZ")),SUMPRODUCT(--ISNUMBER(FIND(MID($B139,{5,6,7,8,9,10,11},1),"0123456789")))=7),1,0))</f>
        <v/>
      </c>
      <c r="G139">
        <f>IF($F139=1,INDEX({10,12,13,14,15,16,17,18,19,20,21,23,24,25,26,27,28,29,30,31,32,34,35,36,37,38},1,FIND(MID($B139,1,1),"ABCDEFGHIJKLMNOPQRSTUVWXYZ")),"")</f>
        <v/>
      </c>
      <c r="H139">
        <f>IF($F139=1,INDEX({10,12,13,14,15,16,17,18,19,20,21,23,24,25,26,27,28,29,30,31,32,34,35,36,37,38},1,FIND(MID($B139,2,1),"ABCDEFGHIJKLMNOPQRSTUVWXYZ")),"")</f>
        <v/>
      </c>
      <c r="I139">
        <f>IF($F139=1,INDEX({10,12,13,14,15,16,17,18,19,20,21,23,24,25,26,27,28,29,30,31,32,34,35,36,37,38},1,FIND(MID($B139,3,1),"ABCDEFGHIJKLMNOPQRSTUVWXYZ")),"")</f>
        <v/>
      </c>
      <c r="J139">
        <f>IF($F139=1,INDEX({10,12,13,14,15,16,17,18,19,20,21,23,24,25,26,27,28,29,30,31,32,34,35,36,37,38},1,FIND(MID($B139,4,1),"ABCDEFGHIJKLMNOPQRSTUVWXYZ")),"")</f>
        <v/>
      </c>
      <c r="K139">
        <f>IF($F139=1,FIND(MID($B139,5,1),"0123456789")-1,"")</f>
        <v/>
      </c>
      <c r="L139">
        <f>IF($F139=1,FIND(MID($B139,6,1),"0123456789")-1,"")</f>
        <v/>
      </c>
      <c r="M139">
        <f>IF($F139=1,FIND(MID($B139,7,1),"0123456789")-1,"")</f>
        <v/>
      </c>
      <c r="N139">
        <f>IF($F139=1,FIND(MID($B139,8,1),"0123456789")-1,"")</f>
        <v/>
      </c>
      <c r="O139">
        <f>IF($F139=1,FIND(MID($B139,9,1),"0123456789")-1,"")</f>
        <v/>
      </c>
      <c r="P139">
        <f>IF($F139=1,FIND(MID($B139,10,1),"0123456789")-1,"")</f>
        <v/>
      </c>
      <c r="Q139">
        <f>IF($F139=1,SUMPRODUCT($G139:$P139,{1,2,4,8,16,32,64,128,256,512}),"")</f>
        <v/>
      </c>
      <c r="R139">
        <f>IF($F139=1,MOD(MOD($Q139,11),10),"")</f>
        <v/>
      </c>
    </row>
    <row r="140">
      <c r="A140" s="6" t="n"/>
      <c r="B140" s="7">
        <f>IF($A140="","",UPPER(SUBSTITUTE(SUBSTITUTE(SUBSTITUTE(SUBSTITUTE(SUBSTITUTE(SUBSTITUTE($A140," ",""),"-",""),".",""),"/",""),"i","I"),"ı","?")))</f>
        <v/>
      </c>
      <c r="C140" s="8">
        <f>IF($F140=1,$R140,"")</f>
        <v/>
      </c>
      <c r="D140" s="7">
        <f>IF($A140="","",IF($F140=0,"Biçim hatalı",IF(FIND(MID($B140,11,1),"0123456789")-1=$R140,"Geçerli","Kontrol hanesi hatalı (doğrusu: "&amp;$R140&amp;")")))</f>
        <v/>
      </c>
      <c r="F140">
        <f>IF($A140="","",IF(AND(LEN($B140)=11,SUMPRODUCT(--ISNUMBER(FIND(MID($B140,{1,2,3},1),"ABCDEFGHIJKLMNOPQRSTUVWXYZ")))=3,ISNUMBER(FIND(MID($B140,4,1),"UJZ")),SUMPRODUCT(--ISNUMBER(FIND(MID($B140,{5,6,7,8,9,10,11},1),"0123456789")))=7),1,0))</f>
        <v/>
      </c>
      <c r="G140">
        <f>IF($F140=1,INDEX({10,12,13,14,15,16,17,18,19,20,21,23,24,25,26,27,28,29,30,31,32,34,35,36,37,38},1,FIND(MID($B140,1,1),"ABCDEFGHIJKLMNOPQRSTUVWXYZ")),"")</f>
        <v/>
      </c>
      <c r="H140">
        <f>IF($F140=1,INDEX({10,12,13,14,15,16,17,18,19,20,21,23,24,25,26,27,28,29,30,31,32,34,35,36,37,38},1,FIND(MID($B140,2,1),"ABCDEFGHIJKLMNOPQRSTUVWXYZ")),"")</f>
        <v/>
      </c>
      <c r="I140">
        <f>IF($F140=1,INDEX({10,12,13,14,15,16,17,18,19,20,21,23,24,25,26,27,28,29,30,31,32,34,35,36,37,38},1,FIND(MID($B140,3,1),"ABCDEFGHIJKLMNOPQRSTUVWXYZ")),"")</f>
        <v/>
      </c>
      <c r="J140">
        <f>IF($F140=1,INDEX({10,12,13,14,15,16,17,18,19,20,21,23,24,25,26,27,28,29,30,31,32,34,35,36,37,38},1,FIND(MID($B140,4,1),"ABCDEFGHIJKLMNOPQRSTUVWXYZ")),"")</f>
        <v/>
      </c>
      <c r="K140">
        <f>IF($F140=1,FIND(MID($B140,5,1),"0123456789")-1,"")</f>
        <v/>
      </c>
      <c r="L140">
        <f>IF($F140=1,FIND(MID($B140,6,1),"0123456789")-1,"")</f>
        <v/>
      </c>
      <c r="M140">
        <f>IF($F140=1,FIND(MID($B140,7,1),"0123456789")-1,"")</f>
        <v/>
      </c>
      <c r="N140">
        <f>IF($F140=1,FIND(MID($B140,8,1),"0123456789")-1,"")</f>
        <v/>
      </c>
      <c r="O140">
        <f>IF($F140=1,FIND(MID($B140,9,1),"0123456789")-1,"")</f>
        <v/>
      </c>
      <c r="P140">
        <f>IF($F140=1,FIND(MID($B140,10,1),"0123456789")-1,"")</f>
        <v/>
      </c>
      <c r="Q140">
        <f>IF($F140=1,SUMPRODUCT($G140:$P140,{1,2,4,8,16,32,64,128,256,512}),"")</f>
        <v/>
      </c>
      <c r="R140">
        <f>IF($F140=1,MOD(MOD($Q140,11),10),"")</f>
        <v/>
      </c>
    </row>
    <row r="141">
      <c r="A141" s="6" t="n"/>
      <c r="B141" s="7">
        <f>IF($A141="","",UPPER(SUBSTITUTE(SUBSTITUTE(SUBSTITUTE(SUBSTITUTE(SUBSTITUTE(SUBSTITUTE($A141," ",""),"-",""),".",""),"/",""),"i","I"),"ı","?")))</f>
        <v/>
      </c>
      <c r="C141" s="8">
        <f>IF($F141=1,$R141,"")</f>
        <v/>
      </c>
      <c r="D141" s="7">
        <f>IF($A141="","",IF($F141=0,"Biçim hatalı",IF(FIND(MID($B141,11,1),"0123456789")-1=$R141,"Geçerli","Kontrol hanesi hatalı (doğrusu: "&amp;$R141&amp;")")))</f>
        <v/>
      </c>
      <c r="F141">
        <f>IF($A141="","",IF(AND(LEN($B141)=11,SUMPRODUCT(--ISNUMBER(FIND(MID($B141,{1,2,3},1),"ABCDEFGHIJKLMNOPQRSTUVWXYZ")))=3,ISNUMBER(FIND(MID($B141,4,1),"UJZ")),SUMPRODUCT(--ISNUMBER(FIND(MID($B141,{5,6,7,8,9,10,11},1),"0123456789")))=7),1,0))</f>
        <v/>
      </c>
      <c r="G141">
        <f>IF($F141=1,INDEX({10,12,13,14,15,16,17,18,19,20,21,23,24,25,26,27,28,29,30,31,32,34,35,36,37,38},1,FIND(MID($B141,1,1),"ABCDEFGHIJKLMNOPQRSTUVWXYZ")),"")</f>
        <v/>
      </c>
      <c r="H141">
        <f>IF($F141=1,INDEX({10,12,13,14,15,16,17,18,19,20,21,23,24,25,26,27,28,29,30,31,32,34,35,36,37,38},1,FIND(MID($B141,2,1),"ABCDEFGHIJKLMNOPQRSTUVWXYZ")),"")</f>
        <v/>
      </c>
      <c r="I141">
        <f>IF($F141=1,INDEX({10,12,13,14,15,16,17,18,19,20,21,23,24,25,26,27,28,29,30,31,32,34,35,36,37,38},1,FIND(MID($B141,3,1),"ABCDEFGHIJKLMNOPQRSTUVWXYZ")),"")</f>
        <v/>
      </c>
      <c r="J141">
        <f>IF($F141=1,INDEX({10,12,13,14,15,16,17,18,19,20,21,23,24,25,26,27,28,29,30,31,32,34,35,36,37,38},1,FIND(MID($B141,4,1),"ABCDEFGHIJKLMNOPQRSTUVWXYZ")),"")</f>
        <v/>
      </c>
      <c r="K141">
        <f>IF($F141=1,FIND(MID($B141,5,1),"0123456789")-1,"")</f>
        <v/>
      </c>
      <c r="L141">
        <f>IF($F141=1,FIND(MID($B141,6,1),"0123456789")-1,"")</f>
        <v/>
      </c>
      <c r="M141">
        <f>IF($F141=1,FIND(MID($B141,7,1),"0123456789")-1,"")</f>
        <v/>
      </c>
      <c r="N141">
        <f>IF($F141=1,FIND(MID($B141,8,1),"0123456789")-1,"")</f>
        <v/>
      </c>
      <c r="O141">
        <f>IF($F141=1,FIND(MID($B141,9,1),"0123456789")-1,"")</f>
        <v/>
      </c>
      <c r="P141">
        <f>IF($F141=1,FIND(MID($B141,10,1),"0123456789")-1,"")</f>
        <v/>
      </c>
      <c r="Q141">
        <f>IF($F141=1,SUMPRODUCT($G141:$P141,{1,2,4,8,16,32,64,128,256,512}),"")</f>
        <v/>
      </c>
      <c r="R141">
        <f>IF($F141=1,MOD(MOD($Q141,11),10),"")</f>
        <v/>
      </c>
    </row>
    <row r="142">
      <c r="A142" s="6" t="n"/>
      <c r="B142" s="7">
        <f>IF($A142="","",UPPER(SUBSTITUTE(SUBSTITUTE(SUBSTITUTE(SUBSTITUTE(SUBSTITUTE(SUBSTITUTE($A142," ",""),"-",""),".",""),"/",""),"i","I"),"ı","?")))</f>
        <v/>
      </c>
      <c r="C142" s="8">
        <f>IF($F142=1,$R142,"")</f>
        <v/>
      </c>
      <c r="D142" s="7">
        <f>IF($A142="","",IF($F142=0,"Biçim hatalı",IF(FIND(MID($B142,11,1),"0123456789")-1=$R142,"Geçerli","Kontrol hanesi hatalı (doğrusu: "&amp;$R142&amp;")")))</f>
        <v/>
      </c>
      <c r="F142">
        <f>IF($A142="","",IF(AND(LEN($B142)=11,SUMPRODUCT(--ISNUMBER(FIND(MID($B142,{1,2,3},1),"ABCDEFGHIJKLMNOPQRSTUVWXYZ")))=3,ISNUMBER(FIND(MID($B142,4,1),"UJZ")),SUMPRODUCT(--ISNUMBER(FIND(MID($B142,{5,6,7,8,9,10,11},1),"0123456789")))=7),1,0))</f>
        <v/>
      </c>
      <c r="G142">
        <f>IF($F142=1,INDEX({10,12,13,14,15,16,17,18,19,20,21,23,24,25,26,27,28,29,30,31,32,34,35,36,37,38},1,FIND(MID($B142,1,1),"ABCDEFGHIJKLMNOPQRSTUVWXYZ")),"")</f>
        <v/>
      </c>
      <c r="H142">
        <f>IF($F142=1,INDEX({10,12,13,14,15,16,17,18,19,20,21,23,24,25,26,27,28,29,30,31,32,34,35,36,37,38},1,FIND(MID($B142,2,1),"ABCDEFGHIJKLMNOPQRSTUVWXYZ")),"")</f>
        <v/>
      </c>
      <c r="I142">
        <f>IF($F142=1,INDEX({10,12,13,14,15,16,17,18,19,20,21,23,24,25,26,27,28,29,30,31,32,34,35,36,37,38},1,FIND(MID($B142,3,1),"ABCDEFGHIJKLMNOPQRSTUVWXYZ")),"")</f>
        <v/>
      </c>
      <c r="J142">
        <f>IF($F142=1,INDEX({10,12,13,14,15,16,17,18,19,20,21,23,24,25,26,27,28,29,30,31,32,34,35,36,37,38},1,FIND(MID($B142,4,1),"ABCDEFGHIJKLMNOPQRSTUVWXYZ")),"")</f>
        <v/>
      </c>
      <c r="K142">
        <f>IF($F142=1,FIND(MID($B142,5,1),"0123456789")-1,"")</f>
        <v/>
      </c>
      <c r="L142">
        <f>IF($F142=1,FIND(MID($B142,6,1),"0123456789")-1,"")</f>
        <v/>
      </c>
      <c r="M142">
        <f>IF($F142=1,FIND(MID($B142,7,1),"0123456789")-1,"")</f>
        <v/>
      </c>
      <c r="N142">
        <f>IF($F142=1,FIND(MID($B142,8,1),"0123456789")-1,"")</f>
        <v/>
      </c>
      <c r="O142">
        <f>IF($F142=1,FIND(MID($B142,9,1),"0123456789")-1,"")</f>
        <v/>
      </c>
      <c r="P142">
        <f>IF($F142=1,FIND(MID($B142,10,1),"0123456789")-1,"")</f>
        <v/>
      </c>
      <c r="Q142">
        <f>IF($F142=1,SUMPRODUCT($G142:$P142,{1,2,4,8,16,32,64,128,256,512}),"")</f>
        <v/>
      </c>
      <c r="R142">
        <f>IF($F142=1,MOD(MOD($Q142,11),10),"")</f>
        <v/>
      </c>
    </row>
    <row r="143">
      <c r="A143" s="6" t="n"/>
      <c r="B143" s="7">
        <f>IF($A143="","",UPPER(SUBSTITUTE(SUBSTITUTE(SUBSTITUTE(SUBSTITUTE(SUBSTITUTE(SUBSTITUTE($A143," ",""),"-",""),".",""),"/",""),"i","I"),"ı","?")))</f>
        <v/>
      </c>
      <c r="C143" s="8">
        <f>IF($F143=1,$R143,"")</f>
        <v/>
      </c>
      <c r="D143" s="7">
        <f>IF($A143="","",IF($F143=0,"Biçim hatalı",IF(FIND(MID($B143,11,1),"0123456789")-1=$R143,"Geçerli","Kontrol hanesi hatalı (doğrusu: "&amp;$R143&amp;")")))</f>
        <v/>
      </c>
      <c r="F143">
        <f>IF($A143="","",IF(AND(LEN($B143)=11,SUMPRODUCT(--ISNUMBER(FIND(MID($B143,{1,2,3},1),"ABCDEFGHIJKLMNOPQRSTUVWXYZ")))=3,ISNUMBER(FIND(MID($B143,4,1),"UJZ")),SUMPRODUCT(--ISNUMBER(FIND(MID($B143,{5,6,7,8,9,10,11},1),"0123456789")))=7),1,0))</f>
        <v/>
      </c>
      <c r="G143">
        <f>IF($F143=1,INDEX({10,12,13,14,15,16,17,18,19,20,21,23,24,25,26,27,28,29,30,31,32,34,35,36,37,38},1,FIND(MID($B143,1,1),"ABCDEFGHIJKLMNOPQRSTUVWXYZ")),"")</f>
        <v/>
      </c>
      <c r="H143">
        <f>IF($F143=1,INDEX({10,12,13,14,15,16,17,18,19,20,21,23,24,25,26,27,28,29,30,31,32,34,35,36,37,38},1,FIND(MID($B143,2,1),"ABCDEFGHIJKLMNOPQRSTUVWXYZ")),"")</f>
        <v/>
      </c>
      <c r="I143">
        <f>IF($F143=1,INDEX({10,12,13,14,15,16,17,18,19,20,21,23,24,25,26,27,28,29,30,31,32,34,35,36,37,38},1,FIND(MID($B143,3,1),"ABCDEFGHIJKLMNOPQRSTUVWXYZ")),"")</f>
        <v/>
      </c>
      <c r="J143">
        <f>IF($F143=1,INDEX({10,12,13,14,15,16,17,18,19,20,21,23,24,25,26,27,28,29,30,31,32,34,35,36,37,38},1,FIND(MID($B143,4,1),"ABCDEFGHIJKLMNOPQRSTUVWXYZ")),"")</f>
        <v/>
      </c>
      <c r="K143">
        <f>IF($F143=1,FIND(MID($B143,5,1),"0123456789")-1,"")</f>
        <v/>
      </c>
      <c r="L143">
        <f>IF($F143=1,FIND(MID($B143,6,1),"0123456789")-1,"")</f>
        <v/>
      </c>
      <c r="M143">
        <f>IF($F143=1,FIND(MID($B143,7,1),"0123456789")-1,"")</f>
        <v/>
      </c>
      <c r="N143">
        <f>IF($F143=1,FIND(MID($B143,8,1),"0123456789")-1,"")</f>
        <v/>
      </c>
      <c r="O143">
        <f>IF($F143=1,FIND(MID($B143,9,1),"0123456789")-1,"")</f>
        <v/>
      </c>
      <c r="P143">
        <f>IF($F143=1,FIND(MID($B143,10,1),"0123456789")-1,"")</f>
        <v/>
      </c>
      <c r="Q143">
        <f>IF($F143=1,SUMPRODUCT($G143:$P143,{1,2,4,8,16,32,64,128,256,512}),"")</f>
        <v/>
      </c>
      <c r="R143">
        <f>IF($F143=1,MOD(MOD($Q143,11),10),"")</f>
        <v/>
      </c>
    </row>
    <row r="144">
      <c r="A144" s="6" t="n"/>
      <c r="B144" s="7">
        <f>IF($A144="","",UPPER(SUBSTITUTE(SUBSTITUTE(SUBSTITUTE(SUBSTITUTE(SUBSTITUTE(SUBSTITUTE($A144," ",""),"-",""),".",""),"/",""),"i","I"),"ı","?")))</f>
        <v/>
      </c>
      <c r="C144" s="8">
        <f>IF($F144=1,$R144,"")</f>
        <v/>
      </c>
      <c r="D144" s="7">
        <f>IF($A144="","",IF($F144=0,"Biçim hatalı",IF(FIND(MID($B144,11,1),"0123456789")-1=$R144,"Geçerli","Kontrol hanesi hatalı (doğrusu: "&amp;$R144&amp;")")))</f>
        <v/>
      </c>
      <c r="F144">
        <f>IF($A144="","",IF(AND(LEN($B144)=11,SUMPRODUCT(--ISNUMBER(FIND(MID($B144,{1,2,3},1),"ABCDEFGHIJKLMNOPQRSTUVWXYZ")))=3,ISNUMBER(FIND(MID($B144,4,1),"UJZ")),SUMPRODUCT(--ISNUMBER(FIND(MID($B144,{5,6,7,8,9,10,11},1),"0123456789")))=7),1,0))</f>
        <v/>
      </c>
      <c r="G144">
        <f>IF($F144=1,INDEX({10,12,13,14,15,16,17,18,19,20,21,23,24,25,26,27,28,29,30,31,32,34,35,36,37,38},1,FIND(MID($B144,1,1),"ABCDEFGHIJKLMNOPQRSTUVWXYZ")),"")</f>
        <v/>
      </c>
      <c r="H144">
        <f>IF($F144=1,INDEX({10,12,13,14,15,16,17,18,19,20,21,23,24,25,26,27,28,29,30,31,32,34,35,36,37,38},1,FIND(MID($B144,2,1),"ABCDEFGHIJKLMNOPQRSTUVWXYZ")),"")</f>
        <v/>
      </c>
      <c r="I144">
        <f>IF($F144=1,INDEX({10,12,13,14,15,16,17,18,19,20,21,23,24,25,26,27,28,29,30,31,32,34,35,36,37,38},1,FIND(MID($B144,3,1),"ABCDEFGHIJKLMNOPQRSTUVWXYZ")),"")</f>
        <v/>
      </c>
      <c r="J144">
        <f>IF($F144=1,INDEX({10,12,13,14,15,16,17,18,19,20,21,23,24,25,26,27,28,29,30,31,32,34,35,36,37,38},1,FIND(MID($B144,4,1),"ABCDEFGHIJKLMNOPQRSTUVWXYZ")),"")</f>
        <v/>
      </c>
      <c r="K144">
        <f>IF($F144=1,FIND(MID($B144,5,1),"0123456789")-1,"")</f>
        <v/>
      </c>
      <c r="L144">
        <f>IF($F144=1,FIND(MID($B144,6,1),"0123456789")-1,"")</f>
        <v/>
      </c>
      <c r="M144">
        <f>IF($F144=1,FIND(MID($B144,7,1),"0123456789")-1,"")</f>
        <v/>
      </c>
      <c r="N144">
        <f>IF($F144=1,FIND(MID($B144,8,1),"0123456789")-1,"")</f>
        <v/>
      </c>
      <c r="O144">
        <f>IF($F144=1,FIND(MID($B144,9,1),"0123456789")-1,"")</f>
        <v/>
      </c>
      <c r="P144">
        <f>IF($F144=1,FIND(MID($B144,10,1),"0123456789")-1,"")</f>
        <v/>
      </c>
      <c r="Q144">
        <f>IF($F144=1,SUMPRODUCT($G144:$P144,{1,2,4,8,16,32,64,128,256,512}),"")</f>
        <v/>
      </c>
      <c r="R144">
        <f>IF($F144=1,MOD(MOD($Q144,11),10),"")</f>
        <v/>
      </c>
    </row>
    <row r="145">
      <c r="A145" s="6" t="n"/>
      <c r="B145" s="7">
        <f>IF($A145="","",UPPER(SUBSTITUTE(SUBSTITUTE(SUBSTITUTE(SUBSTITUTE(SUBSTITUTE(SUBSTITUTE($A145," ",""),"-",""),".",""),"/",""),"i","I"),"ı","?")))</f>
        <v/>
      </c>
      <c r="C145" s="8">
        <f>IF($F145=1,$R145,"")</f>
        <v/>
      </c>
      <c r="D145" s="7">
        <f>IF($A145="","",IF($F145=0,"Biçim hatalı",IF(FIND(MID($B145,11,1),"0123456789")-1=$R145,"Geçerli","Kontrol hanesi hatalı (doğrusu: "&amp;$R145&amp;")")))</f>
        <v/>
      </c>
      <c r="F145">
        <f>IF($A145="","",IF(AND(LEN($B145)=11,SUMPRODUCT(--ISNUMBER(FIND(MID($B145,{1,2,3},1),"ABCDEFGHIJKLMNOPQRSTUVWXYZ")))=3,ISNUMBER(FIND(MID($B145,4,1),"UJZ")),SUMPRODUCT(--ISNUMBER(FIND(MID($B145,{5,6,7,8,9,10,11},1),"0123456789")))=7),1,0))</f>
        <v/>
      </c>
      <c r="G145">
        <f>IF($F145=1,INDEX({10,12,13,14,15,16,17,18,19,20,21,23,24,25,26,27,28,29,30,31,32,34,35,36,37,38},1,FIND(MID($B145,1,1),"ABCDEFGHIJKLMNOPQRSTUVWXYZ")),"")</f>
        <v/>
      </c>
      <c r="H145">
        <f>IF($F145=1,INDEX({10,12,13,14,15,16,17,18,19,20,21,23,24,25,26,27,28,29,30,31,32,34,35,36,37,38},1,FIND(MID($B145,2,1),"ABCDEFGHIJKLMNOPQRSTUVWXYZ")),"")</f>
        <v/>
      </c>
      <c r="I145">
        <f>IF($F145=1,INDEX({10,12,13,14,15,16,17,18,19,20,21,23,24,25,26,27,28,29,30,31,32,34,35,36,37,38},1,FIND(MID($B145,3,1),"ABCDEFGHIJKLMNOPQRSTUVWXYZ")),"")</f>
        <v/>
      </c>
      <c r="J145">
        <f>IF($F145=1,INDEX({10,12,13,14,15,16,17,18,19,20,21,23,24,25,26,27,28,29,30,31,32,34,35,36,37,38},1,FIND(MID($B145,4,1),"ABCDEFGHIJKLMNOPQRSTUVWXYZ")),"")</f>
        <v/>
      </c>
      <c r="K145">
        <f>IF($F145=1,FIND(MID($B145,5,1),"0123456789")-1,"")</f>
        <v/>
      </c>
      <c r="L145">
        <f>IF($F145=1,FIND(MID($B145,6,1),"0123456789")-1,"")</f>
        <v/>
      </c>
      <c r="M145">
        <f>IF($F145=1,FIND(MID($B145,7,1),"0123456789")-1,"")</f>
        <v/>
      </c>
      <c r="N145">
        <f>IF($F145=1,FIND(MID($B145,8,1),"0123456789")-1,"")</f>
        <v/>
      </c>
      <c r="O145">
        <f>IF($F145=1,FIND(MID($B145,9,1),"0123456789")-1,"")</f>
        <v/>
      </c>
      <c r="P145">
        <f>IF($F145=1,FIND(MID($B145,10,1),"0123456789")-1,"")</f>
        <v/>
      </c>
      <c r="Q145">
        <f>IF($F145=1,SUMPRODUCT($G145:$P145,{1,2,4,8,16,32,64,128,256,512}),"")</f>
        <v/>
      </c>
      <c r="R145">
        <f>IF($F145=1,MOD(MOD($Q145,11),10),"")</f>
        <v/>
      </c>
    </row>
    <row r="146">
      <c r="A146" s="6" t="n"/>
      <c r="B146" s="7">
        <f>IF($A146="","",UPPER(SUBSTITUTE(SUBSTITUTE(SUBSTITUTE(SUBSTITUTE(SUBSTITUTE(SUBSTITUTE($A146," ",""),"-",""),".",""),"/",""),"i","I"),"ı","?")))</f>
        <v/>
      </c>
      <c r="C146" s="8">
        <f>IF($F146=1,$R146,"")</f>
        <v/>
      </c>
      <c r="D146" s="7">
        <f>IF($A146="","",IF($F146=0,"Biçim hatalı",IF(FIND(MID($B146,11,1),"0123456789")-1=$R146,"Geçerli","Kontrol hanesi hatalı (doğrusu: "&amp;$R146&amp;")")))</f>
        <v/>
      </c>
      <c r="F146">
        <f>IF($A146="","",IF(AND(LEN($B146)=11,SUMPRODUCT(--ISNUMBER(FIND(MID($B146,{1,2,3},1),"ABCDEFGHIJKLMNOPQRSTUVWXYZ")))=3,ISNUMBER(FIND(MID($B146,4,1),"UJZ")),SUMPRODUCT(--ISNUMBER(FIND(MID($B146,{5,6,7,8,9,10,11},1),"0123456789")))=7),1,0))</f>
        <v/>
      </c>
      <c r="G146">
        <f>IF($F146=1,INDEX({10,12,13,14,15,16,17,18,19,20,21,23,24,25,26,27,28,29,30,31,32,34,35,36,37,38},1,FIND(MID($B146,1,1),"ABCDEFGHIJKLMNOPQRSTUVWXYZ")),"")</f>
        <v/>
      </c>
      <c r="H146">
        <f>IF($F146=1,INDEX({10,12,13,14,15,16,17,18,19,20,21,23,24,25,26,27,28,29,30,31,32,34,35,36,37,38},1,FIND(MID($B146,2,1),"ABCDEFGHIJKLMNOPQRSTUVWXYZ")),"")</f>
        <v/>
      </c>
      <c r="I146">
        <f>IF($F146=1,INDEX({10,12,13,14,15,16,17,18,19,20,21,23,24,25,26,27,28,29,30,31,32,34,35,36,37,38},1,FIND(MID($B146,3,1),"ABCDEFGHIJKLMNOPQRSTUVWXYZ")),"")</f>
        <v/>
      </c>
      <c r="J146">
        <f>IF($F146=1,INDEX({10,12,13,14,15,16,17,18,19,20,21,23,24,25,26,27,28,29,30,31,32,34,35,36,37,38},1,FIND(MID($B146,4,1),"ABCDEFGHIJKLMNOPQRSTUVWXYZ")),"")</f>
        <v/>
      </c>
      <c r="K146">
        <f>IF($F146=1,FIND(MID($B146,5,1),"0123456789")-1,"")</f>
        <v/>
      </c>
      <c r="L146">
        <f>IF($F146=1,FIND(MID($B146,6,1),"0123456789")-1,"")</f>
        <v/>
      </c>
      <c r="M146">
        <f>IF($F146=1,FIND(MID($B146,7,1),"0123456789")-1,"")</f>
        <v/>
      </c>
      <c r="N146">
        <f>IF($F146=1,FIND(MID($B146,8,1),"0123456789")-1,"")</f>
        <v/>
      </c>
      <c r="O146">
        <f>IF($F146=1,FIND(MID($B146,9,1),"0123456789")-1,"")</f>
        <v/>
      </c>
      <c r="P146">
        <f>IF($F146=1,FIND(MID($B146,10,1),"0123456789")-1,"")</f>
        <v/>
      </c>
      <c r="Q146">
        <f>IF($F146=1,SUMPRODUCT($G146:$P146,{1,2,4,8,16,32,64,128,256,512}),"")</f>
        <v/>
      </c>
      <c r="R146">
        <f>IF($F146=1,MOD(MOD($Q146,11),10),"")</f>
        <v/>
      </c>
    </row>
    <row r="147">
      <c r="A147" s="6" t="n"/>
      <c r="B147" s="7">
        <f>IF($A147="","",UPPER(SUBSTITUTE(SUBSTITUTE(SUBSTITUTE(SUBSTITUTE(SUBSTITUTE(SUBSTITUTE($A147," ",""),"-",""),".",""),"/",""),"i","I"),"ı","?")))</f>
        <v/>
      </c>
      <c r="C147" s="8">
        <f>IF($F147=1,$R147,"")</f>
        <v/>
      </c>
      <c r="D147" s="7">
        <f>IF($A147="","",IF($F147=0,"Biçim hatalı",IF(FIND(MID($B147,11,1),"0123456789")-1=$R147,"Geçerli","Kontrol hanesi hatalı (doğrusu: "&amp;$R147&amp;")")))</f>
        <v/>
      </c>
      <c r="F147">
        <f>IF($A147="","",IF(AND(LEN($B147)=11,SUMPRODUCT(--ISNUMBER(FIND(MID($B147,{1,2,3},1),"ABCDEFGHIJKLMNOPQRSTUVWXYZ")))=3,ISNUMBER(FIND(MID($B147,4,1),"UJZ")),SUMPRODUCT(--ISNUMBER(FIND(MID($B147,{5,6,7,8,9,10,11},1),"0123456789")))=7),1,0))</f>
        <v/>
      </c>
      <c r="G147">
        <f>IF($F147=1,INDEX({10,12,13,14,15,16,17,18,19,20,21,23,24,25,26,27,28,29,30,31,32,34,35,36,37,38},1,FIND(MID($B147,1,1),"ABCDEFGHIJKLMNOPQRSTUVWXYZ")),"")</f>
        <v/>
      </c>
      <c r="H147">
        <f>IF($F147=1,INDEX({10,12,13,14,15,16,17,18,19,20,21,23,24,25,26,27,28,29,30,31,32,34,35,36,37,38},1,FIND(MID($B147,2,1),"ABCDEFGHIJKLMNOPQRSTUVWXYZ")),"")</f>
        <v/>
      </c>
      <c r="I147">
        <f>IF($F147=1,INDEX({10,12,13,14,15,16,17,18,19,20,21,23,24,25,26,27,28,29,30,31,32,34,35,36,37,38},1,FIND(MID($B147,3,1),"ABCDEFGHIJKLMNOPQRSTUVWXYZ")),"")</f>
        <v/>
      </c>
      <c r="J147">
        <f>IF($F147=1,INDEX({10,12,13,14,15,16,17,18,19,20,21,23,24,25,26,27,28,29,30,31,32,34,35,36,37,38},1,FIND(MID($B147,4,1),"ABCDEFGHIJKLMNOPQRSTUVWXYZ")),"")</f>
        <v/>
      </c>
      <c r="K147">
        <f>IF($F147=1,FIND(MID($B147,5,1),"0123456789")-1,"")</f>
        <v/>
      </c>
      <c r="L147">
        <f>IF($F147=1,FIND(MID($B147,6,1),"0123456789")-1,"")</f>
        <v/>
      </c>
      <c r="M147">
        <f>IF($F147=1,FIND(MID($B147,7,1),"0123456789")-1,"")</f>
        <v/>
      </c>
      <c r="N147">
        <f>IF($F147=1,FIND(MID($B147,8,1),"0123456789")-1,"")</f>
        <v/>
      </c>
      <c r="O147">
        <f>IF($F147=1,FIND(MID($B147,9,1),"0123456789")-1,"")</f>
        <v/>
      </c>
      <c r="P147">
        <f>IF($F147=1,FIND(MID($B147,10,1),"0123456789")-1,"")</f>
        <v/>
      </c>
      <c r="Q147">
        <f>IF($F147=1,SUMPRODUCT($G147:$P147,{1,2,4,8,16,32,64,128,256,512}),"")</f>
        <v/>
      </c>
      <c r="R147">
        <f>IF($F147=1,MOD(MOD($Q147,11),10),"")</f>
        <v/>
      </c>
    </row>
    <row r="148">
      <c r="A148" s="6" t="n"/>
      <c r="B148" s="7">
        <f>IF($A148="","",UPPER(SUBSTITUTE(SUBSTITUTE(SUBSTITUTE(SUBSTITUTE(SUBSTITUTE(SUBSTITUTE($A148," ",""),"-",""),".",""),"/",""),"i","I"),"ı","?")))</f>
        <v/>
      </c>
      <c r="C148" s="8">
        <f>IF($F148=1,$R148,"")</f>
        <v/>
      </c>
      <c r="D148" s="7">
        <f>IF($A148="","",IF($F148=0,"Biçim hatalı",IF(FIND(MID($B148,11,1),"0123456789")-1=$R148,"Geçerli","Kontrol hanesi hatalı (doğrusu: "&amp;$R148&amp;")")))</f>
        <v/>
      </c>
      <c r="F148">
        <f>IF($A148="","",IF(AND(LEN($B148)=11,SUMPRODUCT(--ISNUMBER(FIND(MID($B148,{1,2,3},1),"ABCDEFGHIJKLMNOPQRSTUVWXYZ")))=3,ISNUMBER(FIND(MID($B148,4,1),"UJZ")),SUMPRODUCT(--ISNUMBER(FIND(MID($B148,{5,6,7,8,9,10,11},1),"0123456789")))=7),1,0))</f>
        <v/>
      </c>
      <c r="G148">
        <f>IF($F148=1,INDEX({10,12,13,14,15,16,17,18,19,20,21,23,24,25,26,27,28,29,30,31,32,34,35,36,37,38},1,FIND(MID($B148,1,1),"ABCDEFGHIJKLMNOPQRSTUVWXYZ")),"")</f>
        <v/>
      </c>
      <c r="H148">
        <f>IF($F148=1,INDEX({10,12,13,14,15,16,17,18,19,20,21,23,24,25,26,27,28,29,30,31,32,34,35,36,37,38},1,FIND(MID($B148,2,1),"ABCDEFGHIJKLMNOPQRSTUVWXYZ")),"")</f>
        <v/>
      </c>
      <c r="I148">
        <f>IF($F148=1,INDEX({10,12,13,14,15,16,17,18,19,20,21,23,24,25,26,27,28,29,30,31,32,34,35,36,37,38},1,FIND(MID($B148,3,1),"ABCDEFGHIJKLMNOPQRSTUVWXYZ")),"")</f>
        <v/>
      </c>
      <c r="J148">
        <f>IF($F148=1,INDEX({10,12,13,14,15,16,17,18,19,20,21,23,24,25,26,27,28,29,30,31,32,34,35,36,37,38},1,FIND(MID($B148,4,1),"ABCDEFGHIJKLMNOPQRSTUVWXYZ")),"")</f>
        <v/>
      </c>
      <c r="K148">
        <f>IF($F148=1,FIND(MID($B148,5,1),"0123456789")-1,"")</f>
        <v/>
      </c>
      <c r="L148">
        <f>IF($F148=1,FIND(MID($B148,6,1),"0123456789")-1,"")</f>
        <v/>
      </c>
      <c r="M148">
        <f>IF($F148=1,FIND(MID($B148,7,1),"0123456789")-1,"")</f>
        <v/>
      </c>
      <c r="N148">
        <f>IF($F148=1,FIND(MID($B148,8,1),"0123456789")-1,"")</f>
        <v/>
      </c>
      <c r="O148">
        <f>IF($F148=1,FIND(MID($B148,9,1),"0123456789")-1,"")</f>
        <v/>
      </c>
      <c r="P148">
        <f>IF($F148=1,FIND(MID($B148,10,1),"0123456789")-1,"")</f>
        <v/>
      </c>
      <c r="Q148">
        <f>IF($F148=1,SUMPRODUCT($G148:$P148,{1,2,4,8,16,32,64,128,256,512}),"")</f>
        <v/>
      </c>
      <c r="R148">
        <f>IF($F148=1,MOD(MOD($Q148,11),10),"")</f>
        <v/>
      </c>
    </row>
    <row r="149">
      <c r="A149" s="6" t="n"/>
      <c r="B149" s="7">
        <f>IF($A149="","",UPPER(SUBSTITUTE(SUBSTITUTE(SUBSTITUTE(SUBSTITUTE(SUBSTITUTE(SUBSTITUTE($A149," ",""),"-",""),".",""),"/",""),"i","I"),"ı","?")))</f>
        <v/>
      </c>
      <c r="C149" s="8">
        <f>IF($F149=1,$R149,"")</f>
        <v/>
      </c>
      <c r="D149" s="7">
        <f>IF($A149="","",IF($F149=0,"Biçim hatalı",IF(FIND(MID($B149,11,1),"0123456789")-1=$R149,"Geçerli","Kontrol hanesi hatalı (doğrusu: "&amp;$R149&amp;")")))</f>
        <v/>
      </c>
      <c r="F149">
        <f>IF($A149="","",IF(AND(LEN($B149)=11,SUMPRODUCT(--ISNUMBER(FIND(MID($B149,{1,2,3},1),"ABCDEFGHIJKLMNOPQRSTUVWXYZ")))=3,ISNUMBER(FIND(MID($B149,4,1),"UJZ")),SUMPRODUCT(--ISNUMBER(FIND(MID($B149,{5,6,7,8,9,10,11},1),"0123456789")))=7),1,0))</f>
        <v/>
      </c>
      <c r="G149">
        <f>IF($F149=1,INDEX({10,12,13,14,15,16,17,18,19,20,21,23,24,25,26,27,28,29,30,31,32,34,35,36,37,38},1,FIND(MID($B149,1,1),"ABCDEFGHIJKLMNOPQRSTUVWXYZ")),"")</f>
        <v/>
      </c>
      <c r="H149">
        <f>IF($F149=1,INDEX({10,12,13,14,15,16,17,18,19,20,21,23,24,25,26,27,28,29,30,31,32,34,35,36,37,38},1,FIND(MID($B149,2,1),"ABCDEFGHIJKLMNOPQRSTUVWXYZ")),"")</f>
        <v/>
      </c>
      <c r="I149">
        <f>IF($F149=1,INDEX({10,12,13,14,15,16,17,18,19,20,21,23,24,25,26,27,28,29,30,31,32,34,35,36,37,38},1,FIND(MID($B149,3,1),"ABCDEFGHIJKLMNOPQRSTUVWXYZ")),"")</f>
        <v/>
      </c>
      <c r="J149">
        <f>IF($F149=1,INDEX({10,12,13,14,15,16,17,18,19,20,21,23,24,25,26,27,28,29,30,31,32,34,35,36,37,38},1,FIND(MID($B149,4,1),"ABCDEFGHIJKLMNOPQRSTUVWXYZ")),"")</f>
        <v/>
      </c>
      <c r="K149">
        <f>IF($F149=1,FIND(MID($B149,5,1),"0123456789")-1,"")</f>
        <v/>
      </c>
      <c r="L149">
        <f>IF($F149=1,FIND(MID($B149,6,1),"0123456789")-1,"")</f>
        <v/>
      </c>
      <c r="M149">
        <f>IF($F149=1,FIND(MID($B149,7,1),"0123456789")-1,"")</f>
        <v/>
      </c>
      <c r="N149">
        <f>IF($F149=1,FIND(MID($B149,8,1),"0123456789")-1,"")</f>
        <v/>
      </c>
      <c r="O149">
        <f>IF($F149=1,FIND(MID($B149,9,1),"0123456789")-1,"")</f>
        <v/>
      </c>
      <c r="P149">
        <f>IF($F149=1,FIND(MID($B149,10,1),"0123456789")-1,"")</f>
        <v/>
      </c>
      <c r="Q149">
        <f>IF($F149=1,SUMPRODUCT($G149:$P149,{1,2,4,8,16,32,64,128,256,512}),"")</f>
        <v/>
      </c>
      <c r="R149">
        <f>IF($F149=1,MOD(MOD($Q149,11),10),"")</f>
        <v/>
      </c>
    </row>
    <row r="150">
      <c r="A150" s="6" t="n"/>
      <c r="B150" s="7">
        <f>IF($A150="","",UPPER(SUBSTITUTE(SUBSTITUTE(SUBSTITUTE(SUBSTITUTE(SUBSTITUTE(SUBSTITUTE($A150," ",""),"-",""),".",""),"/",""),"i","I"),"ı","?")))</f>
        <v/>
      </c>
      <c r="C150" s="8">
        <f>IF($F150=1,$R150,"")</f>
        <v/>
      </c>
      <c r="D150" s="7">
        <f>IF($A150="","",IF($F150=0,"Biçim hatalı",IF(FIND(MID($B150,11,1),"0123456789")-1=$R150,"Geçerli","Kontrol hanesi hatalı (doğrusu: "&amp;$R150&amp;")")))</f>
        <v/>
      </c>
      <c r="F150">
        <f>IF($A150="","",IF(AND(LEN($B150)=11,SUMPRODUCT(--ISNUMBER(FIND(MID($B150,{1,2,3},1),"ABCDEFGHIJKLMNOPQRSTUVWXYZ")))=3,ISNUMBER(FIND(MID($B150,4,1),"UJZ")),SUMPRODUCT(--ISNUMBER(FIND(MID($B150,{5,6,7,8,9,10,11},1),"0123456789")))=7),1,0))</f>
        <v/>
      </c>
      <c r="G150">
        <f>IF($F150=1,INDEX({10,12,13,14,15,16,17,18,19,20,21,23,24,25,26,27,28,29,30,31,32,34,35,36,37,38},1,FIND(MID($B150,1,1),"ABCDEFGHIJKLMNOPQRSTUVWXYZ")),"")</f>
        <v/>
      </c>
      <c r="H150">
        <f>IF($F150=1,INDEX({10,12,13,14,15,16,17,18,19,20,21,23,24,25,26,27,28,29,30,31,32,34,35,36,37,38},1,FIND(MID($B150,2,1),"ABCDEFGHIJKLMNOPQRSTUVWXYZ")),"")</f>
        <v/>
      </c>
      <c r="I150">
        <f>IF($F150=1,INDEX({10,12,13,14,15,16,17,18,19,20,21,23,24,25,26,27,28,29,30,31,32,34,35,36,37,38},1,FIND(MID($B150,3,1),"ABCDEFGHIJKLMNOPQRSTUVWXYZ")),"")</f>
        <v/>
      </c>
      <c r="J150">
        <f>IF($F150=1,INDEX({10,12,13,14,15,16,17,18,19,20,21,23,24,25,26,27,28,29,30,31,32,34,35,36,37,38},1,FIND(MID($B150,4,1),"ABCDEFGHIJKLMNOPQRSTUVWXYZ")),"")</f>
        <v/>
      </c>
      <c r="K150">
        <f>IF($F150=1,FIND(MID($B150,5,1),"0123456789")-1,"")</f>
        <v/>
      </c>
      <c r="L150">
        <f>IF($F150=1,FIND(MID($B150,6,1),"0123456789")-1,"")</f>
        <v/>
      </c>
      <c r="M150">
        <f>IF($F150=1,FIND(MID($B150,7,1),"0123456789")-1,"")</f>
        <v/>
      </c>
      <c r="N150">
        <f>IF($F150=1,FIND(MID($B150,8,1),"0123456789")-1,"")</f>
        <v/>
      </c>
      <c r="O150">
        <f>IF($F150=1,FIND(MID($B150,9,1),"0123456789")-1,"")</f>
        <v/>
      </c>
      <c r="P150">
        <f>IF($F150=1,FIND(MID($B150,10,1),"0123456789")-1,"")</f>
        <v/>
      </c>
      <c r="Q150">
        <f>IF($F150=1,SUMPRODUCT($G150:$P150,{1,2,4,8,16,32,64,128,256,512}),"")</f>
        <v/>
      </c>
      <c r="R150">
        <f>IF($F150=1,MOD(MOD($Q150,11),10),"")</f>
        <v/>
      </c>
    </row>
    <row r="151">
      <c r="A151" s="6" t="n"/>
      <c r="B151" s="7">
        <f>IF($A151="","",UPPER(SUBSTITUTE(SUBSTITUTE(SUBSTITUTE(SUBSTITUTE(SUBSTITUTE(SUBSTITUTE($A151," ",""),"-",""),".",""),"/",""),"i","I"),"ı","?")))</f>
        <v/>
      </c>
      <c r="C151" s="8">
        <f>IF($F151=1,$R151,"")</f>
        <v/>
      </c>
      <c r="D151" s="7">
        <f>IF($A151="","",IF($F151=0,"Biçim hatalı",IF(FIND(MID($B151,11,1),"0123456789")-1=$R151,"Geçerli","Kontrol hanesi hatalı (doğrusu: "&amp;$R151&amp;")")))</f>
        <v/>
      </c>
      <c r="F151">
        <f>IF($A151="","",IF(AND(LEN($B151)=11,SUMPRODUCT(--ISNUMBER(FIND(MID($B151,{1,2,3},1),"ABCDEFGHIJKLMNOPQRSTUVWXYZ")))=3,ISNUMBER(FIND(MID($B151,4,1),"UJZ")),SUMPRODUCT(--ISNUMBER(FIND(MID($B151,{5,6,7,8,9,10,11},1),"0123456789")))=7),1,0))</f>
        <v/>
      </c>
      <c r="G151">
        <f>IF($F151=1,INDEX({10,12,13,14,15,16,17,18,19,20,21,23,24,25,26,27,28,29,30,31,32,34,35,36,37,38},1,FIND(MID($B151,1,1),"ABCDEFGHIJKLMNOPQRSTUVWXYZ")),"")</f>
        <v/>
      </c>
      <c r="H151">
        <f>IF($F151=1,INDEX({10,12,13,14,15,16,17,18,19,20,21,23,24,25,26,27,28,29,30,31,32,34,35,36,37,38},1,FIND(MID($B151,2,1),"ABCDEFGHIJKLMNOPQRSTUVWXYZ")),"")</f>
        <v/>
      </c>
      <c r="I151">
        <f>IF($F151=1,INDEX({10,12,13,14,15,16,17,18,19,20,21,23,24,25,26,27,28,29,30,31,32,34,35,36,37,38},1,FIND(MID($B151,3,1),"ABCDEFGHIJKLMNOPQRSTUVWXYZ")),"")</f>
        <v/>
      </c>
      <c r="J151">
        <f>IF($F151=1,INDEX({10,12,13,14,15,16,17,18,19,20,21,23,24,25,26,27,28,29,30,31,32,34,35,36,37,38},1,FIND(MID($B151,4,1),"ABCDEFGHIJKLMNOPQRSTUVWXYZ")),"")</f>
        <v/>
      </c>
      <c r="K151">
        <f>IF($F151=1,FIND(MID($B151,5,1),"0123456789")-1,"")</f>
        <v/>
      </c>
      <c r="L151">
        <f>IF($F151=1,FIND(MID($B151,6,1),"0123456789")-1,"")</f>
        <v/>
      </c>
      <c r="M151">
        <f>IF($F151=1,FIND(MID($B151,7,1),"0123456789")-1,"")</f>
        <v/>
      </c>
      <c r="N151">
        <f>IF($F151=1,FIND(MID($B151,8,1),"0123456789")-1,"")</f>
        <v/>
      </c>
      <c r="O151">
        <f>IF($F151=1,FIND(MID($B151,9,1),"0123456789")-1,"")</f>
        <v/>
      </c>
      <c r="P151">
        <f>IF($F151=1,FIND(MID($B151,10,1),"0123456789")-1,"")</f>
        <v/>
      </c>
      <c r="Q151">
        <f>IF($F151=1,SUMPRODUCT($G151:$P151,{1,2,4,8,16,32,64,128,256,512}),"")</f>
        <v/>
      </c>
      <c r="R151">
        <f>IF($F151=1,MOD(MOD($Q151,11),10),"")</f>
        <v/>
      </c>
    </row>
    <row r="152">
      <c r="A152" s="6" t="n"/>
      <c r="B152" s="7">
        <f>IF($A152="","",UPPER(SUBSTITUTE(SUBSTITUTE(SUBSTITUTE(SUBSTITUTE(SUBSTITUTE(SUBSTITUTE($A152," ",""),"-",""),".",""),"/",""),"i","I"),"ı","?")))</f>
        <v/>
      </c>
      <c r="C152" s="8">
        <f>IF($F152=1,$R152,"")</f>
        <v/>
      </c>
      <c r="D152" s="7">
        <f>IF($A152="","",IF($F152=0,"Biçim hatalı",IF(FIND(MID($B152,11,1),"0123456789")-1=$R152,"Geçerli","Kontrol hanesi hatalı (doğrusu: "&amp;$R152&amp;")")))</f>
        <v/>
      </c>
      <c r="F152">
        <f>IF($A152="","",IF(AND(LEN($B152)=11,SUMPRODUCT(--ISNUMBER(FIND(MID($B152,{1,2,3},1),"ABCDEFGHIJKLMNOPQRSTUVWXYZ")))=3,ISNUMBER(FIND(MID($B152,4,1),"UJZ")),SUMPRODUCT(--ISNUMBER(FIND(MID($B152,{5,6,7,8,9,10,11},1),"0123456789")))=7),1,0))</f>
        <v/>
      </c>
      <c r="G152">
        <f>IF($F152=1,INDEX({10,12,13,14,15,16,17,18,19,20,21,23,24,25,26,27,28,29,30,31,32,34,35,36,37,38},1,FIND(MID($B152,1,1),"ABCDEFGHIJKLMNOPQRSTUVWXYZ")),"")</f>
        <v/>
      </c>
      <c r="H152">
        <f>IF($F152=1,INDEX({10,12,13,14,15,16,17,18,19,20,21,23,24,25,26,27,28,29,30,31,32,34,35,36,37,38},1,FIND(MID($B152,2,1),"ABCDEFGHIJKLMNOPQRSTUVWXYZ")),"")</f>
        <v/>
      </c>
      <c r="I152">
        <f>IF($F152=1,INDEX({10,12,13,14,15,16,17,18,19,20,21,23,24,25,26,27,28,29,30,31,32,34,35,36,37,38},1,FIND(MID($B152,3,1),"ABCDEFGHIJKLMNOPQRSTUVWXYZ")),"")</f>
        <v/>
      </c>
      <c r="J152">
        <f>IF($F152=1,INDEX({10,12,13,14,15,16,17,18,19,20,21,23,24,25,26,27,28,29,30,31,32,34,35,36,37,38},1,FIND(MID($B152,4,1),"ABCDEFGHIJKLMNOPQRSTUVWXYZ")),"")</f>
        <v/>
      </c>
      <c r="K152">
        <f>IF($F152=1,FIND(MID($B152,5,1),"0123456789")-1,"")</f>
        <v/>
      </c>
      <c r="L152">
        <f>IF($F152=1,FIND(MID($B152,6,1),"0123456789")-1,"")</f>
        <v/>
      </c>
      <c r="M152">
        <f>IF($F152=1,FIND(MID($B152,7,1),"0123456789")-1,"")</f>
        <v/>
      </c>
      <c r="N152">
        <f>IF($F152=1,FIND(MID($B152,8,1),"0123456789")-1,"")</f>
        <v/>
      </c>
      <c r="O152">
        <f>IF($F152=1,FIND(MID($B152,9,1),"0123456789")-1,"")</f>
        <v/>
      </c>
      <c r="P152">
        <f>IF($F152=1,FIND(MID($B152,10,1),"0123456789")-1,"")</f>
        <v/>
      </c>
      <c r="Q152">
        <f>IF($F152=1,SUMPRODUCT($G152:$P152,{1,2,4,8,16,32,64,128,256,512}),"")</f>
        <v/>
      </c>
      <c r="R152">
        <f>IF($F152=1,MOD(MOD($Q152,11),10),"")</f>
        <v/>
      </c>
    </row>
    <row r="153">
      <c r="A153" s="6" t="n"/>
      <c r="B153" s="7">
        <f>IF($A153="","",UPPER(SUBSTITUTE(SUBSTITUTE(SUBSTITUTE(SUBSTITUTE(SUBSTITUTE(SUBSTITUTE($A153," ",""),"-",""),".",""),"/",""),"i","I"),"ı","?")))</f>
        <v/>
      </c>
      <c r="C153" s="8">
        <f>IF($F153=1,$R153,"")</f>
        <v/>
      </c>
      <c r="D153" s="7">
        <f>IF($A153="","",IF($F153=0,"Biçim hatalı",IF(FIND(MID($B153,11,1),"0123456789")-1=$R153,"Geçerli","Kontrol hanesi hatalı (doğrusu: "&amp;$R153&amp;")")))</f>
        <v/>
      </c>
      <c r="F153">
        <f>IF($A153="","",IF(AND(LEN($B153)=11,SUMPRODUCT(--ISNUMBER(FIND(MID($B153,{1,2,3},1),"ABCDEFGHIJKLMNOPQRSTUVWXYZ")))=3,ISNUMBER(FIND(MID($B153,4,1),"UJZ")),SUMPRODUCT(--ISNUMBER(FIND(MID($B153,{5,6,7,8,9,10,11},1),"0123456789")))=7),1,0))</f>
        <v/>
      </c>
      <c r="G153">
        <f>IF($F153=1,INDEX({10,12,13,14,15,16,17,18,19,20,21,23,24,25,26,27,28,29,30,31,32,34,35,36,37,38},1,FIND(MID($B153,1,1),"ABCDEFGHIJKLMNOPQRSTUVWXYZ")),"")</f>
        <v/>
      </c>
      <c r="H153">
        <f>IF($F153=1,INDEX({10,12,13,14,15,16,17,18,19,20,21,23,24,25,26,27,28,29,30,31,32,34,35,36,37,38},1,FIND(MID($B153,2,1),"ABCDEFGHIJKLMNOPQRSTUVWXYZ")),"")</f>
        <v/>
      </c>
      <c r="I153">
        <f>IF($F153=1,INDEX({10,12,13,14,15,16,17,18,19,20,21,23,24,25,26,27,28,29,30,31,32,34,35,36,37,38},1,FIND(MID($B153,3,1),"ABCDEFGHIJKLMNOPQRSTUVWXYZ")),"")</f>
        <v/>
      </c>
      <c r="J153">
        <f>IF($F153=1,INDEX({10,12,13,14,15,16,17,18,19,20,21,23,24,25,26,27,28,29,30,31,32,34,35,36,37,38},1,FIND(MID($B153,4,1),"ABCDEFGHIJKLMNOPQRSTUVWXYZ")),"")</f>
        <v/>
      </c>
      <c r="K153">
        <f>IF($F153=1,FIND(MID($B153,5,1),"0123456789")-1,"")</f>
        <v/>
      </c>
      <c r="L153">
        <f>IF($F153=1,FIND(MID($B153,6,1),"0123456789")-1,"")</f>
        <v/>
      </c>
      <c r="M153">
        <f>IF($F153=1,FIND(MID($B153,7,1),"0123456789")-1,"")</f>
        <v/>
      </c>
      <c r="N153">
        <f>IF($F153=1,FIND(MID($B153,8,1),"0123456789")-1,"")</f>
        <v/>
      </c>
      <c r="O153">
        <f>IF($F153=1,FIND(MID($B153,9,1),"0123456789")-1,"")</f>
        <v/>
      </c>
      <c r="P153">
        <f>IF($F153=1,FIND(MID($B153,10,1),"0123456789")-1,"")</f>
        <v/>
      </c>
      <c r="Q153">
        <f>IF($F153=1,SUMPRODUCT($G153:$P153,{1,2,4,8,16,32,64,128,256,512}),"")</f>
        <v/>
      </c>
      <c r="R153">
        <f>IF($F153=1,MOD(MOD($Q153,11),10),"")</f>
        <v/>
      </c>
    </row>
    <row r="154">
      <c r="A154" s="6" t="n"/>
      <c r="B154" s="7">
        <f>IF($A154="","",UPPER(SUBSTITUTE(SUBSTITUTE(SUBSTITUTE(SUBSTITUTE(SUBSTITUTE(SUBSTITUTE($A154," ",""),"-",""),".",""),"/",""),"i","I"),"ı","?")))</f>
        <v/>
      </c>
      <c r="C154" s="8">
        <f>IF($F154=1,$R154,"")</f>
        <v/>
      </c>
      <c r="D154" s="7">
        <f>IF($A154="","",IF($F154=0,"Biçim hatalı",IF(FIND(MID($B154,11,1),"0123456789")-1=$R154,"Geçerli","Kontrol hanesi hatalı (doğrusu: "&amp;$R154&amp;")")))</f>
        <v/>
      </c>
      <c r="F154">
        <f>IF($A154="","",IF(AND(LEN($B154)=11,SUMPRODUCT(--ISNUMBER(FIND(MID($B154,{1,2,3},1),"ABCDEFGHIJKLMNOPQRSTUVWXYZ")))=3,ISNUMBER(FIND(MID($B154,4,1),"UJZ")),SUMPRODUCT(--ISNUMBER(FIND(MID($B154,{5,6,7,8,9,10,11},1),"0123456789")))=7),1,0))</f>
        <v/>
      </c>
      <c r="G154">
        <f>IF($F154=1,INDEX({10,12,13,14,15,16,17,18,19,20,21,23,24,25,26,27,28,29,30,31,32,34,35,36,37,38},1,FIND(MID($B154,1,1),"ABCDEFGHIJKLMNOPQRSTUVWXYZ")),"")</f>
        <v/>
      </c>
      <c r="H154">
        <f>IF($F154=1,INDEX({10,12,13,14,15,16,17,18,19,20,21,23,24,25,26,27,28,29,30,31,32,34,35,36,37,38},1,FIND(MID($B154,2,1),"ABCDEFGHIJKLMNOPQRSTUVWXYZ")),"")</f>
        <v/>
      </c>
      <c r="I154">
        <f>IF($F154=1,INDEX({10,12,13,14,15,16,17,18,19,20,21,23,24,25,26,27,28,29,30,31,32,34,35,36,37,38},1,FIND(MID($B154,3,1),"ABCDEFGHIJKLMNOPQRSTUVWXYZ")),"")</f>
        <v/>
      </c>
      <c r="J154">
        <f>IF($F154=1,INDEX({10,12,13,14,15,16,17,18,19,20,21,23,24,25,26,27,28,29,30,31,32,34,35,36,37,38},1,FIND(MID($B154,4,1),"ABCDEFGHIJKLMNOPQRSTUVWXYZ")),"")</f>
        <v/>
      </c>
      <c r="K154">
        <f>IF($F154=1,FIND(MID($B154,5,1),"0123456789")-1,"")</f>
        <v/>
      </c>
      <c r="L154">
        <f>IF($F154=1,FIND(MID($B154,6,1),"0123456789")-1,"")</f>
        <v/>
      </c>
      <c r="M154">
        <f>IF($F154=1,FIND(MID($B154,7,1),"0123456789")-1,"")</f>
        <v/>
      </c>
      <c r="N154">
        <f>IF($F154=1,FIND(MID($B154,8,1),"0123456789")-1,"")</f>
        <v/>
      </c>
      <c r="O154">
        <f>IF($F154=1,FIND(MID($B154,9,1),"0123456789")-1,"")</f>
        <v/>
      </c>
      <c r="P154">
        <f>IF($F154=1,FIND(MID($B154,10,1),"0123456789")-1,"")</f>
        <v/>
      </c>
      <c r="Q154">
        <f>IF($F154=1,SUMPRODUCT($G154:$P154,{1,2,4,8,16,32,64,128,256,512}),"")</f>
        <v/>
      </c>
      <c r="R154">
        <f>IF($F154=1,MOD(MOD($Q154,11),10),"")</f>
        <v/>
      </c>
    </row>
    <row r="155">
      <c r="A155" s="6" t="n"/>
      <c r="B155" s="7">
        <f>IF($A155="","",UPPER(SUBSTITUTE(SUBSTITUTE(SUBSTITUTE(SUBSTITUTE(SUBSTITUTE(SUBSTITUTE($A155," ",""),"-",""),".",""),"/",""),"i","I"),"ı","?")))</f>
        <v/>
      </c>
      <c r="C155" s="8">
        <f>IF($F155=1,$R155,"")</f>
        <v/>
      </c>
      <c r="D155" s="7">
        <f>IF($A155="","",IF($F155=0,"Biçim hatalı",IF(FIND(MID($B155,11,1),"0123456789")-1=$R155,"Geçerli","Kontrol hanesi hatalı (doğrusu: "&amp;$R155&amp;")")))</f>
        <v/>
      </c>
      <c r="F155">
        <f>IF($A155="","",IF(AND(LEN($B155)=11,SUMPRODUCT(--ISNUMBER(FIND(MID($B155,{1,2,3},1),"ABCDEFGHIJKLMNOPQRSTUVWXYZ")))=3,ISNUMBER(FIND(MID($B155,4,1),"UJZ")),SUMPRODUCT(--ISNUMBER(FIND(MID($B155,{5,6,7,8,9,10,11},1),"0123456789")))=7),1,0))</f>
        <v/>
      </c>
      <c r="G155">
        <f>IF($F155=1,INDEX({10,12,13,14,15,16,17,18,19,20,21,23,24,25,26,27,28,29,30,31,32,34,35,36,37,38},1,FIND(MID($B155,1,1),"ABCDEFGHIJKLMNOPQRSTUVWXYZ")),"")</f>
        <v/>
      </c>
      <c r="H155">
        <f>IF($F155=1,INDEX({10,12,13,14,15,16,17,18,19,20,21,23,24,25,26,27,28,29,30,31,32,34,35,36,37,38},1,FIND(MID($B155,2,1),"ABCDEFGHIJKLMNOPQRSTUVWXYZ")),"")</f>
        <v/>
      </c>
      <c r="I155">
        <f>IF($F155=1,INDEX({10,12,13,14,15,16,17,18,19,20,21,23,24,25,26,27,28,29,30,31,32,34,35,36,37,38},1,FIND(MID($B155,3,1),"ABCDEFGHIJKLMNOPQRSTUVWXYZ")),"")</f>
        <v/>
      </c>
      <c r="J155">
        <f>IF($F155=1,INDEX({10,12,13,14,15,16,17,18,19,20,21,23,24,25,26,27,28,29,30,31,32,34,35,36,37,38},1,FIND(MID($B155,4,1),"ABCDEFGHIJKLMNOPQRSTUVWXYZ")),"")</f>
        <v/>
      </c>
      <c r="K155">
        <f>IF($F155=1,FIND(MID($B155,5,1),"0123456789")-1,"")</f>
        <v/>
      </c>
      <c r="L155">
        <f>IF($F155=1,FIND(MID($B155,6,1),"0123456789")-1,"")</f>
        <v/>
      </c>
      <c r="M155">
        <f>IF($F155=1,FIND(MID($B155,7,1),"0123456789")-1,"")</f>
        <v/>
      </c>
      <c r="N155">
        <f>IF($F155=1,FIND(MID($B155,8,1),"0123456789")-1,"")</f>
        <v/>
      </c>
      <c r="O155">
        <f>IF($F155=1,FIND(MID($B155,9,1),"0123456789")-1,"")</f>
        <v/>
      </c>
      <c r="P155">
        <f>IF($F155=1,FIND(MID($B155,10,1),"0123456789")-1,"")</f>
        <v/>
      </c>
      <c r="Q155">
        <f>IF($F155=1,SUMPRODUCT($G155:$P155,{1,2,4,8,16,32,64,128,256,512}),"")</f>
        <v/>
      </c>
      <c r="R155">
        <f>IF($F155=1,MOD(MOD($Q155,11),10),"")</f>
        <v/>
      </c>
    </row>
    <row r="156">
      <c r="A156" s="6" t="n"/>
      <c r="B156" s="7">
        <f>IF($A156="","",UPPER(SUBSTITUTE(SUBSTITUTE(SUBSTITUTE(SUBSTITUTE(SUBSTITUTE(SUBSTITUTE($A156," ",""),"-",""),".",""),"/",""),"i","I"),"ı","?")))</f>
        <v/>
      </c>
      <c r="C156" s="8">
        <f>IF($F156=1,$R156,"")</f>
        <v/>
      </c>
      <c r="D156" s="7">
        <f>IF($A156="","",IF($F156=0,"Biçim hatalı",IF(FIND(MID($B156,11,1),"0123456789")-1=$R156,"Geçerli","Kontrol hanesi hatalı (doğrusu: "&amp;$R156&amp;")")))</f>
        <v/>
      </c>
      <c r="F156">
        <f>IF($A156="","",IF(AND(LEN($B156)=11,SUMPRODUCT(--ISNUMBER(FIND(MID($B156,{1,2,3},1),"ABCDEFGHIJKLMNOPQRSTUVWXYZ")))=3,ISNUMBER(FIND(MID($B156,4,1),"UJZ")),SUMPRODUCT(--ISNUMBER(FIND(MID($B156,{5,6,7,8,9,10,11},1),"0123456789")))=7),1,0))</f>
        <v/>
      </c>
      <c r="G156">
        <f>IF($F156=1,INDEX({10,12,13,14,15,16,17,18,19,20,21,23,24,25,26,27,28,29,30,31,32,34,35,36,37,38},1,FIND(MID($B156,1,1),"ABCDEFGHIJKLMNOPQRSTUVWXYZ")),"")</f>
        <v/>
      </c>
      <c r="H156">
        <f>IF($F156=1,INDEX({10,12,13,14,15,16,17,18,19,20,21,23,24,25,26,27,28,29,30,31,32,34,35,36,37,38},1,FIND(MID($B156,2,1),"ABCDEFGHIJKLMNOPQRSTUVWXYZ")),"")</f>
        <v/>
      </c>
      <c r="I156">
        <f>IF($F156=1,INDEX({10,12,13,14,15,16,17,18,19,20,21,23,24,25,26,27,28,29,30,31,32,34,35,36,37,38},1,FIND(MID($B156,3,1),"ABCDEFGHIJKLMNOPQRSTUVWXYZ")),"")</f>
        <v/>
      </c>
      <c r="J156">
        <f>IF($F156=1,INDEX({10,12,13,14,15,16,17,18,19,20,21,23,24,25,26,27,28,29,30,31,32,34,35,36,37,38},1,FIND(MID($B156,4,1),"ABCDEFGHIJKLMNOPQRSTUVWXYZ")),"")</f>
        <v/>
      </c>
      <c r="K156">
        <f>IF($F156=1,FIND(MID($B156,5,1),"0123456789")-1,"")</f>
        <v/>
      </c>
      <c r="L156">
        <f>IF($F156=1,FIND(MID($B156,6,1),"0123456789")-1,"")</f>
        <v/>
      </c>
      <c r="M156">
        <f>IF($F156=1,FIND(MID($B156,7,1),"0123456789")-1,"")</f>
        <v/>
      </c>
      <c r="N156">
        <f>IF($F156=1,FIND(MID($B156,8,1),"0123456789")-1,"")</f>
        <v/>
      </c>
      <c r="O156">
        <f>IF($F156=1,FIND(MID($B156,9,1),"0123456789")-1,"")</f>
        <v/>
      </c>
      <c r="P156">
        <f>IF($F156=1,FIND(MID($B156,10,1),"0123456789")-1,"")</f>
        <v/>
      </c>
      <c r="Q156">
        <f>IF($F156=1,SUMPRODUCT($G156:$P156,{1,2,4,8,16,32,64,128,256,512}),"")</f>
        <v/>
      </c>
      <c r="R156">
        <f>IF($F156=1,MOD(MOD($Q156,11),10),"")</f>
        <v/>
      </c>
    </row>
    <row r="157">
      <c r="A157" s="6" t="n"/>
      <c r="B157" s="7">
        <f>IF($A157="","",UPPER(SUBSTITUTE(SUBSTITUTE(SUBSTITUTE(SUBSTITUTE(SUBSTITUTE(SUBSTITUTE($A157," ",""),"-",""),".",""),"/",""),"i","I"),"ı","?")))</f>
        <v/>
      </c>
      <c r="C157" s="8">
        <f>IF($F157=1,$R157,"")</f>
        <v/>
      </c>
      <c r="D157" s="7">
        <f>IF($A157="","",IF($F157=0,"Biçim hatalı",IF(FIND(MID($B157,11,1),"0123456789")-1=$R157,"Geçerli","Kontrol hanesi hatalı (doğrusu: "&amp;$R157&amp;")")))</f>
        <v/>
      </c>
      <c r="F157">
        <f>IF($A157="","",IF(AND(LEN($B157)=11,SUMPRODUCT(--ISNUMBER(FIND(MID($B157,{1,2,3},1),"ABCDEFGHIJKLMNOPQRSTUVWXYZ")))=3,ISNUMBER(FIND(MID($B157,4,1),"UJZ")),SUMPRODUCT(--ISNUMBER(FIND(MID($B157,{5,6,7,8,9,10,11},1),"0123456789")))=7),1,0))</f>
        <v/>
      </c>
      <c r="G157">
        <f>IF($F157=1,INDEX({10,12,13,14,15,16,17,18,19,20,21,23,24,25,26,27,28,29,30,31,32,34,35,36,37,38},1,FIND(MID($B157,1,1),"ABCDEFGHIJKLMNOPQRSTUVWXYZ")),"")</f>
        <v/>
      </c>
      <c r="H157">
        <f>IF($F157=1,INDEX({10,12,13,14,15,16,17,18,19,20,21,23,24,25,26,27,28,29,30,31,32,34,35,36,37,38},1,FIND(MID($B157,2,1),"ABCDEFGHIJKLMNOPQRSTUVWXYZ")),"")</f>
        <v/>
      </c>
      <c r="I157">
        <f>IF($F157=1,INDEX({10,12,13,14,15,16,17,18,19,20,21,23,24,25,26,27,28,29,30,31,32,34,35,36,37,38},1,FIND(MID($B157,3,1),"ABCDEFGHIJKLMNOPQRSTUVWXYZ")),"")</f>
        <v/>
      </c>
      <c r="J157">
        <f>IF($F157=1,INDEX({10,12,13,14,15,16,17,18,19,20,21,23,24,25,26,27,28,29,30,31,32,34,35,36,37,38},1,FIND(MID($B157,4,1),"ABCDEFGHIJKLMNOPQRSTUVWXYZ")),"")</f>
        <v/>
      </c>
      <c r="K157">
        <f>IF($F157=1,FIND(MID($B157,5,1),"0123456789")-1,"")</f>
        <v/>
      </c>
      <c r="L157">
        <f>IF($F157=1,FIND(MID($B157,6,1),"0123456789")-1,"")</f>
        <v/>
      </c>
      <c r="M157">
        <f>IF($F157=1,FIND(MID($B157,7,1),"0123456789")-1,"")</f>
        <v/>
      </c>
      <c r="N157">
        <f>IF($F157=1,FIND(MID($B157,8,1),"0123456789")-1,"")</f>
        <v/>
      </c>
      <c r="O157">
        <f>IF($F157=1,FIND(MID($B157,9,1),"0123456789")-1,"")</f>
        <v/>
      </c>
      <c r="P157">
        <f>IF($F157=1,FIND(MID($B157,10,1),"0123456789")-1,"")</f>
        <v/>
      </c>
      <c r="Q157">
        <f>IF($F157=1,SUMPRODUCT($G157:$P157,{1,2,4,8,16,32,64,128,256,512}),"")</f>
        <v/>
      </c>
      <c r="R157">
        <f>IF($F157=1,MOD(MOD($Q157,11),10),"")</f>
        <v/>
      </c>
    </row>
    <row r="158">
      <c r="A158" s="6" t="n"/>
      <c r="B158" s="7">
        <f>IF($A158="","",UPPER(SUBSTITUTE(SUBSTITUTE(SUBSTITUTE(SUBSTITUTE(SUBSTITUTE(SUBSTITUTE($A158," ",""),"-",""),".",""),"/",""),"i","I"),"ı","?")))</f>
        <v/>
      </c>
      <c r="C158" s="8">
        <f>IF($F158=1,$R158,"")</f>
        <v/>
      </c>
      <c r="D158" s="7">
        <f>IF($A158="","",IF($F158=0,"Biçim hatalı",IF(FIND(MID($B158,11,1),"0123456789")-1=$R158,"Geçerli","Kontrol hanesi hatalı (doğrusu: "&amp;$R158&amp;")")))</f>
        <v/>
      </c>
      <c r="F158">
        <f>IF($A158="","",IF(AND(LEN($B158)=11,SUMPRODUCT(--ISNUMBER(FIND(MID($B158,{1,2,3},1),"ABCDEFGHIJKLMNOPQRSTUVWXYZ")))=3,ISNUMBER(FIND(MID($B158,4,1),"UJZ")),SUMPRODUCT(--ISNUMBER(FIND(MID($B158,{5,6,7,8,9,10,11},1),"0123456789")))=7),1,0))</f>
        <v/>
      </c>
      <c r="G158">
        <f>IF($F158=1,INDEX({10,12,13,14,15,16,17,18,19,20,21,23,24,25,26,27,28,29,30,31,32,34,35,36,37,38},1,FIND(MID($B158,1,1),"ABCDEFGHIJKLMNOPQRSTUVWXYZ")),"")</f>
        <v/>
      </c>
      <c r="H158">
        <f>IF($F158=1,INDEX({10,12,13,14,15,16,17,18,19,20,21,23,24,25,26,27,28,29,30,31,32,34,35,36,37,38},1,FIND(MID($B158,2,1),"ABCDEFGHIJKLMNOPQRSTUVWXYZ")),"")</f>
        <v/>
      </c>
      <c r="I158">
        <f>IF($F158=1,INDEX({10,12,13,14,15,16,17,18,19,20,21,23,24,25,26,27,28,29,30,31,32,34,35,36,37,38},1,FIND(MID($B158,3,1),"ABCDEFGHIJKLMNOPQRSTUVWXYZ")),"")</f>
        <v/>
      </c>
      <c r="J158">
        <f>IF($F158=1,INDEX({10,12,13,14,15,16,17,18,19,20,21,23,24,25,26,27,28,29,30,31,32,34,35,36,37,38},1,FIND(MID($B158,4,1),"ABCDEFGHIJKLMNOPQRSTUVWXYZ")),"")</f>
        <v/>
      </c>
      <c r="K158">
        <f>IF($F158=1,FIND(MID($B158,5,1),"0123456789")-1,"")</f>
        <v/>
      </c>
      <c r="L158">
        <f>IF($F158=1,FIND(MID($B158,6,1),"0123456789")-1,"")</f>
        <v/>
      </c>
      <c r="M158">
        <f>IF($F158=1,FIND(MID($B158,7,1),"0123456789")-1,"")</f>
        <v/>
      </c>
      <c r="N158">
        <f>IF($F158=1,FIND(MID($B158,8,1),"0123456789")-1,"")</f>
        <v/>
      </c>
      <c r="O158">
        <f>IF($F158=1,FIND(MID($B158,9,1),"0123456789")-1,"")</f>
        <v/>
      </c>
      <c r="P158">
        <f>IF($F158=1,FIND(MID($B158,10,1),"0123456789")-1,"")</f>
        <v/>
      </c>
      <c r="Q158">
        <f>IF($F158=1,SUMPRODUCT($G158:$P158,{1,2,4,8,16,32,64,128,256,512}),"")</f>
        <v/>
      </c>
      <c r="R158">
        <f>IF($F158=1,MOD(MOD($Q158,11),10),"")</f>
        <v/>
      </c>
    </row>
    <row r="159">
      <c r="A159" s="6" t="n"/>
      <c r="B159" s="7">
        <f>IF($A159="","",UPPER(SUBSTITUTE(SUBSTITUTE(SUBSTITUTE(SUBSTITUTE(SUBSTITUTE(SUBSTITUTE($A159," ",""),"-",""),".",""),"/",""),"i","I"),"ı","?")))</f>
        <v/>
      </c>
      <c r="C159" s="8">
        <f>IF($F159=1,$R159,"")</f>
        <v/>
      </c>
      <c r="D159" s="7">
        <f>IF($A159="","",IF($F159=0,"Biçim hatalı",IF(FIND(MID($B159,11,1),"0123456789")-1=$R159,"Geçerli","Kontrol hanesi hatalı (doğrusu: "&amp;$R159&amp;")")))</f>
        <v/>
      </c>
      <c r="F159">
        <f>IF($A159="","",IF(AND(LEN($B159)=11,SUMPRODUCT(--ISNUMBER(FIND(MID($B159,{1,2,3},1),"ABCDEFGHIJKLMNOPQRSTUVWXYZ")))=3,ISNUMBER(FIND(MID($B159,4,1),"UJZ")),SUMPRODUCT(--ISNUMBER(FIND(MID($B159,{5,6,7,8,9,10,11},1),"0123456789")))=7),1,0))</f>
        <v/>
      </c>
      <c r="G159">
        <f>IF($F159=1,INDEX({10,12,13,14,15,16,17,18,19,20,21,23,24,25,26,27,28,29,30,31,32,34,35,36,37,38},1,FIND(MID($B159,1,1),"ABCDEFGHIJKLMNOPQRSTUVWXYZ")),"")</f>
        <v/>
      </c>
      <c r="H159">
        <f>IF($F159=1,INDEX({10,12,13,14,15,16,17,18,19,20,21,23,24,25,26,27,28,29,30,31,32,34,35,36,37,38},1,FIND(MID($B159,2,1),"ABCDEFGHIJKLMNOPQRSTUVWXYZ")),"")</f>
        <v/>
      </c>
      <c r="I159">
        <f>IF($F159=1,INDEX({10,12,13,14,15,16,17,18,19,20,21,23,24,25,26,27,28,29,30,31,32,34,35,36,37,38},1,FIND(MID($B159,3,1),"ABCDEFGHIJKLMNOPQRSTUVWXYZ")),"")</f>
        <v/>
      </c>
      <c r="J159">
        <f>IF($F159=1,INDEX({10,12,13,14,15,16,17,18,19,20,21,23,24,25,26,27,28,29,30,31,32,34,35,36,37,38},1,FIND(MID($B159,4,1),"ABCDEFGHIJKLMNOPQRSTUVWXYZ")),"")</f>
        <v/>
      </c>
      <c r="K159">
        <f>IF($F159=1,FIND(MID($B159,5,1),"0123456789")-1,"")</f>
        <v/>
      </c>
      <c r="L159">
        <f>IF($F159=1,FIND(MID($B159,6,1),"0123456789")-1,"")</f>
        <v/>
      </c>
      <c r="M159">
        <f>IF($F159=1,FIND(MID($B159,7,1),"0123456789")-1,"")</f>
        <v/>
      </c>
      <c r="N159">
        <f>IF($F159=1,FIND(MID($B159,8,1),"0123456789")-1,"")</f>
        <v/>
      </c>
      <c r="O159">
        <f>IF($F159=1,FIND(MID($B159,9,1),"0123456789")-1,"")</f>
        <v/>
      </c>
      <c r="P159">
        <f>IF($F159=1,FIND(MID($B159,10,1),"0123456789")-1,"")</f>
        <v/>
      </c>
      <c r="Q159">
        <f>IF($F159=1,SUMPRODUCT($G159:$P159,{1,2,4,8,16,32,64,128,256,512}),"")</f>
        <v/>
      </c>
      <c r="R159">
        <f>IF($F159=1,MOD(MOD($Q159,11),10),"")</f>
        <v/>
      </c>
    </row>
    <row r="160">
      <c r="A160" s="6" t="n"/>
      <c r="B160" s="7">
        <f>IF($A160="","",UPPER(SUBSTITUTE(SUBSTITUTE(SUBSTITUTE(SUBSTITUTE(SUBSTITUTE(SUBSTITUTE($A160," ",""),"-",""),".",""),"/",""),"i","I"),"ı","?")))</f>
        <v/>
      </c>
      <c r="C160" s="8">
        <f>IF($F160=1,$R160,"")</f>
        <v/>
      </c>
      <c r="D160" s="7">
        <f>IF($A160="","",IF($F160=0,"Biçim hatalı",IF(FIND(MID($B160,11,1),"0123456789")-1=$R160,"Geçerli","Kontrol hanesi hatalı (doğrusu: "&amp;$R160&amp;")")))</f>
        <v/>
      </c>
      <c r="F160">
        <f>IF($A160="","",IF(AND(LEN($B160)=11,SUMPRODUCT(--ISNUMBER(FIND(MID($B160,{1,2,3},1),"ABCDEFGHIJKLMNOPQRSTUVWXYZ")))=3,ISNUMBER(FIND(MID($B160,4,1),"UJZ")),SUMPRODUCT(--ISNUMBER(FIND(MID($B160,{5,6,7,8,9,10,11},1),"0123456789")))=7),1,0))</f>
        <v/>
      </c>
      <c r="G160">
        <f>IF($F160=1,INDEX({10,12,13,14,15,16,17,18,19,20,21,23,24,25,26,27,28,29,30,31,32,34,35,36,37,38},1,FIND(MID($B160,1,1),"ABCDEFGHIJKLMNOPQRSTUVWXYZ")),"")</f>
        <v/>
      </c>
      <c r="H160">
        <f>IF($F160=1,INDEX({10,12,13,14,15,16,17,18,19,20,21,23,24,25,26,27,28,29,30,31,32,34,35,36,37,38},1,FIND(MID($B160,2,1),"ABCDEFGHIJKLMNOPQRSTUVWXYZ")),"")</f>
        <v/>
      </c>
      <c r="I160">
        <f>IF($F160=1,INDEX({10,12,13,14,15,16,17,18,19,20,21,23,24,25,26,27,28,29,30,31,32,34,35,36,37,38},1,FIND(MID($B160,3,1),"ABCDEFGHIJKLMNOPQRSTUVWXYZ")),"")</f>
        <v/>
      </c>
      <c r="J160">
        <f>IF($F160=1,INDEX({10,12,13,14,15,16,17,18,19,20,21,23,24,25,26,27,28,29,30,31,32,34,35,36,37,38},1,FIND(MID($B160,4,1),"ABCDEFGHIJKLMNOPQRSTUVWXYZ")),"")</f>
        <v/>
      </c>
      <c r="K160">
        <f>IF($F160=1,FIND(MID($B160,5,1),"0123456789")-1,"")</f>
        <v/>
      </c>
      <c r="L160">
        <f>IF($F160=1,FIND(MID($B160,6,1),"0123456789")-1,"")</f>
        <v/>
      </c>
      <c r="M160">
        <f>IF($F160=1,FIND(MID($B160,7,1),"0123456789")-1,"")</f>
        <v/>
      </c>
      <c r="N160">
        <f>IF($F160=1,FIND(MID($B160,8,1),"0123456789")-1,"")</f>
        <v/>
      </c>
      <c r="O160">
        <f>IF($F160=1,FIND(MID($B160,9,1),"0123456789")-1,"")</f>
        <v/>
      </c>
      <c r="P160">
        <f>IF($F160=1,FIND(MID($B160,10,1),"0123456789")-1,"")</f>
        <v/>
      </c>
      <c r="Q160">
        <f>IF($F160=1,SUMPRODUCT($G160:$P160,{1,2,4,8,16,32,64,128,256,512}),"")</f>
        <v/>
      </c>
      <c r="R160">
        <f>IF($F160=1,MOD(MOD($Q160,11),10),"")</f>
        <v/>
      </c>
    </row>
    <row r="161">
      <c r="A161" s="6" t="n"/>
      <c r="B161" s="7">
        <f>IF($A161="","",UPPER(SUBSTITUTE(SUBSTITUTE(SUBSTITUTE(SUBSTITUTE(SUBSTITUTE(SUBSTITUTE($A161," ",""),"-",""),".",""),"/",""),"i","I"),"ı","?")))</f>
        <v/>
      </c>
      <c r="C161" s="8">
        <f>IF($F161=1,$R161,"")</f>
        <v/>
      </c>
      <c r="D161" s="7">
        <f>IF($A161="","",IF($F161=0,"Biçim hatalı",IF(FIND(MID($B161,11,1),"0123456789")-1=$R161,"Geçerli","Kontrol hanesi hatalı (doğrusu: "&amp;$R161&amp;")")))</f>
        <v/>
      </c>
      <c r="F161">
        <f>IF($A161="","",IF(AND(LEN($B161)=11,SUMPRODUCT(--ISNUMBER(FIND(MID($B161,{1,2,3},1),"ABCDEFGHIJKLMNOPQRSTUVWXYZ")))=3,ISNUMBER(FIND(MID($B161,4,1),"UJZ")),SUMPRODUCT(--ISNUMBER(FIND(MID($B161,{5,6,7,8,9,10,11},1),"0123456789")))=7),1,0))</f>
        <v/>
      </c>
      <c r="G161">
        <f>IF($F161=1,INDEX({10,12,13,14,15,16,17,18,19,20,21,23,24,25,26,27,28,29,30,31,32,34,35,36,37,38},1,FIND(MID($B161,1,1),"ABCDEFGHIJKLMNOPQRSTUVWXYZ")),"")</f>
        <v/>
      </c>
      <c r="H161">
        <f>IF($F161=1,INDEX({10,12,13,14,15,16,17,18,19,20,21,23,24,25,26,27,28,29,30,31,32,34,35,36,37,38},1,FIND(MID($B161,2,1),"ABCDEFGHIJKLMNOPQRSTUVWXYZ")),"")</f>
        <v/>
      </c>
      <c r="I161">
        <f>IF($F161=1,INDEX({10,12,13,14,15,16,17,18,19,20,21,23,24,25,26,27,28,29,30,31,32,34,35,36,37,38},1,FIND(MID($B161,3,1),"ABCDEFGHIJKLMNOPQRSTUVWXYZ")),"")</f>
        <v/>
      </c>
      <c r="J161">
        <f>IF($F161=1,INDEX({10,12,13,14,15,16,17,18,19,20,21,23,24,25,26,27,28,29,30,31,32,34,35,36,37,38},1,FIND(MID($B161,4,1),"ABCDEFGHIJKLMNOPQRSTUVWXYZ")),"")</f>
        <v/>
      </c>
      <c r="K161">
        <f>IF($F161=1,FIND(MID($B161,5,1),"0123456789")-1,"")</f>
        <v/>
      </c>
      <c r="L161">
        <f>IF($F161=1,FIND(MID($B161,6,1),"0123456789")-1,"")</f>
        <v/>
      </c>
      <c r="M161">
        <f>IF($F161=1,FIND(MID($B161,7,1),"0123456789")-1,"")</f>
        <v/>
      </c>
      <c r="N161">
        <f>IF($F161=1,FIND(MID($B161,8,1),"0123456789")-1,"")</f>
        <v/>
      </c>
      <c r="O161">
        <f>IF($F161=1,FIND(MID($B161,9,1),"0123456789")-1,"")</f>
        <v/>
      </c>
      <c r="P161">
        <f>IF($F161=1,FIND(MID($B161,10,1),"0123456789")-1,"")</f>
        <v/>
      </c>
      <c r="Q161">
        <f>IF($F161=1,SUMPRODUCT($G161:$P161,{1,2,4,8,16,32,64,128,256,512}),"")</f>
        <v/>
      </c>
      <c r="R161">
        <f>IF($F161=1,MOD(MOD($Q161,11),10),"")</f>
        <v/>
      </c>
    </row>
    <row r="162">
      <c r="A162" s="6" t="n"/>
      <c r="B162" s="7">
        <f>IF($A162="","",UPPER(SUBSTITUTE(SUBSTITUTE(SUBSTITUTE(SUBSTITUTE(SUBSTITUTE(SUBSTITUTE($A162," ",""),"-",""),".",""),"/",""),"i","I"),"ı","?")))</f>
        <v/>
      </c>
      <c r="C162" s="8">
        <f>IF($F162=1,$R162,"")</f>
        <v/>
      </c>
      <c r="D162" s="7">
        <f>IF($A162="","",IF($F162=0,"Biçim hatalı",IF(FIND(MID($B162,11,1),"0123456789")-1=$R162,"Geçerli","Kontrol hanesi hatalı (doğrusu: "&amp;$R162&amp;")")))</f>
        <v/>
      </c>
      <c r="F162">
        <f>IF($A162="","",IF(AND(LEN($B162)=11,SUMPRODUCT(--ISNUMBER(FIND(MID($B162,{1,2,3},1),"ABCDEFGHIJKLMNOPQRSTUVWXYZ")))=3,ISNUMBER(FIND(MID($B162,4,1),"UJZ")),SUMPRODUCT(--ISNUMBER(FIND(MID($B162,{5,6,7,8,9,10,11},1),"0123456789")))=7),1,0))</f>
        <v/>
      </c>
      <c r="G162">
        <f>IF($F162=1,INDEX({10,12,13,14,15,16,17,18,19,20,21,23,24,25,26,27,28,29,30,31,32,34,35,36,37,38},1,FIND(MID($B162,1,1),"ABCDEFGHIJKLMNOPQRSTUVWXYZ")),"")</f>
        <v/>
      </c>
      <c r="H162">
        <f>IF($F162=1,INDEX({10,12,13,14,15,16,17,18,19,20,21,23,24,25,26,27,28,29,30,31,32,34,35,36,37,38},1,FIND(MID($B162,2,1),"ABCDEFGHIJKLMNOPQRSTUVWXYZ")),"")</f>
        <v/>
      </c>
      <c r="I162">
        <f>IF($F162=1,INDEX({10,12,13,14,15,16,17,18,19,20,21,23,24,25,26,27,28,29,30,31,32,34,35,36,37,38},1,FIND(MID($B162,3,1),"ABCDEFGHIJKLMNOPQRSTUVWXYZ")),"")</f>
        <v/>
      </c>
      <c r="J162">
        <f>IF($F162=1,INDEX({10,12,13,14,15,16,17,18,19,20,21,23,24,25,26,27,28,29,30,31,32,34,35,36,37,38},1,FIND(MID($B162,4,1),"ABCDEFGHIJKLMNOPQRSTUVWXYZ")),"")</f>
        <v/>
      </c>
      <c r="K162">
        <f>IF($F162=1,FIND(MID($B162,5,1),"0123456789")-1,"")</f>
        <v/>
      </c>
      <c r="L162">
        <f>IF($F162=1,FIND(MID($B162,6,1),"0123456789")-1,"")</f>
        <v/>
      </c>
      <c r="M162">
        <f>IF($F162=1,FIND(MID($B162,7,1),"0123456789")-1,"")</f>
        <v/>
      </c>
      <c r="N162">
        <f>IF($F162=1,FIND(MID($B162,8,1),"0123456789")-1,"")</f>
        <v/>
      </c>
      <c r="O162">
        <f>IF($F162=1,FIND(MID($B162,9,1),"0123456789")-1,"")</f>
        <v/>
      </c>
      <c r="P162">
        <f>IF($F162=1,FIND(MID($B162,10,1),"0123456789")-1,"")</f>
        <v/>
      </c>
      <c r="Q162">
        <f>IF($F162=1,SUMPRODUCT($G162:$P162,{1,2,4,8,16,32,64,128,256,512}),"")</f>
        <v/>
      </c>
      <c r="R162">
        <f>IF($F162=1,MOD(MOD($Q162,11),10),"")</f>
        <v/>
      </c>
    </row>
    <row r="163">
      <c r="A163" s="6" t="n"/>
      <c r="B163" s="7">
        <f>IF($A163="","",UPPER(SUBSTITUTE(SUBSTITUTE(SUBSTITUTE(SUBSTITUTE(SUBSTITUTE(SUBSTITUTE($A163," ",""),"-",""),".",""),"/",""),"i","I"),"ı","?")))</f>
        <v/>
      </c>
      <c r="C163" s="8">
        <f>IF($F163=1,$R163,"")</f>
        <v/>
      </c>
      <c r="D163" s="7">
        <f>IF($A163="","",IF($F163=0,"Biçim hatalı",IF(FIND(MID($B163,11,1),"0123456789")-1=$R163,"Geçerli","Kontrol hanesi hatalı (doğrusu: "&amp;$R163&amp;")")))</f>
        <v/>
      </c>
      <c r="F163">
        <f>IF($A163="","",IF(AND(LEN($B163)=11,SUMPRODUCT(--ISNUMBER(FIND(MID($B163,{1,2,3},1),"ABCDEFGHIJKLMNOPQRSTUVWXYZ")))=3,ISNUMBER(FIND(MID($B163,4,1),"UJZ")),SUMPRODUCT(--ISNUMBER(FIND(MID($B163,{5,6,7,8,9,10,11},1),"0123456789")))=7),1,0))</f>
        <v/>
      </c>
      <c r="G163">
        <f>IF($F163=1,INDEX({10,12,13,14,15,16,17,18,19,20,21,23,24,25,26,27,28,29,30,31,32,34,35,36,37,38},1,FIND(MID($B163,1,1),"ABCDEFGHIJKLMNOPQRSTUVWXYZ")),"")</f>
        <v/>
      </c>
      <c r="H163">
        <f>IF($F163=1,INDEX({10,12,13,14,15,16,17,18,19,20,21,23,24,25,26,27,28,29,30,31,32,34,35,36,37,38},1,FIND(MID($B163,2,1),"ABCDEFGHIJKLMNOPQRSTUVWXYZ")),"")</f>
        <v/>
      </c>
      <c r="I163">
        <f>IF($F163=1,INDEX({10,12,13,14,15,16,17,18,19,20,21,23,24,25,26,27,28,29,30,31,32,34,35,36,37,38},1,FIND(MID($B163,3,1),"ABCDEFGHIJKLMNOPQRSTUVWXYZ")),"")</f>
        <v/>
      </c>
      <c r="J163">
        <f>IF($F163=1,INDEX({10,12,13,14,15,16,17,18,19,20,21,23,24,25,26,27,28,29,30,31,32,34,35,36,37,38},1,FIND(MID($B163,4,1),"ABCDEFGHIJKLMNOPQRSTUVWXYZ")),"")</f>
        <v/>
      </c>
      <c r="K163">
        <f>IF($F163=1,FIND(MID($B163,5,1),"0123456789")-1,"")</f>
        <v/>
      </c>
      <c r="L163">
        <f>IF($F163=1,FIND(MID($B163,6,1),"0123456789")-1,"")</f>
        <v/>
      </c>
      <c r="M163">
        <f>IF($F163=1,FIND(MID($B163,7,1),"0123456789")-1,"")</f>
        <v/>
      </c>
      <c r="N163">
        <f>IF($F163=1,FIND(MID($B163,8,1),"0123456789")-1,"")</f>
        <v/>
      </c>
      <c r="O163">
        <f>IF($F163=1,FIND(MID($B163,9,1),"0123456789")-1,"")</f>
        <v/>
      </c>
      <c r="P163">
        <f>IF($F163=1,FIND(MID($B163,10,1),"0123456789")-1,"")</f>
        <v/>
      </c>
      <c r="Q163">
        <f>IF($F163=1,SUMPRODUCT($G163:$P163,{1,2,4,8,16,32,64,128,256,512}),"")</f>
        <v/>
      </c>
      <c r="R163">
        <f>IF($F163=1,MOD(MOD($Q163,11),10),"")</f>
        <v/>
      </c>
    </row>
    <row r="164">
      <c r="A164" s="6" t="n"/>
      <c r="B164" s="7">
        <f>IF($A164="","",UPPER(SUBSTITUTE(SUBSTITUTE(SUBSTITUTE(SUBSTITUTE(SUBSTITUTE(SUBSTITUTE($A164," ",""),"-",""),".",""),"/",""),"i","I"),"ı","?")))</f>
        <v/>
      </c>
      <c r="C164" s="8">
        <f>IF($F164=1,$R164,"")</f>
        <v/>
      </c>
      <c r="D164" s="7">
        <f>IF($A164="","",IF($F164=0,"Biçim hatalı",IF(FIND(MID($B164,11,1),"0123456789")-1=$R164,"Geçerli","Kontrol hanesi hatalı (doğrusu: "&amp;$R164&amp;")")))</f>
        <v/>
      </c>
      <c r="F164">
        <f>IF($A164="","",IF(AND(LEN($B164)=11,SUMPRODUCT(--ISNUMBER(FIND(MID($B164,{1,2,3},1),"ABCDEFGHIJKLMNOPQRSTUVWXYZ")))=3,ISNUMBER(FIND(MID($B164,4,1),"UJZ")),SUMPRODUCT(--ISNUMBER(FIND(MID($B164,{5,6,7,8,9,10,11},1),"0123456789")))=7),1,0))</f>
        <v/>
      </c>
      <c r="G164">
        <f>IF($F164=1,INDEX({10,12,13,14,15,16,17,18,19,20,21,23,24,25,26,27,28,29,30,31,32,34,35,36,37,38},1,FIND(MID($B164,1,1),"ABCDEFGHIJKLMNOPQRSTUVWXYZ")),"")</f>
        <v/>
      </c>
      <c r="H164">
        <f>IF($F164=1,INDEX({10,12,13,14,15,16,17,18,19,20,21,23,24,25,26,27,28,29,30,31,32,34,35,36,37,38},1,FIND(MID($B164,2,1),"ABCDEFGHIJKLMNOPQRSTUVWXYZ")),"")</f>
        <v/>
      </c>
      <c r="I164">
        <f>IF($F164=1,INDEX({10,12,13,14,15,16,17,18,19,20,21,23,24,25,26,27,28,29,30,31,32,34,35,36,37,38},1,FIND(MID($B164,3,1),"ABCDEFGHIJKLMNOPQRSTUVWXYZ")),"")</f>
        <v/>
      </c>
      <c r="J164">
        <f>IF($F164=1,INDEX({10,12,13,14,15,16,17,18,19,20,21,23,24,25,26,27,28,29,30,31,32,34,35,36,37,38},1,FIND(MID($B164,4,1),"ABCDEFGHIJKLMNOPQRSTUVWXYZ")),"")</f>
        <v/>
      </c>
      <c r="K164">
        <f>IF($F164=1,FIND(MID($B164,5,1),"0123456789")-1,"")</f>
        <v/>
      </c>
      <c r="L164">
        <f>IF($F164=1,FIND(MID($B164,6,1),"0123456789")-1,"")</f>
        <v/>
      </c>
      <c r="M164">
        <f>IF($F164=1,FIND(MID($B164,7,1),"0123456789")-1,"")</f>
        <v/>
      </c>
      <c r="N164">
        <f>IF($F164=1,FIND(MID($B164,8,1),"0123456789")-1,"")</f>
        <v/>
      </c>
      <c r="O164">
        <f>IF($F164=1,FIND(MID($B164,9,1),"0123456789")-1,"")</f>
        <v/>
      </c>
      <c r="P164">
        <f>IF($F164=1,FIND(MID($B164,10,1),"0123456789")-1,"")</f>
        <v/>
      </c>
      <c r="Q164">
        <f>IF($F164=1,SUMPRODUCT($G164:$P164,{1,2,4,8,16,32,64,128,256,512}),"")</f>
        <v/>
      </c>
      <c r="R164">
        <f>IF($F164=1,MOD(MOD($Q164,11),10),"")</f>
        <v/>
      </c>
    </row>
    <row r="165">
      <c r="A165" s="6" t="n"/>
      <c r="B165" s="7">
        <f>IF($A165="","",UPPER(SUBSTITUTE(SUBSTITUTE(SUBSTITUTE(SUBSTITUTE(SUBSTITUTE(SUBSTITUTE($A165," ",""),"-",""),".",""),"/",""),"i","I"),"ı","?")))</f>
        <v/>
      </c>
      <c r="C165" s="8">
        <f>IF($F165=1,$R165,"")</f>
        <v/>
      </c>
      <c r="D165" s="7">
        <f>IF($A165="","",IF($F165=0,"Biçim hatalı",IF(FIND(MID($B165,11,1),"0123456789")-1=$R165,"Geçerli","Kontrol hanesi hatalı (doğrusu: "&amp;$R165&amp;")")))</f>
        <v/>
      </c>
      <c r="F165">
        <f>IF($A165="","",IF(AND(LEN($B165)=11,SUMPRODUCT(--ISNUMBER(FIND(MID($B165,{1,2,3},1),"ABCDEFGHIJKLMNOPQRSTUVWXYZ")))=3,ISNUMBER(FIND(MID($B165,4,1),"UJZ")),SUMPRODUCT(--ISNUMBER(FIND(MID($B165,{5,6,7,8,9,10,11},1),"0123456789")))=7),1,0))</f>
        <v/>
      </c>
      <c r="G165">
        <f>IF($F165=1,INDEX({10,12,13,14,15,16,17,18,19,20,21,23,24,25,26,27,28,29,30,31,32,34,35,36,37,38},1,FIND(MID($B165,1,1),"ABCDEFGHIJKLMNOPQRSTUVWXYZ")),"")</f>
        <v/>
      </c>
      <c r="H165">
        <f>IF($F165=1,INDEX({10,12,13,14,15,16,17,18,19,20,21,23,24,25,26,27,28,29,30,31,32,34,35,36,37,38},1,FIND(MID($B165,2,1),"ABCDEFGHIJKLMNOPQRSTUVWXYZ")),"")</f>
        <v/>
      </c>
      <c r="I165">
        <f>IF($F165=1,INDEX({10,12,13,14,15,16,17,18,19,20,21,23,24,25,26,27,28,29,30,31,32,34,35,36,37,38},1,FIND(MID($B165,3,1),"ABCDEFGHIJKLMNOPQRSTUVWXYZ")),"")</f>
        <v/>
      </c>
      <c r="J165">
        <f>IF($F165=1,INDEX({10,12,13,14,15,16,17,18,19,20,21,23,24,25,26,27,28,29,30,31,32,34,35,36,37,38},1,FIND(MID($B165,4,1),"ABCDEFGHIJKLMNOPQRSTUVWXYZ")),"")</f>
        <v/>
      </c>
      <c r="K165">
        <f>IF($F165=1,FIND(MID($B165,5,1),"0123456789")-1,"")</f>
        <v/>
      </c>
      <c r="L165">
        <f>IF($F165=1,FIND(MID($B165,6,1),"0123456789")-1,"")</f>
        <v/>
      </c>
      <c r="M165">
        <f>IF($F165=1,FIND(MID($B165,7,1),"0123456789")-1,"")</f>
        <v/>
      </c>
      <c r="N165">
        <f>IF($F165=1,FIND(MID($B165,8,1),"0123456789")-1,"")</f>
        <v/>
      </c>
      <c r="O165">
        <f>IF($F165=1,FIND(MID($B165,9,1),"0123456789")-1,"")</f>
        <v/>
      </c>
      <c r="P165">
        <f>IF($F165=1,FIND(MID($B165,10,1),"0123456789")-1,"")</f>
        <v/>
      </c>
      <c r="Q165">
        <f>IF($F165=1,SUMPRODUCT($G165:$P165,{1,2,4,8,16,32,64,128,256,512}),"")</f>
        <v/>
      </c>
      <c r="R165">
        <f>IF($F165=1,MOD(MOD($Q165,11),10),"")</f>
        <v/>
      </c>
    </row>
    <row r="166">
      <c r="A166" s="6" t="n"/>
      <c r="B166" s="7">
        <f>IF($A166="","",UPPER(SUBSTITUTE(SUBSTITUTE(SUBSTITUTE(SUBSTITUTE(SUBSTITUTE(SUBSTITUTE($A166," ",""),"-",""),".",""),"/",""),"i","I"),"ı","?")))</f>
        <v/>
      </c>
      <c r="C166" s="8">
        <f>IF($F166=1,$R166,"")</f>
        <v/>
      </c>
      <c r="D166" s="7">
        <f>IF($A166="","",IF($F166=0,"Biçim hatalı",IF(FIND(MID($B166,11,1),"0123456789")-1=$R166,"Geçerli","Kontrol hanesi hatalı (doğrusu: "&amp;$R166&amp;")")))</f>
        <v/>
      </c>
      <c r="F166">
        <f>IF($A166="","",IF(AND(LEN($B166)=11,SUMPRODUCT(--ISNUMBER(FIND(MID($B166,{1,2,3},1),"ABCDEFGHIJKLMNOPQRSTUVWXYZ")))=3,ISNUMBER(FIND(MID($B166,4,1),"UJZ")),SUMPRODUCT(--ISNUMBER(FIND(MID($B166,{5,6,7,8,9,10,11},1),"0123456789")))=7),1,0))</f>
        <v/>
      </c>
      <c r="G166">
        <f>IF($F166=1,INDEX({10,12,13,14,15,16,17,18,19,20,21,23,24,25,26,27,28,29,30,31,32,34,35,36,37,38},1,FIND(MID($B166,1,1),"ABCDEFGHIJKLMNOPQRSTUVWXYZ")),"")</f>
        <v/>
      </c>
      <c r="H166">
        <f>IF($F166=1,INDEX({10,12,13,14,15,16,17,18,19,20,21,23,24,25,26,27,28,29,30,31,32,34,35,36,37,38},1,FIND(MID($B166,2,1),"ABCDEFGHIJKLMNOPQRSTUVWXYZ")),"")</f>
        <v/>
      </c>
      <c r="I166">
        <f>IF($F166=1,INDEX({10,12,13,14,15,16,17,18,19,20,21,23,24,25,26,27,28,29,30,31,32,34,35,36,37,38},1,FIND(MID($B166,3,1),"ABCDEFGHIJKLMNOPQRSTUVWXYZ")),"")</f>
        <v/>
      </c>
      <c r="J166">
        <f>IF($F166=1,INDEX({10,12,13,14,15,16,17,18,19,20,21,23,24,25,26,27,28,29,30,31,32,34,35,36,37,38},1,FIND(MID($B166,4,1),"ABCDEFGHIJKLMNOPQRSTUVWXYZ")),"")</f>
        <v/>
      </c>
      <c r="K166">
        <f>IF($F166=1,FIND(MID($B166,5,1),"0123456789")-1,"")</f>
        <v/>
      </c>
      <c r="L166">
        <f>IF($F166=1,FIND(MID($B166,6,1),"0123456789")-1,"")</f>
        <v/>
      </c>
      <c r="M166">
        <f>IF($F166=1,FIND(MID($B166,7,1),"0123456789")-1,"")</f>
        <v/>
      </c>
      <c r="N166">
        <f>IF($F166=1,FIND(MID($B166,8,1),"0123456789")-1,"")</f>
        <v/>
      </c>
      <c r="O166">
        <f>IF($F166=1,FIND(MID($B166,9,1),"0123456789")-1,"")</f>
        <v/>
      </c>
      <c r="P166">
        <f>IF($F166=1,FIND(MID($B166,10,1),"0123456789")-1,"")</f>
        <v/>
      </c>
      <c r="Q166">
        <f>IF($F166=1,SUMPRODUCT($G166:$P166,{1,2,4,8,16,32,64,128,256,512}),"")</f>
        <v/>
      </c>
      <c r="R166">
        <f>IF($F166=1,MOD(MOD($Q166,11),10),"")</f>
        <v/>
      </c>
    </row>
    <row r="167">
      <c r="A167" s="6" t="n"/>
      <c r="B167" s="7">
        <f>IF($A167="","",UPPER(SUBSTITUTE(SUBSTITUTE(SUBSTITUTE(SUBSTITUTE(SUBSTITUTE(SUBSTITUTE($A167," ",""),"-",""),".",""),"/",""),"i","I"),"ı","?")))</f>
        <v/>
      </c>
      <c r="C167" s="8">
        <f>IF($F167=1,$R167,"")</f>
        <v/>
      </c>
      <c r="D167" s="7">
        <f>IF($A167="","",IF($F167=0,"Biçim hatalı",IF(FIND(MID($B167,11,1),"0123456789")-1=$R167,"Geçerli","Kontrol hanesi hatalı (doğrusu: "&amp;$R167&amp;")")))</f>
        <v/>
      </c>
      <c r="F167">
        <f>IF($A167="","",IF(AND(LEN($B167)=11,SUMPRODUCT(--ISNUMBER(FIND(MID($B167,{1,2,3},1),"ABCDEFGHIJKLMNOPQRSTUVWXYZ")))=3,ISNUMBER(FIND(MID($B167,4,1),"UJZ")),SUMPRODUCT(--ISNUMBER(FIND(MID($B167,{5,6,7,8,9,10,11},1),"0123456789")))=7),1,0))</f>
        <v/>
      </c>
      <c r="G167">
        <f>IF($F167=1,INDEX({10,12,13,14,15,16,17,18,19,20,21,23,24,25,26,27,28,29,30,31,32,34,35,36,37,38},1,FIND(MID($B167,1,1),"ABCDEFGHIJKLMNOPQRSTUVWXYZ")),"")</f>
        <v/>
      </c>
      <c r="H167">
        <f>IF($F167=1,INDEX({10,12,13,14,15,16,17,18,19,20,21,23,24,25,26,27,28,29,30,31,32,34,35,36,37,38},1,FIND(MID($B167,2,1),"ABCDEFGHIJKLMNOPQRSTUVWXYZ")),"")</f>
        <v/>
      </c>
      <c r="I167">
        <f>IF($F167=1,INDEX({10,12,13,14,15,16,17,18,19,20,21,23,24,25,26,27,28,29,30,31,32,34,35,36,37,38},1,FIND(MID($B167,3,1),"ABCDEFGHIJKLMNOPQRSTUVWXYZ")),"")</f>
        <v/>
      </c>
      <c r="J167">
        <f>IF($F167=1,INDEX({10,12,13,14,15,16,17,18,19,20,21,23,24,25,26,27,28,29,30,31,32,34,35,36,37,38},1,FIND(MID($B167,4,1),"ABCDEFGHIJKLMNOPQRSTUVWXYZ")),"")</f>
        <v/>
      </c>
      <c r="K167">
        <f>IF($F167=1,FIND(MID($B167,5,1),"0123456789")-1,"")</f>
        <v/>
      </c>
      <c r="L167">
        <f>IF($F167=1,FIND(MID($B167,6,1),"0123456789")-1,"")</f>
        <v/>
      </c>
      <c r="M167">
        <f>IF($F167=1,FIND(MID($B167,7,1),"0123456789")-1,"")</f>
        <v/>
      </c>
      <c r="N167">
        <f>IF($F167=1,FIND(MID($B167,8,1),"0123456789")-1,"")</f>
        <v/>
      </c>
      <c r="O167">
        <f>IF($F167=1,FIND(MID($B167,9,1),"0123456789")-1,"")</f>
        <v/>
      </c>
      <c r="P167">
        <f>IF($F167=1,FIND(MID($B167,10,1),"0123456789")-1,"")</f>
        <v/>
      </c>
      <c r="Q167">
        <f>IF($F167=1,SUMPRODUCT($G167:$P167,{1,2,4,8,16,32,64,128,256,512}),"")</f>
        <v/>
      </c>
      <c r="R167">
        <f>IF($F167=1,MOD(MOD($Q167,11),10),"")</f>
        <v/>
      </c>
    </row>
    <row r="168">
      <c r="A168" s="6" t="n"/>
      <c r="B168" s="7">
        <f>IF($A168="","",UPPER(SUBSTITUTE(SUBSTITUTE(SUBSTITUTE(SUBSTITUTE(SUBSTITUTE(SUBSTITUTE($A168," ",""),"-",""),".",""),"/",""),"i","I"),"ı","?")))</f>
        <v/>
      </c>
      <c r="C168" s="8">
        <f>IF($F168=1,$R168,"")</f>
        <v/>
      </c>
      <c r="D168" s="7">
        <f>IF($A168="","",IF($F168=0,"Biçim hatalı",IF(FIND(MID($B168,11,1),"0123456789")-1=$R168,"Geçerli","Kontrol hanesi hatalı (doğrusu: "&amp;$R168&amp;")")))</f>
        <v/>
      </c>
      <c r="F168">
        <f>IF($A168="","",IF(AND(LEN($B168)=11,SUMPRODUCT(--ISNUMBER(FIND(MID($B168,{1,2,3},1),"ABCDEFGHIJKLMNOPQRSTUVWXYZ")))=3,ISNUMBER(FIND(MID($B168,4,1),"UJZ")),SUMPRODUCT(--ISNUMBER(FIND(MID($B168,{5,6,7,8,9,10,11},1),"0123456789")))=7),1,0))</f>
        <v/>
      </c>
      <c r="G168">
        <f>IF($F168=1,INDEX({10,12,13,14,15,16,17,18,19,20,21,23,24,25,26,27,28,29,30,31,32,34,35,36,37,38},1,FIND(MID($B168,1,1),"ABCDEFGHIJKLMNOPQRSTUVWXYZ")),"")</f>
        <v/>
      </c>
      <c r="H168">
        <f>IF($F168=1,INDEX({10,12,13,14,15,16,17,18,19,20,21,23,24,25,26,27,28,29,30,31,32,34,35,36,37,38},1,FIND(MID($B168,2,1),"ABCDEFGHIJKLMNOPQRSTUVWXYZ")),"")</f>
        <v/>
      </c>
      <c r="I168">
        <f>IF($F168=1,INDEX({10,12,13,14,15,16,17,18,19,20,21,23,24,25,26,27,28,29,30,31,32,34,35,36,37,38},1,FIND(MID($B168,3,1),"ABCDEFGHIJKLMNOPQRSTUVWXYZ")),"")</f>
        <v/>
      </c>
      <c r="J168">
        <f>IF($F168=1,INDEX({10,12,13,14,15,16,17,18,19,20,21,23,24,25,26,27,28,29,30,31,32,34,35,36,37,38},1,FIND(MID($B168,4,1),"ABCDEFGHIJKLMNOPQRSTUVWXYZ")),"")</f>
        <v/>
      </c>
      <c r="K168">
        <f>IF($F168=1,FIND(MID($B168,5,1),"0123456789")-1,"")</f>
        <v/>
      </c>
      <c r="L168">
        <f>IF($F168=1,FIND(MID($B168,6,1),"0123456789")-1,"")</f>
        <v/>
      </c>
      <c r="M168">
        <f>IF($F168=1,FIND(MID($B168,7,1),"0123456789")-1,"")</f>
        <v/>
      </c>
      <c r="N168">
        <f>IF($F168=1,FIND(MID($B168,8,1),"0123456789")-1,"")</f>
        <v/>
      </c>
      <c r="O168">
        <f>IF($F168=1,FIND(MID($B168,9,1),"0123456789")-1,"")</f>
        <v/>
      </c>
      <c r="P168">
        <f>IF($F168=1,FIND(MID($B168,10,1),"0123456789")-1,"")</f>
        <v/>
      </c>
      <c r="Q168">
        <f>IF($F168=1,SUMPRODUCT($G168:$P168,{1,2,4,8,16,32,64,128,256,512}),"")</f>
        <v/>
      </c>
      <c r="R168">
        <f>IF($F168=1,MOD(MOD($Q168,11),10),"")</f>
        <v/>
      </c>
    </row>
    <row r="169">
      <c r="A169" s="6" t="n"/>
      <c r="B169" s="7">
        <f>IF($A169="","",UPPER(SUBSTITUTE(SUBSTITUTE(SUBSTITUTE(SUBSTITUTE(SUBSTITUTE(SUBSTITUTE($A169," ",""),"-",""),".",""),"/",""),"i","I"),"ı","?")))</f>
        <v/>
      </c>
      <c r="C169" s="8">
        <f>IF($F169=1,$R169,"")</f>
        <v/>
      </c>
      <c r="D169" s="7">
        <f>IF($A169="","",IF($F169=0,"Biçim hatalı",IF(FIND(MID($B169,11,1),"0123456789")-1=$R169,"Geçerli","Kontrol hanesi hatalı (doğrusu: "&amp;$R169&amp;")")))</f>
        <v/>
      </c>
      <c r="F169">
        <f>IF($A169="","",IF(AND(LEN($B169)=11,SUMPRODUCT(--ISNUMBER(FIND(MID($B169,{1,2,3},1),"ABCDEFGHIJKLMNOPQRSTUVWXYZ")))=3,ISNUMBER(FIND(MID($B169,4,1),"UJZ")),SUMPRODUCT(--ISNUMBER(FIND(MID($B169,{5,6,7,8,9,10,11},1),"0123456789")))=7),1,0))</f>
        <v/>
      </c>
      <c r="G169">
        <f>IF($F169=1,INDEX({10,12,13,14,15,16,17,18,19,20,21,23,24,25,26,27,28,29,30,31,32,34,35,36,37,38},1,FIND(MID($B169,1,1),"ABCDEFGHIJKLMNOPQRSTUVWXYZ")),"")</f>
        <v/>
      </c>
      <c r="H169">
        <f>IF($F169=1,INDEX({10,12,13,14,15,16,17,18,19,20,21,23,24,25,26,27,28,29,30,31,32,34,35,36,37,38},1,FIND(MID($B169,2,1),"ABCDEFGHIJKLMNOPQRSTUVWXYZ")),"")</f>
        <v/>
      </c>
      <c r="I169">
        <f>IF($F169=1,INDEX({10,12,13,14,15,16,17,18,19,20,21,23,24,25,26,27,28,29,30,31,32,34,35,36,37,38},1,FIND(MID($B169,3,1),"ABCDEFGHIJKLMNOPQRSTUVWXYZ")),"")</f>
        <v/>
      </c>
      <c r="J169">
        <f>IF($F169=1,INDEX({10,12,13,14,15,16,17,18,19,20,21,23,24,25,26,27,28,29,30,31,32,34,35,36,37,38},1,FIND(MID($B169,4,1),"ABCDEFGHIJKLMNOPQRSTUVWXYZ")),"")</f>
        <v/>
      </c>
      <c r="K169">
        <f>IF($F169=1,FIND(MID($B169,5,1),"0123456789")-1,"")</f>
        <v/>
      </c>
      <c r="L169">
        <f>IF($F169=1,FIND(MID($B169,6,1),"0123456789")-1,"")</f>
        <v/>
      </c>
      <c r="M169">
        <f>IF($F169=1,FIND(MID($B169,7,1),"0123456789")-1,"")</f>
        <v/>
      </c>
      <c r="N169">
        <f>IF($F169=1,FIND(MID($B169,8,1),"0123456789")-1,"")</f>
        <v/>
      </c>
      <c r="O169">
        <f>IF($F169=1,FIND(MID($B169,9,1),"0123456789")-1,"")</f>
        <v/>
      </c>
      <c r="P169">
        <f>IF($F169=1,FIND(MID($B169,10,1),"0123456789")-1,"")</f>
        <v/>
      </c>
      <c r="Q169">
        <f>IF($F169=1,SUMPRODUCT($G169:$P169,{1,2,4,8,16,32,64,128,256,512}),"")</f>
        <v/>
      </c>
      <c r="R169">
        <f>IF($F169=1,MOD(MOD($Q169,11),10),"")</f>
        <v/>
      </c>
    </row>
    <row r="170">
      <c r="A170" s="6" t="n"/>
      <c r="B170" s="7">
        <f>IF($A170="","",UPPER(SUBSTITUTE(SUBSTITUTE(SUBSTITUTE(SUBSTITUTE(SUBSTITUTE(SUBSTITUTE($A170," ",""),"-",""),".",""),"/",""),"i","I"),"ı","?")))</f>
        <v/>
      </c>
      <c r="C170" s="8">
        <f>IF($F170=1,$R170,"")</f>
        <v/>
      </c>
      <c r="D170" s="7">
        <f>IF($A170="","",IF($F170=0,"Biçim hatalı",IF(FIND(MID($B170,11,1),"0123456789")-1=$R170,"Geçerli","Kontrol hanesi hatalı (doğrusu: "&amp;$R170&amp;")")))</f>
        <v/>
      </c>
      <c r="F170">
        <f>IF($A170="","",IF(AND(LEN($B170)=11,SUMPRODUCT(--ISNUMBER(FIND(MID($B170,{1,2,3},1),"ABCDEFGHIJKLMNOPQRSTUVWXYZ")))=3,ISNUMBER(FIND(MID($B170,4,1),"UJZ")),SUMPRODUCT(--ISNUMBER(FIND(MID($B170,{5,6,7,8,9,10,11},1),"0123456789")))=7),1,0))</f>
        <v/>
      </c>
      <c r="G170">
        <f>IF($F170=1,INDEX({10,12,13,14,15,16,17,18,19,20,21,23,24,25,26,27,28,29,30,31,32,34,35,36,37,38},1,FIND(MID($B170,1,1),"ABCDEFGHIJKLMNOPQRSTUVWXYZ")),"")</f>
        <v/>
      </c>
      <c r="H170">
        <f>IF($F170=1,INDEX({10,12,13,14,15,16,17,18,19,20,21,23,24,25,26,27,28,29,30,31,32,34,35,36,37,38},1,FIND(MID($B170,2,1),"ABCDEFGHIJKLMNOPQRSTUVWXYZ")),"")</f>
        <v/>
      </c>
      <c r="I170">
        <f>IF($F170=1,INDEX({10,12,13,14,15,16,17,18,19,20,21,23,24,25,26,27,28,29,30,31,32,34,35,36,37,38},1,FIND(MID($B170,3,1),"ABCDEFGHIJKLMNOPQRSTUVWXYZ")),"")</f>
        <v/>
      </c>
      <c r="J170">
        <f>IF($F170=1,INDEX({10,12,13,14,15,16,17,18,19,20,21,23,24,25,26,27,28,29,30,31,32,34,35,36,37,38},1,FIND(MID($B170,4,1),"ABCDEFGHIJKLMNOPQRSTUVWXYZ")),"")</f>
        <v/>
      </c>
      <c r="K170">
        <f>IF($F170=1,FIND(MID($B170,5,1),"0123456789")-1,"")</f>
        <v/>
      </c>
      <c r="L170">
        <f>IF($F170=1,FIND(MID($B170,6,1),"0123456789")-1,"")</f>
        <v/>
      </c>
      <c r="M170">
        <f>IF($F170=1,FIND(MID($B170,7,1),"0123456789")-1,"")</f>
        <v/>
      </c>
      <c r="N170">
        <f>IF($F170=1,FIND(MID($B170,8,1),"0123456789")-1,"")</f>
        <v/>
      </c>
      <c r="O170">
        <f>IF($F170=1,FIND(MID($B170,9,1),"0123456789")-1,"")</f>
        <v/>
      </c>
      <c r="P170">
        <f>IF($F170=1,FIND(MID($B170,10,1),"0123456789")-1,"")</f>
        <v/>
      </c>
      <c r="Q170">
        <f>IF($F170=1,SUMPRODUCT($G170:$P170,{1,2,4,8,16,32,64,128,256,512}),"")</f>
        <v/>
      </c>
      <c r="R170">
        <f>IF($F170=1,MOD(MOD($Q170,11),10),"")</f>
        <v/>
      </c>
    </row>
    <row r="171">
      <c r="A171" s="6" t="n"/>
      <c r="B171" s="7">
        <f>IF($A171="","",UPPER(SUBSTITUTE(SUBSTITUTE(SUBSTITUTE(SUBSTITUTE(SUBSTITUTE(SUBSTITUTE($A171," ",""),"-",""),".",""),"/",""),"i","I"),"ı","?")))</f>
        <v/>
      </c>
      <c r="C171" s="8">
        <f>IF($F171=1,$R171,"")</f>
        <v/>
      </c>
      <c r="D171" s="7">
        <f>IF($A171="","",IF($F171=0,"Biçim hatalı",IF(FIND(MID($B171,11,1),"0123456789")-1=$R171,"Geçerli","Kontrol hanesi hatalı (doğrusu: "&amp;$R171&amp;")")))</f>
        <v/>
      </c>
      <c r="F171">
        <f>IF($A171="","",IF(AND(LEN($B171)=11,SUMPRODUCT(--ISNUMBER(FIND(MID($B171,{1,2,3},1),"ABCDEFGHIJKLMNOPQRSTUVWXYZ")))=3,ISNUMBER(FIND(MID($B171,4,1),"UJZ")),SUMPRODUCT(--ISNUMBER(FIND(MID($B171,{5,6,7,8,9,10,11},1),"0123456789")))=7),1,0))</f>
        <v/>
      </c>
      <c r="G171">
        <f>IF($F171=1,INDEX({10,12,13,14,15,16,17,18,19,20,21,23,24,25,26,27,28,29,30,31,32,34,35,36,37,38},1,FIND(MID($B171,1,1),"ABCDEFGHIJKLMNOPQRSTUVWXYZ")),"")</f>
        <v/>
      </c>
      <c r="H171">
        <f>IF($F171=1,INDEX({10,12,13,14,15,16,17,18,19,20,21,23,24,25,26,27,28,29,30,31,32,34,35,36,37,38},1,FIND(MID($B171,2,1),"ABCDEFGHIJKLMNOPQRSTUVWXYZ")),"")</f>
        <v/>
      </c>
      <c r="I171">
        <f>IF($F171=1,INDEX({10,12,13,14,15,16,17,18,19,20,21,23,24,25,26,27,28,29,30,31,32,34,35,36,37,38},1,FIND(MID($B171,3,1),"ABCDEFGHIJKLMNOPQRSTUVWXYZ")),"")</f>
        <v/>
      </c>
      <c r="J171">
        <f>IF($F171=1,INDEX({10,12,13,14,15,16,17,18,19,20,21,23,24,25,26,27,28,29,30,31,32,34,35,36,37,38},1,FIND(MID($B171,4,1),"ABCDEFGHIJKLMNOPQRSTUVWXYZ")),"")</f>
        <v/>
      </c>
      <c r="K171">
        <f>IF($F171=1,FIND(MID($B171,5,1),"0123456789")-1,"")</f>
        <v/>
      </c>
      <c r="L171">
        <f>IF($F171=1,FIND(MID($B171,6,1),"0123456789")-1,"")</f>
        <v/>
      </c>
      <c r="M171">
        <f>IF($F171=1,FIND(MID($B171,7,1),"0123456789")-1,"")</f>
        <v/>
      </c>
      <c r="N171">
        <f>IF($F171=1,FIND(MID($B171,8,1),"0123456789")-1,"")</f>
        <v/>
      </c>
      <c r="O171">
        <f>IF($F171=1,FIND(MID($B171,9,1),"0123456789")-1,"")</f>
        <v/>
      </c>
      <c r="P171">
        <f>IF($F171=1,FIND(MID($B171,10,1),"0123456789")-1,"")</f>
        <v/>
      </c>
      <c r="Q171">
        <f>IF($F171=1,SUMPRODUCT($G171:$P171,{1,2,4,8,16,32,64,128,256,512}),"")</f>
        <v/>
      </c>
      <c r="R171">
        <f>IF($F171=1,MOD(MOD($Q171,11),10),"")</f>
        <v/>
      </c>
    </row>
    <row r="172">
      <c r="A172" s="6" t="n"/>
      <c r="B172" s="7">
        <f>IF($A172="","",UPPER(SUBSTITUTE(SUBSTITUTE(SUBSTITUTE(SUBSTITUTE(SUBSTITUTE(SUBSTITUTE($A172," ",""),"-",""),".",""),"/",""),"i","I"),"ı","?")))</f>
        <v/>
      </c>
      <c r="C172" s="8">
        <f>IF($F172=1,$R172,"")</f>
        <v/>
      </c>
      <c r="D172" s="7">
        <f>IF($A172="","",IF($F172=0,"Biçim hatalı",IF(FIND(MID($B172,11,1),"0123456789")-1=$R172,"Geçerli","Kontrol hanesi hatalı (doğrusu: "&amp;$R172&amp;")")))</f>
        <v/>
      </c>
      <c r="F172">
        <f>IF($A172="","",IF(AND(LEN($B172)=11,SUMPRODUCT(--ISNUMBER(FIND(MID($B172,{1,2,3},1),"ABCDEFGHIJKLMNOPQRSTUVWXYZ")))=3,ISNUMBER(FIND(MID($B172,4,1),"UJZ")),SUMPRODUCT(--ISNUMBER(FIND(MID($B172,{5,6,7,8,9,10,11},1),"0123456789")))=7),1,0))</f>
        <v/>
      </c>
      <c r="G172">
        <f>IF($F172=1,INDEX({10,12,13,14,15,16,17,18,19,20,21,23,24,25,26,27,28,29,30,31,32,34,35,36,37,38},1,FIND(MID($B172,1,1),"ABCDEFGHIJKLMNOPQRSTUVWXYZ")),"")</f>
        <v/>
      </c>
      <c r="H172">
        <f>IF($F172=1,INDEX({10,12,13,14,15,16,17,18,19,20,21,23,24,25,26,27,28,29,30,31,32,34,35,36,37,38},1,FIND(MID($B172,2,1),"ABCDEFGHIJKLMNOPQRSTUVWXYZ")),"")</f>
        <v/>
      </c>
      <c r="I172">
        <f>IF($F172=1,INDEX({10,12,13,14,15,16,17,18,19,20,21,23,24,25,26,27,28,29,30,31,32,34,35,36,37,38},1,FIND(MID($B172,3,1),"ABCDEFGHIJKLMNOPQRSTUVWXYZ")),"")</f>
        <v/>
      </c>
      <c r="J172">
        <f>IF($F172=1,INDEX({10,12,13,14,15,16,17,18,19,20,21,23,24,25,26,27,28,29,30,31,32,34,35,36,37,38},1,FIND(MID($B172,4,1),"ABCDEFGHIJKLMNOPQRSTUVWXYZ")),"")</f>
        <v/>
      </c>
      <c r="K172">
        <f>IF($F172=1,FIND(MID($B172,5,1),"0123456789")-1,"")</f>
        <v/>
      </c>
      <c r="L172">
        <f>IF($F172=1,FIND(MID($B172,6,1),"0123456789")-1,"")</f>
        <v/>
      </c>
      <c r="M172">
        <f>IF($F172=1,FIND(MID($B172,7,1),"0123456789")-1,"")</f>
        <v/>
      </c>
      <c r="N172">
        <f>IF($F172=1,FIND(MID($B172,8,1),"0123456789")-1,"")</f>
        <v/>
      </c>
      <c r="O172">
        <f>IF($F172=1,FIND(MID($B172,9,1),"0123456789")-1,"")</f>
        <v/>
      </c>
      <c r="P172">
        <f>IF($F172=1,FIND(MID($B172,10,1),"0123456789")-1,"")</f>
        <v/>
      </c>
      <c r="Q172">
        <f>IF($F172=1,SUMPRODUCT($G172:$P172,{1,2,4,8,16,32,64,128,256,512}),"")</f>
        <v/>
      </c>
      <c r="R172">
        <f>IF($F172=1,MOD(MOD($Q172,11),10),"")</f>
        <v/>
      </c>
    </row>
    <row r="173">
      <c r="A173" s="6" t="n"/>
      <c r="B173" s="7">
        <f>IF($A173="","",UPPER(SUBSTITUTE(SUBSTITUTE(SUBSTITUTE(SUBSTITUTE(SUBSTITUTE(SUBSTITUTE($A173," ",""),"-",""),".",""),"/",""),"i","I"),"ı","?")))</f>
        <v/>
      </c>
      <c r="C173" s="8">
        <f>IF($F173=1,$R173,"")</f>
        <v/>
      </c>
      <c r="D173" s="7">
        <f>IF($A173="","",IF($F173=0,"Biçim hatalı",IF(FIND(MID($B173,11,1),"0123456789")-1=$R173,"Geçerli","Kontrol hanesi hatalı (doğrusu: "&amp;$R173&amp;")")))</f>
        <v/>
      </c>
      <c r="F173">
        <f>IF($A173="","",IF(AND(LEN($B173)=11,SUMPRODUCT(--ISNUMBER(FIND(MID($B173,{1,2,3},1),"ABCDEFGHIJKLMNOPQRSTUVWXYZ")))=3,ISNUMBER(FIND(MID($B173,4,1),"UJZ")),SUMPRODUCT(--ISNUMBER(FIND(MID($B173,{5,6,7,8,9,10,11},1),"0123456789")))=7),1,0))</f>
        <v/>
      </c>
      <c r="G173">
        <f>IF($F173=1,INDEX({10,12,13,14,15,16,17,18,19,20,21,23,24,25,26,27,28,29,30,31,32,34,35,36,37,38},1,FIND(MID($B173,1,1),"ABCDEFGHIJKLMNOPQRSTUVWXYZ")),"")</f>
        <v/>
      </c>
      <c r="H173">
        <f>IF($F173=1,INDEX({10,12,13,14,15,16,17,18,19,20,21,23,24,25,26,27,28,29,30,31,32,34,35,36,37,38},1,FIND(MID($B173,2,1),"ABCDEFGHIJKLMNOPQRSTUVWXYZ")),"")</f>
        <v/>
      </c>
      <c r="I173">
        <f>IF($F173=1,INDEX({10,12,13,14,15,16,17,18,19,20,21,23,24,25,26,27,28,29,30,31,32,34,35,36,37,38},1,FIND(MID($B173,3,1),"ABCDEFGHIJKLMNOPQRSTUVWXYZ")),"")</f>
        <v/>
      </c>
      <c r="J173">
        <f>IF($F173=1,INDEX({10,12,13,14,15,16,17,18,19,20,21,23,24,25,26,27,28,29,30,31,32,34,35,36,37,38},1,FIND(MID($B173,4,1),"ABCDEFGHIJKLMNOPQRSTUVWXYZ")),"")</f>
        <v/>
      </c>
      <c r="K173">
        <f>IF($F173=1,FIND(MID($B173,5,1),"0123456789")-1,"")</f>
        <v/>
      </c>
      <c r="L173">
        <f>IF($F173=1,FIND(MID($B173,6,1),"0123456789")-1,"")</f>
        <v/>
      </c>
      <c r="M173">
        <f>IF($F173=1,FIND(MID($B173,7,1),"0123456789")-1,"")</f>
        <v/>
      </c>
      <c r="N173">
        <f>IF($F173=1,FIND(MID($B173,8,1),"0123456789")-1,"")</f>
        <v/>
      </c>
      <c r="O173">
        <f>IF($F173=1,FIND(MID($B173,9,1),"0123456789")-1,"")</f>
        <v/>
      </c>
      <c r="P173">
        <f>IF($F173=1,FIND(MID($B173,10,1),"0123456789")-1,"")</f>
        <v/>
      </c>
      <c r="Q173">
        <f>IF($F173=1,SUMPRODUCT($G173:$P173,{1,2,4,8,16,32,64,128,256,512}),"")</f>
        <v/>
      </c>
      <c r="R173">
        <f>IF($F173=1,MOD(MOD($Q173,11),10),"")</f>
        <v/>
      </c>
    </row>
    <row r="174">
      <c r="A174" s="6" t="n"/>
      <c r="B174" s="7">
        <f>IF($A174="","",UPPER(SUBSTITUTE(SUBSTITUTE(SUBSTITUTE(SUBSTITUTE(SUBSTITUTE(SUBSTITUTE($A174," ",""),"-",""),".",""),"/",""),"i","I"),"ı","?")))</f>
        <v/>
      </c>
      <c r="C174" s="8">
        <f>IF($F174=1,$R174,"")</f>
        <v/>
      </c>
      <c r="D174" s="7">
        <f>IF($A174="","",IF($F174=0,"Biçim hatalı",IF(FIND(MID($B174,11,1),"0123456789")-1=$R174,"Geçerli","Kontrol hanesi hatalı (doğrusu: "&amp;$R174&amp;")")))</f>
        <v/>
      </c>
      <c r="F174">
        <f>IF($A174="","",IF(AND(LEN($B174)=11,SUMPRODUCT(--ISNUMBER(FIND(MID($B174,{1,2,3},1),"ABCDEFGHIJKLMNOPQRSTUVWXYZ")))=3,ISNUMBER(FIND(MID($B174,4,1),"UJZ")),SUMPRODUCT(--ISNUMBER(FIND(MID($B174,{5,6,7,8,9,10,11},1),"0123456789")))=7),1,0))</f>
        <v/>
      </c>
      <c r="G174">
        <f>IF($F174=1,INDEX({10,12,13,14,15,16,17,18,19,20,21,23,24,25,26,27,28,29,30,31,32,34,35,36,37,38},1,FIND(MID($B174,1,1),"ABCDEFGHIJKLMNOPQRSTUVWXYZ")),"")</f>
        <v/>
      </c>
      <c r="H174">
        <f>IF($F174=1,INDEX({10,12,13,14,15,16,17,18,19,20,21,23,24,25,26,27,28,29,30,31,32,34,35,36,37,38},1,FIND(MID($B174,2,1),"ABCDEFGHIJKLMNOPQRSTUVWXYZ")),"")</f>
        <v/>
      </c>
      <c r="I174">
        <f>IF($F174=1,INDEX({10,12,13,14,15,16,17,18,19,20,21,23,24,25,26,27,28,29,30,31,32,34,35,36,37,38},1,FIND(MID($B174,3,1),"ABCDEFGHIJKLMNOPQRSTUVWXYZ")),"")</f>
        <v/>
      </c>
      <c r="J174">
        <f>IF($F174=1,INDEX({10,12,13,14,15,16,17,18,19,20,21,23,24,25,26,27,28,29,30,31,32,34,35,36,37,38},1,FIND(MID($B174,4,1),"ABCDEFGHIJKLMNOPQRSTUVWXYZ")),"")</f>
        <v/>
      </c>
      <c r="K174">
        <f>IF($F174=1,FIND(MID($B174,5,1),"0123456789")-1,"")</f>
        <v/>
      </c>
      <c r="L174">
        <f>IF($F174=1,FIND(MID($B174,6,1),"0123456789")-1,"")</f>
        <v/>
      </c>
      <c r="M174">
        <f>IF($F174=1,FIND(MID($B174,7,1),"0123456789")-1,"")</f>
        <v/>
      </c>
      <c r="N174">
        <f>IF($F174=1,FIND(MID($B174,8,1),"0123456789")-1,"")</f>
        <v/>
      </c>
      <c r="O174">
        <f>IF($F174=1,FIND(MID($B174,9,1),"0123456789")-1,"")</f>
        <v/>
      </c>
      <c r="P174">
        <f>IF($F174=1,FIND(MID($B174,10,1),"0123456789")-1,"")</f>
        <v/>
      </c>
      <c r="Q174">
        <f>IF($F174=1,SUMPRODUCT($G174:$P174,{1,2,4,8,16,32,64,128,256,512}),"")</f>
        <v/>
      </c>
      <c r="R174">
        <f>IF($F174=1,MOD(MOD($Q174,11),10),"")</f>
        <v/>
      </c>
    </row>
    <row r="175">
      <c r="A175" s="6" t="n"/>
      <c r="B175" s="7">
        <f>IF($A175="","",UPPER(SUBSTITUTE(SUBSTITUTE(SUBSTITUTE(SUBSTITUTE(SUBSTITUTE(SUBSTITUTE($A175," ",""),"-",""),".",""),"/",""),"i","I"),"ı","?")))</f>
        <v/>
      </c>
      <c r="C175" s="8">
        <f>IF($F175=1,$R175,"")</f>
        <v/>
      </c>
      <c r="D175" s="7">
        <f>IF($A175="","",IF($F175=0,"Biçim hatalı",IF(FIND(MID($B175,11,1),"0123456789")-1=$R175,"Geçerli","Kontrol hanesi hatalı (doğrusu: "&amp;$R175&amp;")")))</f>
        <v/>
      </c>
      <c r="F175">
        <f>IF($A175="","",IF(AND(LEN($B175)=11,SUMPRODUCT(--ISNUMBER(FIND(MID($B175,{1,2,3},1),"ABCDEFGHIJKLMNOPQRSTUVWXYZ")))=3,ISNUMBER(FIND(MID($B175,4,1),"UJZ")),SUMPRODUCT(--ISNUMBER(FIND(MID($B175,{5,6,7,8,9,10,11},1),"0123456789")))=7),1,0))</f>
        <v/>
      </c>
      <c r="G175">
        <f>IF($F175=1,INDEX({10,12,13,14,15,16,17,18,19,20,21,23,24,25,26,27,28,29,30,31,32,34,35,36,37,38},1,FIND(MID($B175,1,1),"ABCDEFGHIJKLMNOPQRSTUVWXYZ")),"")</f>
        <v/>
      </c>
      <c r="H175">
        <f>IF($F175=1,INDEX({10,12,13,14,15,16,17,18,19,20,21,23,24,25,26,27,28,29,30,31,32,34,35,36,37,38},1,FIND(MID($B175,2,1),"ABCDEFGHIJKLMNOPQRSTUVWXYZ")),"")</f>
        <v/>
      </c>
      <c r="I175">
        <f>IF($F175=1,INDEX({10,12,13,14,15,16,17,18,19,20,21,23,24,25,26,27,28,29,30,31,32,34,35,36,37,38},1,FIND(MID($B175,3,1),"ABCDEFGHIJKLMNOPQRSTUVWXYZ")),"")</f>
        <v/>
      </c>
      <c r="J175">
        <f>IF($F175=1,INDEX({10,12,13,14,15,16,17,18,19,20,21,23,24,25,26,27,28,29,30,31,32,34,35,36,37,38},1,FIND(MID($B175,4,1),"ABCDEFGHIJKLMNOPQRSTUVWXYZ")),"")</f>
        <v/>
      </c>
      <c r="K175">
        <f>IF($F175=1,FIND(MID($B175,5,1),"0123456789")-1,"")</f>
        <v/>
      </c>
      <c r="L175">
        <f>IF($F175=1,FIND(MID($B175,6,1),"0123456789")-1,"")</f>
        <v/>
      </c>
      <c r="M175">
        <f>IF($F175=1,FIND(MID($B175,7,1),"0123456789")-1,"")</f>
        <v/>
      </c>
      <c r="N175">
        <f>IF($F175=1,FIND(MID($B175,8,1),"0123456789")-1,"")</f>
        <v/>
      </c>
      <c r="O175">
        <f>IF($F175=1,FIND(MID($B175,9,1),"0123456789")-1,"")</f>
        <v/>
      </c>
      <c r="P175">
        <f>IF($F175=1,FIND(MID($B175,10,1),"0123456789")-1,"")</f>
        <v/>
      </c>
      <c r="Q175">
        <f>IF($F175=1,SUMPRODUCT($G175:$P175,{1,2,4,8,16,32,64,128,256,512}),"")</f>
        <v/>
      </c>
      <c r="R175">
        <f>IF($F175=1,MOD(MOD($Q175,11),10),"")</f>
        <v/>
      </c>
    </row>
    <row r="176">
      <c r="A176" s="6" t="n"/>
      <c r="B176" s="7">
        <f>IF($A176="","",UPPER(SUBSTITUTE(SUBSTITUTE(SUBSTITUTE(SUBSTITUTE(SUBSTITUTE(SUBSTITUTE($A176," ",""),"-",""),".",""),"/",""),"i","I"),"ı","?")))</f>
        <v/>
      </c>
      <c r="C176" s="8">
        <f>IF($F176=1,$R176,"")</f>
        <v/>
      </c>
      <c r="D176" s="7">
        <f>IF($A176="","",IF($F176=0,"Biçim hatalı",IF(FIND(MID($B176,11,1),"0123456789")-1=$R176,"Geçerli","Kontrol hanesi hatalı (doğrusu: "&amp;$R176&amp;")")))</f>
        <v/>
      </c>
      <c r="F176">
        <f>IF($A176="","",IF(AND(LEN($B176)=11,SUMPRODUCT(--ISNUMBER(FIND(MID($B176,{1,2,3},1),"ABCDEFGHIJKLMNOPQRSTUVWXYZ")))=3,ISNUMBER(FIND(MID($B176,4,1),"UJZ")),SUMPRODUCT(--ISNUMBER(FIND(MID($B176,{5,6,7,8,9,10,11},1),"0123456789")))=7),1,0))</f>
        <v/>
      </c>
      <c r="G176">
        <f>IF($F176=1,INDEX({10,12,13,14,15,16,17,18,19,20,21,23,24,25,26,27,28,29,30,31,32,34,35,36,37,38},1,FIND(MID($B176,1,1),"ABCDEFGHIJKLMNOPQRSTUVWXYZ")),"")</f>
        <v/>
      </c>
      <c r="H176">
        <f>IF($F176=1,INDEX({10,12,13,14,15,16,17,18,19,20,21,23,24,25,26,27,28,29,30,31,32,34,35,36,37,38},1,FIND(MID($B176,2,1),"ABCDEFGHIJKLMNOPQRSTUVWXYZ")),"")</f>
        <v/>
      </c>
      <c r="I176">
        <f>IF($F176=1,INDEX({10,12,13,14,15,16,17,18,19,20,21,23,24,25,26,27,28,29,30,31,32,34,35,36,37,38},1,FIND(MID($B176,3,1),"ABCDEFGHIJKLMNOPQRSTUVWXYZ")),"")</f>
        <v/>
      </c>
      <c r="J176">
        <f>IF($F176=1,INDEX({10,12,13,14,15,16,17,18,19,20,21,23,24,25,26,27,28,29,30,31,32,34,35,36,37,38},1,FIND(MID($B176,4,1),"ABCDEFGHIJKLMNOPQRSTUVWXYZ")),"")</f>
        <v/>
      </c>
      <c r="K176">
        <f>IF($F176=1,FIND(MID($B176,5,1),"0123456789")-1,"")</f>
        <v/>
      </c>
      <c r="L176">
        <f>IF($F176=1,FIND(MID($B176,6,1),"0123456789")-1,"")</f>
        <v/>
      </c>
      <c r="M176">
        <f>IF($F176=1,FIND(MID($B176,7,1),"0123456789")-1,"")</f>
        <v/>
      </c>
      <c r="N176">
        <f>IF($F176=1,FIND(MID($B176,8,1),"0123456789")-1,"")</f>
        <v/>
      </c>
      <c r="O176">
        <f>IF($F176=1,FIND(MID($B176,9,1),"0123456789")-1,"")</f>
        <v/>
      </c>
      <c r="P176">
        <f>IF($F176=1,FIND(MID($B176,10,1),"0123456789")-1,"")</f>
        <v/>
      </c>
      <c r="Q176">
        <f>IF($F176=1,SUMPRODUCT($G176:$P176,{1,2,4,8,16,32,64,128,256,512}),"")</f>
        <v/>
      </c>
      <c r="R176">
        <f>IF($F176=1,MOD(MOD($Q176,11),10),"")</f>
        <v/>
      </c>
    </row>
    <row r="177">
      <c r="A177" s="6" t="n"/>
      <c r="B177" s="7">
        <f>IF($A177="","",UPPER(SUBSTITUTE(SUBSTITUTE(SUBSTITUTE(SUBSTITUTE(SUBSTITUTE(SUBSTITUTE($A177," ",""),"-",""),".",""),"/",""),"i","I"),"ı","?")))</f>
        <v/>
      </c>
      <c r="C177" s="8">
        <f>IF($F177=1,$R177,"")</f>
        <v/>
      </c>
      <c r="D177" s="7">
        <f>IF($A177="","",IF($F177=0,"Biçim hatalı",IF(FIND(MID($B177,11,1),"0123456789")-1=$R177,"Geçerli","Kontrol hanesi hatalı (doğrusu: "&amp;$R177&amp;")")))</f>
        <v/>
      </c>
      <c r="F177">
        <f>IF($A177="","",IF(AND(LEN($B177)=11,SUMPRODUCT(--ISNUMBER(FIND(MID($B177,{1,2,3},1),"ABCDEFGHIJKLMNOPQRSTUVWXYZ")))=3,ISNUMBER(FIND(MID($B177,4,1),"UJZ")),SUMPRODUCT(--ISNUMBER(FIND(MID($B177,{5,6,7,8,9,10,11},1),"0123456789")))=7),1,0))</f>
        <v/>
      </c>
      <c r="G177">
        <f>IF($F177=1,INDEX({10,12,13,14,15,16,17,18,19,20,21,23,24,25,26,27,28,29,30,31,32,34,35,36,37,38},1,FIND(MID($B177,1,1),"ABCDEFGHIJKLMNOPQRSTUVWXYZ")),"")</f>
        <v/>
      </c>
      <c r="H177">
        <f>IF($F177=1,INDEX({10,12,13,14,15,16,17,18,19,20,21,23,24,25,26,27,28,29,30,31,32,34,35,36,37,38},1,FIND(MID($B177,2,1),"ABCDEFGHIJKLMNOPQRSTUVWXYZ")),"")</f>
        <v/>
      </c>
      <c r="I177">
        <f>IF($F177=1,INDEX({10,12,13,14,15,16,17,18,19,20,21,23,24,25,26,27,28,29,30,31,32,34,35,36,37,38},1,FIND(MID($B177,3,1),"ABCDEFGHIJKLMNOPQRSTUVWXYZ")),"")</f>
        <v/>
      </c>
      <c r="J177">
        <f>IF($F177=1,INDEX({10,12,13,14,15,16,17,18,19,20,21,23,24,25,26,27,28,29,30,31,32,34,35,36,37,38},1,FIND(MID($B177,4,1),"ABCDEFGHIJKLMNOPQRSTUVWXYZ")),"")</f>
        <v/>
      </c>
      <c r="K177">
        <f>IF($F177=1,FIND(MID($B177,5,1),"0123456789")-1,"")</f>
        <v/>
      </c>
      <c r="L177">
        <f>IF($F177=1,FIND(MID($B177,6,1),"0123456789")-1,"")</f>
        <v/>
      </c>
      <c r="M177">
        <f>IF($F177=1,FIND(MID($B177,7,1),"0123456789")-1,"")</f>
        <v/>
      </c>
      <c r="N177">
        <f>IF($F177=1,FIND(MID($B177,8,1),"0123456789")-1,"")</f>
        <v/>
      </c>
      <c r="O177">
        <f>IF($F177=1,FIND(MID($B177,9,1),"0123456789")-1,"")</f>
        <v/>
      </c>
      <c r="P177">
        <f>IF($F177=1,FIND(MID($B177,10,1),"0123456789")-1,"")</f>
        <v/>
      </c>
      <c r="Q177">
        <f>IF($F177=1,SUMPRODUCT($G177:$P177,{1,2,4,8,16,32,64,128,256,512}),"")</f>
        <v/>
      </c>
      <c r="R177">
        <f>IF($F177=1,MOD(MOD($Q177,11),10),"")</f>
        <v/>
      </c>
    </row>
    <row r="178">
      <c r="A178" s="6" t="n"/>
      <c r="B178" s="7">
        <f>IF($A178="","",UPPER(SUBSTITUTE(SUBSTITUTE(SUBSTITUTE(SUBSTITUTE(SUBSTITUTE(SUBSTITUTE($A178," ",""),"-",""),".",""),"/",""),"i","I"),"ı","?")))</f>
        <v/>
      </c>
      <c r="C178" s="8">
        <f>IF($F178=1,$R178,"")</f>
        <v/>
      </c>
      <c r="D178" s="7">
        <f>IF($A178="","",IF($F178=0,"Biçim hatalı",IF(FIND(MID($B178,11,1),"0123456789")-1=$R178,"Geçerli","Kontrol hanesi hatalı (doğrusu: "&amp;$R178&amp;")")))</f>
        <v/>
      </c>
      <c r="F178">
        <f>IF($A178="","",IF(AND(LEN($B178)=11,SUMPRODUCT(--ISNUMBER(FIND(MID($B178,{1,2,3},1),"ABCDEFGHIJKLMNOPQRSTUVWXYZ")))=3,ISNUMBER(FIND(MID($B178,4,1),"UJZ")),SUMPRODUCT(--ISNUMBER(FIND(MID($B178,{5,6,7,8,9,10,11},1),"0123456789")))=7),1,0))</f>
        <v/>
      </c>
      <c r="G178">
        <f>IF($F178=1,INDEX({10,12,13,14,15,16,17,18,19,20,21,23,24,25,26,27,28,29,30,31,32,34,35,36,37,38},1,FIND(MID($B178,1,1),"ABCDEFGHIJKLMNOPQRSTUVWXYZ")),"")</f>
        <v/>
      </c>
      <c r="H178">
        <f>IF($F178=1,INDEX({10,12,13,14,15,16,17,18,19,20,21,23,24,25,26,27,28,29,30,31,32,34,35,36,37,38},1,FIND(MID($B178,2,1),"ABCDEFGHIJKLMNOPQRSTUVWXYZ")),"")</f>
        <v/>
      </c>
      <c r="I178">
        <f>IF($F178=1,INDEX({10,12,13,14,15,16,17,18,19,20,21,23,24,25,26,27,28,29,30,31,32,34,35,36,37,38},1,FIND(MID($B178,3,1),"ABCDEFGHIJKLMNOPQRSTUVWXYZ")),"")</f>
        <v/>
      </c>
      <c r="J178">
        <f>IF($F178=1,INDEX({10,12,13,14,15,16,17,18,19,20,21,23,24,25,26,27,28,29,30,31,32,34,35,36,37,38},1,FIND(MID($B178,4,1),"ABCDEFGHIJKLMNOPQRSTUVWXYZ")),"")</f>
        <v/>
      </c>
      <c r="K178">
        <f>IF($F178=1,FIND(MID($B178,5,1),"0123456789")-1,"")</f>
        <v/>
      </c>
      <c r="L178">
        <f>IF($F178=1,FIND(MID($B178,6,1),"0123456789")-1,"")</f>
        <v/>
      </c>
      <c r="M178">
        <f>IF($F178=1,FIND(MID($B178,7,1),"0123456789")-1,"")</f>
        <v/>
      </c>
      <c r="N178">
        <f>IF($F178=1,FIND(MID($B178,8,1),"0123456789")-1,"")</f>
        <v/>
      </c>
      <c r="O178">
        <f>IF($F178=1,FIND(MID($B178,9,1),"0123456789")-1,"")</f>
        <v/>
      </c>
      <c r="P178">
        <f>IF($F178=1,FIND(MID($B178,10,1),"0123456789")-1,"")</f>
        <v/>
      </c>
      <c r="Q178">
        <f>IF($F178=1,SUMPRODUCT($G178:$P178,{1,2,4,8,16,32,64,128,256,512}),"")</f>
        <v/>
      </c>
      <c r="R178">
        <f>IF($F178=1,MOD(MOD($Q178,11),10),"")</f>
        <v/>
      </c>
    </row>
    <row r="179">
      <c r="A179" s="6" t="n"/>
      <c r="B179" s="7">
        <f>IF($A179="","",UPPER(SUBSTITUTE(SUBSTITUTE(SUBSTITUTE(SUBSTITUTE(SUBSTITUTE(SUBSTITUTE($A179," ",""),"-",""),".",""),"/",""),"i","I"),"ı","?")))</f>
        <v/>
      </c>
      <c r="C179" s="8">
        <f>IF($F179=1,$R179,"")</f>
        <v/>
      </c>
      <c r="D179" s="7">
        <f>IF($A179="","",IF($F179=0,"Biçim hatalı",IF(FIND(MID($B179,11,1),"0123456789")-1=$R179,"Geçerli","Kontrol hanesi hatalı (doğrusu: "&amp;$R179&amp;")")))</f>
        <v/>
      </c>
      <c r="F179">
        <f>IF($A179="","",IF(AND(LEN($B179)=11,SUMPRODUCT(--ISNUMBER(FIND(MID($B179,{1,2,3},1),"ABCDEFGHIJKLMNOPQRSTUVWXYZ")))=3,ISNUMBER(FIND(MID($B179,4,1),"UJZ")),SUMPRODUCT(--ISNUMBER(FIND(MID($B179,{5,6,7,8,9,10,11},1),"0123456789")))=7),1,0))</f>
        <v/>
      </c>
      <c r="G179">
        <f>IF($F179=1,INDEX({10,12,13,14,15,16,17,18,19,20,21,23,24,25,26,27,28,29,30,31,32,34,35,36,37,38},1,FIND(MID($B179,1,1),"ABCDEFGHIJKLMNOPQRSTUVWXYZ")),"")</f>
        <v/>
      </c>
      <c r="H179">
        <f>IF($F179=1,INDEX({10,12,13,14,15,16,17,18,19,20,21,23,24,25,26,27,28,29,30,31,32,34,35,36,37,38},1,FIND(MID($B179,2,1),"ABCDEFGHIJKLMNOPQRSTUVWXYZ")),"")</f>
        <v/>
      </c>
      <c r="I179">
        <f>IF($F179=1,INDEX({10,12,13,14,15,16,17,18,19,20,21,23,24,25,26,27,28,29,30,31,32,34,35,36,37,38},1,FIND(MID($B179,3,1),"ABCDEFGHIJKLMNOPQRSTUVWXYZ")),"")</f>
        <v/>
      </c>
      <c r="J179">
        <f>IF($F179=1,INDEX({10,12,13,14,15,16,17,18,19,20,21,23,24,25,26,27,28,29,30,31,32,34,35,36,37,38},1,FIND(MID($B179,4,1),"ABCDEFGHIJKLMNOPQRSTUVWXYZ")),"")</f>
        <v/>
      </c>
      <c r="K179">
        <f>IF($F179=1,FIND(MID($B179,5,1),"0123456789")-1,"")</f>
        <v/>
      </c>
      <c r="L179">
        <f>IF($F179=1,FIND(MID($B179,6,1),"0123456789")-1,"")</f>
        <v/>
      </c>
      <c r="M179">
        <f>IF($F179=1,FIND(MID($B179,7,1),"0123456789")-1,"")</f>
        <v/>
      </c>
      <c r="N179">
        <f>IF($F179=1,FIND(MID($B179,8,1),"0123456789")-1,"")</f>
        <v/>
      </c>
      <c r="O179">
        <f>IF($F179=1,FIND(MID($B179,9,1),"0123456789")-1,"")</f>
        <v/>
      </c>
      <c r="P179">
        <f>IF($F179=1,FIND(MID($B179,10,1),"0123456789")-1,"")</f>
        <v/>
      </c>
      <c r="Q179">
        <f>IF($F179=1,SUMPRODUCT($G179:$P179,{1,2,4,8,16,32,64,128,256,512}),"")</f>
        <v/>
      </c>
      <c r="R179">
        <f>IF($F179=1,MOD(MOD($Q179,11),10),"")</f>
        <v/>
      </c>
    </row>
    <row r="180">
      <c r="A180" s="6" t="n"/>
      <c r="B180" s="7">
        <f>IF($A180="","",UPPER(SUBSTITUTE(SUBSTITUTE(SUBSTITUTE(SUBSTITUTE(SUBSTITUTE(SUBSTITUTE($A180," ",""),"-",""),".",""),"/",""),"i","I"),"ı","?")))</f>
        <v/>
      </c>
      <c r="C180" s="8">
        <f>IF($F180=1,$R180,"")</f>
        <v/>
      </c>
      <c r="D180" s="7">
        <f>IF($A180="","",IF($F180=0,"Biçim hatalı",IF(FIND(MID($B180,11,1),"0123456789")-1=$R180,"Geçerli","Kontrol hanesi hatalı (doğrusu: "&amp;$R180&amp;")")))</f>
        <v/>
      </c>
      <c r="F180">
        <f>IF($A180="","",IF(AND(LEN($B180)=11,SUMPRODUCT(--ISNUMBER(FIND(MID($B180,{1,2,3},1),"ABCDEFGHIJKLMNOPQRSTUVWXYZ")))=3,ISNUMBER(FIND(MID($B180,4,1),"UJZ")),SUMPRODUCT(--ISNUMBER(FIND(MID($B180,{5,6,7,8,9,10,11},1),"0123456789")))=7),1,0))</f>
        <v/>
      </c>
      <c r="G180">
        <f>IF($F180=1,INDEX({10,12,13,14,15,16,17,18,19,20,21,23,24,25,26,27,28,29,30,31,32,34,35,36,37,38},1,FIND(MID($B180,1,1),"ABCDEFGHIJKLMNOPQRSTUVWXYZ")),"")</f>
        <v/>
      </c>
      <c r="H180">
        <f>IF($F180=1,INDEX({10,12,13,14,15,16,17,18,19,20,21,23,24,25,26,27,28,29,30,31,32,34,35,36,37,38},1,FIND(MID($B180,2,1),"ABCDEFGHIJKLMNOPQRSTUVWXYZ")),"")</f>
        <v/>
      </c>
      <c r="I180">
        <f>IF($F180=1,INDEX({10,12,13,14,15,16,17,18,19,20,21,23,24,25,26,27,28,29,30,31,32,34,35,36,37,38},1,FIND(MID($B180,3,1),"ABCDEFGHIJKLMNOPQRSTUVWXYZ")),"")</f>
        <v/>
      </c>
      <c r="J180">
        <f>IF($F180=1,INDEX({10,12,13,14,15,16,17,18,19,20,21,23,24,25,26,27,28,29,30,31,32,34,35,36,37,38},1,FIND(MID($B180,4,1),"ABCDEFGHIJKLMNOPQRSTUVWXYZ")),"")</f>
        <v/>
      </c>
      <c r="K180">
        <f>IF($F180=1,FIND(MID($B180,5,1),"0123456789")-1,"")</f>
        <v/>
      </c>
      <c r="L180">
        <f>IF($F180=1,FIND(MID($B180,6,1),"0123456789")-1,"")</f>
        <v/>
      </c>
      <c r="M180">
        <f>IF($F180=1,FIND(MID($B180,7,1),"0123456789")-1,"")</f>
        <v/>
      </c>
      <c r="N180">
        <f>IF($F180=1,FIND(MID($B180,8,1),"0123456789")-1,"")</f>
        <v/>
      </c>
      <c r="O180">
        <f>IF($F180=1,FIND(MID($B180,9,1),"0123456789")-1,"")</f>
        <v/>
      </c>
      <c r="P180">
        <f>IF($F180=1,FIND(MID($B180,10,1),"0123456789")-1,"")</f>
        <v/>
      </c>
      <c r="Q180">
        <f>IF($F180=1,SUMPRODUCT($G180:$P180,{1,2,4,8,16,32,64,128,256,512}),"")</f>
        <v/>
      </c>
      <c r="R180">
        <f>IF($F180=1,MOD(MOD($Q180,11),10),"")</f>
        <v/>
      </c>
    </row>
    <row r="181">
      <c r="A181" s="6" t="n"/>
      <c r="B181" s="7">
        <f>IF($A181="","",UPPER(SUBSTITUTE(SUBSTITUTE(SUBSTITUTE(SUBSTITUTE(SUBSTITUTE(SUBSTITUTE($A181," ",""),"-",""),".",""),"/",""),"i","I"),"ı","?")))</f>
        <v/>
      </c>
      <c r="C181" s="8">
        <f>IF($F181=1,$R181,"")</f>
        <v/>
      </c>
      <c r="D181" s="7">
        <f>IF($A181="","",IF($F181=0,"Biçim hatalı",IF(FIND(MID($B181,11,1),"0123456789")-1=$R181,"Geçerli","Kontrol hanesi hatalı (doğrusu: "&amp;$R181&amp;")")))</f>
        <v/>
      </c>
      <c r="F181">
        <f>IF($A181="","",IF(AND(LEN($B181)=11,SUMPRODUCT(--ISNUMBER(FIND(MID($B181,{1,2,3},1),"ABCDEFGHIJKLMNOPQRSTUVWXYZ")))=3,ISNUMBER(FIND(MID($B181,4,1),"UJZ")),SUMPRODUCT(--ISNUMBER(FIND(MID($B181,{5,6,7,8,9,10,11},1),"0123456789")))=7),1,0))</f>
        <v/>
      </c>
      <c r="G181">
        <f>IF($F181=1,INDEX({10,12,13,14,15,16,17,18,19,20,21,23,24,25,26,27,28,29,30,31,32,34,35,36,37,38},1,FIND(MID($B181,1,1),"ABCDEFGHIJKLMNOPQRSTUVWXYZ")),"")</f>
        <v/>
      </c>
      <c r="H181">
        <f>IF($F181=1,INDEX({10,12,13,14,15,16,17,18,19,20,21,23,24,25,26,27,28,29,30,31,32,34,35,36,37,38},1,FIND(MID($B181,2,1),"ABCDEFGHIJKLMNOPQRSTUVWXYZ")),"")</f>
        <v/>
      </c>
      <c r="I181">
        <f>IF($F181=1,INDEX({10,12,13,14,15,16,17,18,19,20,21,23,24,25,26,27,28,29,30,31,32,34,35,36,37,38},1,FIND(MID($B181,3,1),"ABCDEFGHIJKLMNOPQRSTUVWXYZ")),"")</f>
        <v/>
      </c>
      <c r="J181">
        <f>IF($F181=1,INDEX({10,12,13,14,15,16,17,18,19,20,21,23,24,25,26,27,28,29,30,31,32,34,35,36,37,38},1,FIND(MID($B181,4,1),"ABCDEFGHIJKLMNOPQRSTUVWXYZ")),"")</f>
        <v/>
      </c>
      <c r="K181">
        <f>IF($F181=1,FIND(MID($B181,5,1),"0123456789")-1,"")</f>
        <v/>
      </c>
      <c r="L181">
        <f>IF($F181=1,FIND(MID($B181,6,1),"0123456789")-1,"")</f>
        <v/>
      </c>
      <c r="M181">
        <f>IF($F181=1,FIND(MID($B181,7,1),"0123456789")-1,"")</f>
        <v/>
      </c>
      <c r="N181">
        <f>IF($F181=1,FIND(MID($B181,8,1),"0123456789")-1,"")</f>
        <v/>
      </c>
      <c r="O181">
        <f>IF($F181=1,FIND(MID($B181,9,1),"0123456789")-1,"")</f>
        <v/>
      </c>
      <c r="P181">
        <f>IF($F181=1,FIND(MID($B181,10,1),"0123456789")-1,"")</f>
        <v/>
      </c>
      <c r="Q181">
        <f>IF($F181=1,SUMPRODUCT($G181:$P181,{1,2,4,8,16,32,64,128,256,512}),"")</f>
        <v/>
      </c>
      <c r="R181">
        <f>IF($F181=1,MOD(MOD($Q181,11),10),"")</f>
        <v/>
      </c>
    </row>
    <row r="182">
      <c r="A182" s="6" t="n"/>
      <c r="B182" s="7">
        <f>IF($A182="","",UPPER(SUBSTITUTE(SUBSTITUTE(SUBSTITUTE(SUBSTITUTE(SUBSTITUTE(SUBSTITUTE($A182," ",""),"-",""),".",""),"/",""),"i","I"),"ı","?")))</f>
        <v/>
      </c>
      <c r="C182" s="8">
        <f>IF($F182=1,$R182,"")</f>
        <v/>
      </c>
      <c r="D182" s="7">
        <f>IF($A182="","",IF($F182=0,"Biçim hatalı",IF(FIND(MID($B182,11,1),"0123456789")-1=$R182,"Geçerli","Kontrol hanesi hatalı (doğrusu: "&amp;$R182&amp;")")))</f>
        <v/>
      </c>
      <c r="F182">
        <f>IF($A182="","",IF(AND(LEN($B182)=11,SUMPRODUCT(--ISNUMBER(FIND(MID($B182,{1,2,3},1),"ABCDEFGHIJKLMNOPQRSTUVWXYZ")))=3,ISNUMBER(FIND(MID($B182,4,1),"UJZ")),SUMPRODUCT(--ISNUMBER(FIND(MID($B182,{5,6,7,8,9,10,11},1),"0123456789")))=7),1,0))</f>
        <v/>
      </c>
      <c r="G182">
        <f>IF($F182=1,INDEX({10,12,13,14,15,16,17,18,19,20,21,23,24,25,26,27,28,29,30,31,32,34,35,36,37,38},1,FIND(MID($B182,1,1),"ABCDEFGHIJKLMNOPQRSTUVWXYZ")),"")</f>
        <v/>
      </c>
      <c r="H182">
        <f>IF($F182=1,INDEX({10,12,13,14,15,16,17,18,19,20,21,23,24,25,26,27,28,29,30,31,32,34,35,36,37,38},1,FIND(MID($B182,2,1),"ABCDEFGHIJKLMNOPQRSTUVWXYZ")),"")</f>
        <v/>
      </c>
      <c r="I182">
        <f>IF($F182=1,INDEX({10,12,13,14,15,16,17,18,19,20,21,23,24,25,26,27,28,29,30,31,32,34,35,36,37,38},1,FIND(MID($B182,3,1),"ABCDEFGHIJKLMNOPQRSTUVWXYZ")),"")</f>
        <v/>
      </c>
      <c r="J182">
        <f>IF($F182=1,INDEX({10,12,13,14,15,16,17,18,19,20,21,23,24,25,26,27,28,29,30,31,32,34,35,36,37,38},1,FIND(MID($B182,4,1),"ABCDEFGHIJKLMNOPQRSTUVWXYZ")),"")</f>
        <v/>
      </c>
      <c r="K182">
        <f>IF($F182=1,FIND(MID($B182,5,1),"0123456789")-1,"")</f>
        <v/>
      </c>
      <c r="L182">
        <f>IF($F182=1,FIND(MID($B182,6,1),"0123456789")-1,"")</f>
        <v/>
      </c>
      <c r="M182">
        <f>IF($F182=1,FIND(MID($B182,7,1),"0123456789")-1,"")</f>
        <v/>
      </c>
      <c r="N182">
        <f>IF($F182=1,FIND(MID($B182,8,1),"0123456789")-1,"")</f>
        <v/>
      </c>
      <c r="O182">
        <f>IF($F182=1,FIND(MID($B182,9,1),"0123456789")-1,"")</f>
        <v/>
      </c>
      <c r="P182">
        <f>IF($F182=1,FIND(MID($B182,10,1),"0123456789")-1,"")</f>
        <v/>
      </c>
      <c r="Q182">
        <f>IF($F182=1,SUMPRODUCT($G182:$P182,{1,2,4,8,16,32,64,128,256,512}),"")</f>
        <v/>
      </c>
      <c r="R182">
        <f>IF($F182=1,MOD(MOD($Q182,11),10),"")</f>
        <v/>
      </c>
    </row>
    <row r="183">
      <c r="A183" s="6" t="n"/>
      <c r="B183" s="7">
        <f>IF($A183="","",UPPER(SUBSTITUTE(SUBSTITUTE(SUBSTITUTE(SUBSTITUTE(SUBSTITUTE(SUBSTITUTE($A183," ",""),"-",""),".",""),"/",""),"i","I"),"ı","?")))</f>
        <v/>
      </c>
      <c r="C183" s="8">
        <f>IF($F183=1,$R183,"")</f>
        <v/>
      </c>
      <c r="D183" s="7">
        <f>IF($A183="","",IF($F183=0,"Biçim hatalı",IF(FIND(MID($B183,11,1),"0123456789")-1=$R183,"Geçerli","Kontrol hanesi hatalı (doğrusu: "&amp;$R183&amp;")")))</f>
        <v/>
      </c>
      <c r="F183">
        <f>IF($A183="","",IF(AND(LEN($B183)=11,SUMPRODUCT(--ISNUMBER(FIND(MID($B183,{1,2,3},1),"ABCDEFGHIJKLMNOPQRSTUVWXYZ")))=3,ISNUMBER(FIND(MID($B183,4,1),"UJZ")),SUMPRODUCT(--ISNUMBER(FIND(MID($B183,{5,6,7,8,9,10,11},1),"0123456789")))=7),1,0))</f>
        <v/>
      </c>
      <c r="G183">
        <f>IF($F183=1,INDEX({10,12,13,14,15,16,17,18,19,20,21,23,24,25,26,27,28,29,30,31,32,34,35,36,37,38},1,FIND(MID($B183,1,1),"ABCDEFGHIJKLMNOPQRSTUVWXYZ")),"")</f>
        <v/>
      </c>
      <c r="H183">
        <f>IF($F183=1,INDEX({10,12,13,14,15,16,17,18,19,20,21,23,24,25,26,27,28,29,30,31,32,34,35,36,37,38},1,FIND(MID($B183,2,1),"ABCDEFGHIJKLMNOPQRSTUVWXYZ")),"")</f>
        <v/>
      </c>
      <c r="I183">
        <f>IF($F183=1,INDEX({10,12,13,14,15,16,17,18,19,20,21,23,24,25,26,27,28,29,30,31,32,34,35,36,37,38},1,FIND(MID($B183,3,1),"ABCDEFGHIJKLMNOPQRSTUVWXYZ")),"")</f>
        <v/>
      </c>
      <c r="J183">
        <f>IF($F183=1,INDEX({10,12,13,14,15,16,17,18,19,20,21,23,24,25,26,27,28,29,30,31,32,34,35,36,37,38},1,FIND(MID($B183,4,1),"ABCDEFGHIJKLMNOPQRSTUVWXYZ")),"")</f>
        <v/>
      </c>
      <c r="K183">
        <f>IF($F183=1,FIND(MID($B183,5,1),"0123456789")-1,"")</f>
        <v/>
      </c>
      <c r="L183">
        <f>IF($F183=1,FIND(MID($B183,6,1),"0123456789")-1,"")</f>
        <v/>
      </c>
      <c r="M183">
        <f>IF($F183=1,FIND(MID($B183,7,1),"0123456789")-1,"")</f>
        <v/>
      </c>
      <c r="N183">
        <f>IF($F183=1,FIND(MID($B183,8,1),"0123456789")-1,"")</f>
        <v/>
      </c>
      <c r="O183">
        <f>IF($F183=1,FIND(MID($B183,9,1),"0123456789")-1,"")</f>
        <v/>
      </c>
      <c r="P183">
        <f>IF($F183=1,FIND(MID($B183,10,1),"0123456789")-1,"")</f>
        <v/>
      </c>
      <c r="Q183">
        <f>IF($F183=1,SUMPRODUCT($G183:$P183,{1,2,4,8,16,32,64,128,256,512}),"")</f>
        <v/>
      </c>
      <c r="R183">
        <f>IF($F183=1,MOD(MOD($Q183,11),10),"")</f>
        <v/>
      </c>
    </row>
    <row r="184">
      <c r="A184" s="6" t="n"/>
      <c r="B184" s="7">
        <f>IF($A184="","",UPPER(SUBSTITUTE(SUBSTITUTE(SUBSTITUTE(SUBSTITUTE(SUBSTITUTE(SUBSTITUTE($A184," ",""),"-",""),".",""),"/",""),"i","I"),"ı","?")))</f>
        <v/>
      </c>
      <c r="C184" s="8">
        <f>IF($F184=1,$R184,"")</f>
        <v/>
      </c>
      <c r="D184" s="7">
        <f>IF($A184="","",IF($F184=0,"Biçim hatalı",IF(FIND(MID($B184,11,1),"0123456789")-1=$R184,"Geçerli","Kontrol hanesi hatalı (doğrusu: "&amp;$R184&amp;")")))</f>
        <v/>
      </c>
      <c r="F184">
        <f>IF($A184="","",IF(AND(LEN($B184)=11,SUMPRODUCT(--ISNUMBER(FIND(MID($B184,{1,2,3},1),"ABCDEFGHIJKLMNOPQRSTUVWXYZ")))=3,ISNUMBER(FIND(MID($B184,4,1),"UJZ")),SUMPRODUCT(--ISNUMBER(FIND(MID($B184,{5,6,7,8,9,10,11},1),"0123456789")))=7),1,0))</f>
        <v/>
      </c>
      <c r="G184">
        <f>IF($F184=1,INDEX({10,12,13,14,15,16,17,18,19,20,21,23,24,25,26,27,28,29,30,31,32,34,35,36,37,38},1,FIND(MID($B184,1,1),"ABCDEFGHIJKLMNOPQRSTUVWXYZ")),"")</f>
        <v/>
      </c>
      <c r="H184">
        <f>IF($F184=1,INDEX({10,12,13,14,15,16,17,18,19,20,21,23,24,25,26,27,28,29,30,31,32,34,35,36,37,38},1,FIND(MID($B184,2,1),"ABCDEFGHIJKLMNOPQRSTUVWXYZ")),"")</f>
        <v/>
      </c>
      <c r="I184">
        <f>IF($F184=1,INDEX({10,12,13,14,15,16,17,18,19,20,21,23,24,25,26,27,28,29,30,31,32,34,35,36,37,38},1,FIND(MID($B184,3,1),"ABCDEFGHIJKLMNOPQRSTUVWXYZ")),"")</f>
        <v/>
      </c>
      <c r="J184">
        <f>IF($F184=1,INDEX({10,12,13,14,15,16,17,18,19,20,21,23,24,25,26,27,28,29,30,31,32,34,35,36,37,38},1,FIND(MID($B184,4,1),"ABCDEFGHIJKLMNOPQRSTUVWXYZ")),"")</f>
        <v/>
      </c>
      <c r="K184">
        <f>IF($F184=1,FIND(MID($B184,5,1),"0123456789")-1,"")</f>
        <v/>
      </c>
      <c r="L184">
        <f>IF($F184=1,FIND(MID($B184,6,1),"0123456789")-1,"")</f>
        <v/>
      </c>
      <c r="M184">
        <f>IF($F184=1,FIND(MID($B184,7,1),"0123456789")-1,"")</f>
        <v/>
      </c>
      <c r="N184">
        <f>IF($F184=1,FIND(MID($B184,8,1),"0123456789")-1,"")</f>
        <v/>
      </c>
      <c r="O184">
        <f>IF($F184=1,FIND(MID($B184,9,1),"0123456789")-1,"")</f>
        <v/>
      </c>
      <c r="P184">
        <f>IF($F184=1,FIND(MID($B184,10,1),"0123456789")-1,"")</f>
        <v/>
      </c>
      <c r="Q184">
        <f>IF($F184=1,SUMPRODUCT($G184:$P184,{1,2,4,8,16,32,64,128,256,512}),"")</f>
        <v/>
      </c>
      <c r="R184">
        <f>IF($F184=1,MOD(MOD($Q184,11),10),"")</f>
        <v/>
      </c>
    </row>
    <row r="185">
      <c r="A185" s="6" t="n"/>
      <c r="B185" s="7">
        <f>IF($A185="","",UPPER(SUBSTITUTE(SUBSTITUTE(SUBSTITUTE(SUBSTITUTE(SUBSTITUTE(SUBSTITUTE($A185," ",""),"-",""),".",""),"/",""),"i","I"),"ı","?")))</f>
        <v/>
      </c>
      <c r="C185" s="8">
        <f>IF($F185=1,$R185,"")</f>
        <v/>
      </c>
      <c r="D185" s="7">
        <f>IF($A185="","",IF($F185=0,"Biçim hatalı",IF(FIND(MID($B185,11,1),"0123456789")-1=$R185,"Geçerli","Kontrol hanesi hatalı (doğrusu: "&amp;$R185&amp;")")))</f>
        <v/>
      </c>
      <c r="F185">
        <f>IF($A185="","",IF(AND(LEN($B185)=11,SUMPRODUCT(--ISNUMBER(FIND(MID($B185,{1,2,3},1),"ABCDEFGHIJKLMNOPQRSTUVWXYZ")))=3,ISNUMBER(FIND(MID($B185,4,1),"UJZ")),SUMPRODUCT(--ISNUMBER(FIND(MID($B185,{5,6,7,8,9,10,11},1),"0123456789")))=7),1,0))</f>
        <v/>
      </c>
      <c r="G185">
        <f>IF($F185=1,INDEX({10,12,13,14,15,16,17,18,19,20,21,23,24,25,26,27,28,29,30,31,32,34,35,36,37,38},1,FIND(MID($B185,1,1),"ABCDEFGHIJKLMNOPQRSTUVWXYZ")),"")</f>
        <v/>
      </c>
      <c r="H185">
        <f>IF($F185=1,INDEX({10,12,13,14,15,16,17,18,19,20,21,23,24,25,26,27,28,29,30,31,32,34,35,36,37,38},1,FIND(MID($B185,2,1),"ABCDEFGHIJKLMNOPQRSTUVWXYZ")),"")</f>
        <v/>
      </c>
      <c r="I185">
        <f>IF($F185=1,INDEX({10,12,13,14,15,16,17,18,19,20,21,23,24,25,26,27,28,29,30,31,32,34,35,36,37,38},1,FIND(MID($B185,3,1),"ABCDEFGHIJKLMNOPQRSTUVWXYZ")),"")</f>
        <v/>
      </c>
      <c r="J185">
        <f>IF($F185=1,INDEX({10,12,13,14,15,16,17,18,19,20,21,23,24,25,26,27,28,29,30,31,32,34,35,36,37,38},1,FIND(MID($B185,4,1),"ABCDEFGHIJKLMNOPQRSTUVWXYZ")),"")</f>
        <v/>
      </c>
      <c r="K185">
        <f>IF($F185=1,FIND(MID($B185,5,1),"0123456789")-1,"")</f>
        <v/>
      </c>
      <c r="L185">
        <f>IF($F185=1,FIND(MID($B185,6,1),"0123456789")-1,"")</f>
        <v/>
      </c>
      <c r="M185">
        <f>IF($F185=1,FIND(MID($B185,7,1),"0123456789")-1,"")</f>
        <v/>
      </c>
      <c r="N185">
        <f>IF($F185=1,FIND(MID($B185,8,1),"0123456789")-1,"")</f>
        <v/>
      </c>
      <c r="O185">
        <f>IF($F185=1,FIND(MID($B185,9,1),"0123456789")-1,"")</f>
        <v/>
      </c>
      <c r="P185">
        <f>IF($F185=1,FIND(MID($B185,10,1),"0123456789")-1,"")</f>
        <v/>
      </c>
      <c r="Q185">
        <f>IF($F185=1,SUMPRODUCT($G185:$P185,{1,2,4,8,16,32,64,128,256,512}),"")</f>
        <v/>
      </c>
      <c r="R185">
        <f>IF($F185=1,MOD(MOD($Q185,11),10),"")</f>
        <v/>
      </c>
    </row>
    <row r="186">
      <c r="A186" s="6" t="n"/>
      <c r="B186" s="7">
        <f>IF($A186="","",UPPER(SUBSTITUTE(SUBSTITUTE(SUBSTITUTE(SUBSTITUTE(SUBSTITUTE(SUBSTITUTE($A186," ",""),"-",""),".",""),"/",""),"i","I"),"ı","?")))</f>
        <v/>
      </c>
      <c r="C186" s="8">
        <f>IF($F186=1,$R186,"")</f>
        <v/>
      </c>
      <c r="D186" s="7">
        <f>IF($A186="","",IF($F186=0,"Biçim hatalı",IF(FIND(MID($B186,11,1),"0123456789")-1=$R186,"Geçerli","Kontrol hanesi hatalı (doğrusu: "&amp;$R186&amp;")")))</f>
        <v/>
      </c>
      <c r="F186">
        <f>IF($A186="","",IF(AND(LEN($B186)=11,SUMPRODUCT(--ISNUMBER(FIND(MID($B186,{1,2,3},1),"ABCDEFGHIJKLMNOPQRSTUVWXYZ")))=3,ISNUMBER(FIND(MID($B186,4,1),"UJZ")),SUMPRODUCT(--ISNUMBER(FIND(MID($B186,{5,6,7,8,9,10,11},1),"0123456789")))=7),1,0))</f>
        <v/>
      </c>
      <c r="G186">
        <f>IF($F186=1,INDEX({10,12,13,14,15,16,17,18,19,20,21,23,24,25,26,27,28,29,30,31,32,34,35,36,37,38},1,FIND(MID($B186,1,1),"ABCDEFGHIJKLMNOPQRSTUVWXYZ")),"")</f>
        <v/>
      </c>
      <c r="H186">
        <f>IF($F186=1,INDEX({10,12,13,14,15,16,17,18,19,20,21,23,24,25,26,27,28,29,30,31,32,34,35,36,37,38},1,FIND(MID($B186,2,1),"ABCDEFGHIJKLMNOPQRSTUVWXYZ")),"")</f>
        <v/>
      </c>
      <c r="I186">
        <f>IF($F186=1,INDEX({10,12,13,14,15,16,17,18,19,20,21,23,24,25,26,27,28,29,30,31,32,34,35,36,37,38},1,FIND(MID($B186,3,1),"ABCDEFGHIJKLMNOPQRSTUVWXYZ")),"")</f>
        <v/>
      </c>
      <c r="J186">
        <f>IF($F186=1,INDEX({10,12,13,14,15,16,17,18,19,20,21,23,24,25,26,27,28,29,30,31,32,34,35,36,37,38},1,FIND(MID($B186,4,1),"ABCDEFGHIJKLMNOPQRSTUVWXYZ")),"")</f>
        <v/>
      </c>
      <c r="K186">
        <f>IF($F186=1,FIND(MID($B186,5,1),"0123456789")-1,"")</f>
        <v/>
      </c>
      <c r="L186">
        <f>IF($F186=1,FIND(MID($B186,6,1),"0123456789")-1,"")</f>
        <v/>
      </c>
      <c r="M186">
        <f>IF($F186=1,FIND(MID($B186,7,1),"0123456789")-1,"")</f>
        <v/>
      </c>
      <c r="N186">
        <f>IF($F186=1,FIND(MID($B186,8,1),"0123456789")-1,"")</f>
        <v/>
      </c>
      <c r="O186">
        <f>IF($F186=1,FIND(MID($B186,9,1),"0123456789")-1,"")</f>
        <v/>
      </c>
      <c r="P186">
        <f>IF($F186=1,FIND(MID($B186,10,1),"0123456789")-1,"")</f>
        <v/>
      </c>
      <c r="Q186">
        <f>IF($F186=1,SUMPRODUCT($G186:$P186,{1,2,4,8,16,32,64,128,256,512}),"")</f>
        <v/>
      </c>
      <c r="R186">
        <f>IF($F186=1,MOD(MOD($Q186,11),10),"")</f>
        <v/>
      </c>
    </row>
    <row r="187">
      <c r="A187" s="6" t="n"/>
      <c r="B187" s="7">
        <f>IF($A187="","",UPPER(SUBSTITUTE(SUBSTITUTE(SUBSTITUTE(SUBSTITUTE(SUBSTITUTE(SUBSTITUTE($A187," ",""),"-",""),".",""),"/",""),"i","I"),"ı","?")))</f>
        <v/>
      </c>
      <c r="C187" s="8">
        <f>IF($F187=1,$R187,"")</f>
        <v/>
      </c>
      <c r="D187" s="7">
        <f>IF($A187="","",IF($F187=0,"Biçim hatalı",IF(FIND(MID($B187,11,1),"0123456789")-1=$R187,"Geçerli","Kontrol hanesi hatalı (doğrusu: "&amp;$R187&amp;")")))</f>
        <v/>
      </c>
      <c r="F187">
        <f>IF($A187="","",IF(AND(LEN($B187)=11,SUMPRODUCT(--ISNUMBER(FIND(MID($B187,{1,2,3},1),"ABCDEFGHIJKLMNOPQRSTUVWXYZ")))=3,ISNUMBER(FIND(MID($B187,4,1),"UJZ")),SUMPRODUCT(--ISNUMBER(FIND(MID($B187,{5,6,7,8,9,10,11},1),"0123456789")))=7),1,0))</f>
        <v/>
      </c>
      <c r="G187">
        <f>IF($F187=1,INDEX({10,12,13,14,15,16,17,18,19,20,21,23,24,25,26,27,28,29,30,31,32,34,35,36,37,38},1,FIND(MID($B187,1,1),"ABCDEFGHIJKLMNOPQRSTUVWXYZ")),"")</f>
        <v/>
      </c>
      <c r="H187">
        <f>IF($F187=1,INDEX({10,12,13,14,15,16,17,18,19,20,21,23,24,25,26,27,28,29,30,31,32,34,35,36,37,38},1,FIND(MID($B187,2,1),"ABCDEFGHIJKLMNOPQRSTUVWXYZ")),"")</f>
        <v/>
      </c>
      <c r="I187">
        <f>IF($F187=1,INDEX({10,12,13,14,15,16,17,18,19,20,21,23,24,25,26,27,28,29,30,31,32,34,35,36,37,38},1,FIND(MID($B187,3,1),"ABCDEFGHIJKLMNOPQRSTUVWXYZ")),"")</f>
        <v/>
      </c>
      <c r="J187">
        <f>IF($F187=1,INDEX({10,12,13,14,15,16,17,18,19,20,21,23,24,25,26,27,28,29,30,31,32,34,35,36,37,38},1,FIND(MID($B187,4,1),"ABCDEFGHIJKLMNOPQRSTUVWXYZ")),"")</f>
        <v/>
      </c>
      <c r="K187">
        <f>IF($F187=1,FIND(MID($B187,5,1),"0123456789")-1,"")</f>
        <v/>
      </c>
      <c r="L187">
        <f>IF($F187=1,FIND(MID($B187,6,1),"0123456789")-1,"")</f>
        <v/>
      </c>
      <c r="M187">
        <f>IF($F187=1,FIND(MID($B187,7,1),"0123456789")-1,"")</f>
        <v/>
      </c>
      <c r="N187">
        <f>IF($F187=1,FIND(MID($B187,8,1),"0123456789")-1,"")</f>
        <v/>
      </c>
      <c r="O187">
        <f>IF($F187=1,FIND(MID($B187,9,1),"0123456789")-1,"")</f>
        <v/>
      </c>
      <c r="P187">
        <f>IF($F187=1,FIND(MID($B187,10,1),"0123456789")-1,"")</f>
        <v/>
      </c>
      <c r="Q187">
        <f>IF($F187=1,SUMPRODUCT($G187:$P187,{1,2,4,8,16,32,64,128,256,512}),"")</f>
        <v/>
      </c>
      <c r="R187">
        <f>IF($F187=1,MOD(MOD($Q187,11),10),"")</f>
        <v/>
      </c>
    </row>
    <row r="188">
      <c r="A188" s="6" t="n"/>
      <c r="B188" s="7">
        <f>IF($A188="","",UPPER(SUBSTITUTE(SUBSTITUTE(SUBSTITUTE(SUBSTITUTE(SUBSTITUTE(SUBSTITUTE($A188," ",""),"-",""),".",""),"/",""),"i","I"),"ı","?")))</f>
        <v/>
      </c>
      <c r="C188" s="8">
        <f>IF($F188=1,$R188,"")</f>
        <v/>
      </c>
      <c r="D188" s="7">
        <f>IF($A188="","",IF($F188=0,"Biçim hatalı",IF(FIND(MID($B188,11,1),"0123456789")-1=$R188,"Geçerli","Kontrol hanesi hatalı (doğrusu: "&amp;$R188&amp;")")))</f>
        <v/>
      </c>
      <c r="F188">
        <f>IF($A188="","",IF(AND(LEN($B188)=11,SUMPRODUCT(--ISNUMBER(FIND(MID($B188,{1,2,3},1),"ABCDEFGHIJKLMNOPQRSTUVWXYZ")))=3,ISNUMBER(FIND(MID($B188,4,1),"UJZ")),SUMPRODUCT(--ISNUMBER(FIND(MID($B188,{5,6,7,8,9,10,11},1),"0123456789")))=7),1,0))</f>
        <v/>
      </c>
      <c r="G188">
        <f>IF($F188=1,INDEX({10,12,13,14,15,16,17,18,19,20,21,23,24,25,26,27,28,29,30,31,32,34,35,36,37,38},1,FIND(MID($B188,1,1),"ABCDEFGHIJKLMNOPQRSTUVWXYZ")),"")</f>
        <v/>
      </c>
      <c r="H188">
        <f>IF($F188=1,INDEX({10,12,13,14,15,16,17,18,19,20,21,23,24,25,26,27,28,29,30,31,32,34,35,36,37,38},1,FIND(MID($B188,2,1),"ABCDEFGHIJKLMNOPQRSTUVWXYZ")),"")</f>
        <v/>
      </c>
      <c r="I188">
        <f>IF($F188=1,INDEX({10,12,13,14,15,16,17,18,19,20,21,23,24,25,26,27,28,29,30,31,32,34,35,36,37,38},1,FIND(MID($B188,3,1),"ABCDEFGHIJKLMNOPQRSTUVWXYZ")),"")</f>
        <v/>
      </c>
      <c r="J188">
        <f>IF($F188=1,INDEX({10,12,13,14,15,16,17,18,19,20,21,23,24,25,26,27,28,29,30,31,32,34,35,36,37,38},1,FIND(MID($B188,4,1),"ABCDEFGHIJKLMNOPQRSTUVWXYZ")),"")</f>
        <v/>
      </c>
      <c r="K188">
        <f>IF($F188=1,FIND(MID($B188,5,1),"0123456789")-1,"")</f>
        <v/>
      </c>
      <c r="L188">
        <f>IF($F188=1,FIND(MID($B188,6,1),"0123456789")-1,"")</f>
        <v/>
      </c>
      <c r="M188">
        <f>IF($F188=1,FIND(MID($B188,7,1),"0123456789")-1,"")</f>
        <v/>
      </c>
      <c r="N188">
        <f>IF($F188=1,FIND(MID($B188,8,1),"0123456789")-1,"")</f>
        <v/>
      </c>
      <c r="O188">
        <f>IF($F188=1,FIND(MID($B188,9,1),"0123456789")-1,"")</f>
        <v/>
      </c>
      <c r="P188">
        <f>IF($F188=1,FIND(MID($B188,10,1),"0123456789")-1,"")</f>
        <v/>
      </c>
      <c r="Q188">
        <f>IF($F188=1,SUMPRODUCT($G188:$P188,{1,2,4,8,16,32,64,128,256,512}),"")</f>
        <v/>
      </c>
      <c r="R188">
        <f>IF($F188=1,MOD(MOD($Q188,11),10),"")</f>
        <v/>
      </c>
    </row>
    <row r="189">
      <c r="A189" s="6" t="n"/>
      <c r="B189" s="7">
        <f>IF($A189="","",UPPER(SUBSTITUTE(SUBSTITUTE(SUBSTITUTE(SUBSTITUTE(SUBSTITUTE(SUBSTITUTE($A189," ",""),"-",""),".",""),"/",""),"i","I"),"ı","?")))</f>
        <v/>
      </c>
      <c r="C189" s="8">
        <f>IF($F189=1,$R189,"")</f>
        <v/>
      </c>
      <c r="D189" s="7">
        <f>IF($A189="","",IF($F189=0,"Biçim hatalı",IF(FIND(MID($B189,11,1),"0123456789")-1=$R189,"Geçerli","Kontrol hanesi hatalı (doğrusu: "&amp;$R189&amp;")")))</f>
        <v/>
      </c>
      <c r="F189">
        <f>IF($A189="","",IF(AND(LEN($B189)=11,SUMPRODUCT(--ISNUMBER(FIND(MID($B189,{1,2,3},1),"ABCDEFGHIJKLMNOPQRSTUVWXYZ")))=3,ISNUMBER(FIND(MID($B189,4,1),"UJZ")),SUMPRODUCT(--ISNUMBER(FIND(MID($B189,{5,6,7,8,9,10,11},1),"0123456789")))=7),1,0))</f>
        <v/>
      </c>
      <c r="G189">
        <f>IF($F189=1,INDEX({10,12,13,14,15,16,17,18,19,20,21,23,24,25,26,27,28,29,30,31,32,34,35,36,37,38},1,FIND(MID($B189,1,1),"ABCDEFGHIJKLMNOPQRSTUVWXYZ")),"")</f>
        <v/>
      </c>
      <c r="H189">
        <f>IF($F189=1,INDEX({10,12,13,14,15,16,17,18,19,20,21,23,24,25,26,27,28,29,30,31,32,34,35,36,37,38},1,FIND(MID($B189,2,1),"ABCDEFGHIJKLMNOPQRSTUVWXYZ")),"")</f>
        <v/>
      </c>
      <c r="I189">
        <f>IF($F189=1,INDEX({10,12,13,14,15,16,17,18,19,20,21,23,24,25,26,27,28,29,30,31,32,34,35,36,37,38},1,FIND(MID($B189,3,1),"ABCDEFGHIJKLMNOPQRSTUVWXYZ")),"")</f>
        <v/>
      </c>
      <c r="J189">
        <f>IF($F189=1,INDEX({10,12,13,14,15,16,17,18,19,20,21,23,24,25,26,27,28,29,30,31,32,34,35,36,37,38},1,FIND(MID($B189,4,1),"ABCDEFGHIJKLMNOPQRSTUVWXYZ")),"")</f>
        <v/>
      </c>
      <c r="K189">
        <f>IF($F189=1,FIND(MID($B189,5,1),"0123456789")-1,"")</f>
        <v/>
      </c>
      <c r="L189">
        <f>IF($F189=1,FIND(MID($B189,6,1),"0123456789")-1,"")</f>
        <v/>
      </c>
      <c r="M189">
        <f>IF($F189=1,FIND(MID($B189,7,1),"0123456789")-1,"")</f>
        <v/>
      </c>
      <c r="N189">
        <f>IF($F189=1,FIND(MID($B189,8,1),"0123456789")-1,"")</f>
        <v/>
      </c>
      <c r="O189">
        <f>IF($F189=1,FIND(MID($B189,9,1),"0123456789")-1,"")</f>
        <v/>
      </c>
      <c r="P189">
        <f>IF($F189=1,FIND(MID($B189,10,1),"0123456789")-1,"")</f>
        <v/>
      </c>
      <c r="Q189">
        <f>IF($F189=1,SUMPRODUCT($G189:$P189,{1,2,4,8,16,32,64,128,256,512}),"")</f>
        <v/>
      </c>
      <c r="R189">
        <f>IF($F189=1,MOD(MOD($Q189,11),10),"")</f>
        <v/>
      </c>
    </row>
    <row r="190">
      <c r="A190" s="6" t="n"/>
      <c r="B190" s="7">
        <f>IF($A190="","",UPPER(SUBSTITUTE(SUBSTITUTE(SUBSTITUTE(SUBSTITUTE(SUBSTITUTE(SUBSTITUTE($A190," ",""),"-",""),".",""),"/",""),"i","I"),"ı","?")))</f>
        <v/>
      </c>
      <c r="C190" s="8">
        <f>IF($F190=1,$R190,"")</f>
        <v/>
      </c>
      <c r="D190" s="7">
        <f>IF($A190="","",IF($F190=0,"Biçim hatalı",IF(FIND(MID($B190,11,1),"0123456789")-1=$R190,"Geçerli","Kontrol hanesi hatalı (doğrusu: "&amp;$R190&amp;")")))</f>
        <v/>
      </c>
      <c r="F190">
        <f>IF($A190="","",IF(AND(LEN($B190)=11,SUMPRODUCT(--ISNUMBER(FIND(MID($B190,{1,2,3},1),"ABCDEFGHIJKLMNOPQRSTUVWXYZ")))=3,ISNUMBER(FIND(MID($B190,4,1),"UJZ")),SUMPRODUCT(--ISNUMBER(FIND(MID($B190,{5,6,7,8,9,10,11},1),"0123456789")))=7),1,0))</f>
        <v/>
      </c>
      <c r="G190">
        <f>IF($F190=1,INDEX({10,12,13,14,15,16,17,18,19,20,21,23,24,25,26,27,28,29,30,31,32,34,35,36,37,38},1,FIND(MID($B190,1,1),"ABCDEFGHIJKLMNOPQRSTUVWXYZ")),"")</f>
        <v/>
      </c>
      <c r="H190">
        <f>IF($F190=1,INDEX({10,12,13,14,15,16,17,18,19,20,21,23,24,25,26,27,28,29,30,31,32,34,35,36,37,38},1,FIND(MID($B190,2,1),"ABCDEFGHIJKLMNOPQRSTUVWXYZ")),"")</f>
        <v/>
      </c>
      <c r="I190">
        <f>IF($F190=1,INDEX({10,12,13,14,15,16,17,18,19,20,21,23,24,25,26,27,28,29,30,31,32,34,35,36,37,38},1,FIND(MID($B190,3,1),"ABCDEFGHIJKLMNOPQRSTUVWXYZ")),"")</f>
        <v/>
      </c>
      <c r="J190">
        <f>IF($F190=1,INDEX({10,12,13,14,15,16,17,18,19,20,21,23,24,25,26,27,28,29,30,31,32,34,35,36,37,38},1,FIND(MID($B190,4,1),"ABCDEFGHIJKLMNOPQRSTUVWXYZ")),"")</f>
        <v/>
      </c>
      <c r="K190">
        <f>IF($F190=1,FIND(MID($B190,5,1),"0123456789")-1,"")</f>
        <v/>
      </c>
      <c r="L190">
        <f>IF($F190=1,FIND(MID($B190,6,1),"0123456789")-1,"")</f>
        <v/>
      </c>
      <c r="M190">
        <f>IF($F190=1,FIND(MID($B190,7,1),"0123456789")-1,"")</f>
        <v/>
      </c>
      <c r="N190">
        <f>IF($F190=1,FIND(MID($B190,8,1),"0123456789")-1,"")</f>
        <v/>
      </c>
      <c r="O190">
        <f>IF($F190=1,FIND(MID($B190,9,1),"0123456789")-1,"")</f>
        <v/>
      </c>
      <c r="P190">
        <f>IF($F190=1,FIND(MID($B190,10,1),"0123456789")-1,"")</f>
        <v/>
      </c>
      <c r="Q190">
        <f>IF($F190=1,SUMPRODUCT($G190:$P190,{1,2,4,8,16,32,64,128,256,512}),"")</f>
        <v/>
      </c>
      <c r="R190">
        <f>IF($F190=1,MOD(MOD($Q190,11),10),"")</f>
        <v/>
      </c>
    </row>
    <row r="191">
      <c r="A191" s="6" t="n"/>
      <c r="B191" s="7">
        <f>IF($A191="","",UPPER(SUBSTITUTE(SUBSTITUTE(SUBSTITUTE(SUBSTITUTE(SUBSTITUTE(SUBSTITUTE($A191," ",""),"-",""),".",""),"/",""),"i","I"),"ı","?")))</f>
        <v/>
      </c>
      <c r="C191" s="8">
        <f>IF($F191=1,$R191,"")</f>
        <v/>
      </c>
      <c r="D191" s="7">
        <f>IF($A191="","",IF($F191=0,"Biçim hatalı",IF(FIND(MID($B191,11,1),"0123456789")-1=$R191,"Geçerli","Kontrol hanesi hatalı (doğrusu: "&amp;$R191&amp;")")))</f>
        <v/>
      </c>
      <c r="F191">
        <f>IF($A191="","",IF(AND(LEN($B191)=11,SUMPRODUCT(--ISNUMBER(FIND(MID($B191,{1,2,3},1),"ABCDEFGHIJKLMNOPQRSTUVWXYZ")))=3,ISNUMBER(FIND(MID($B191,4,1),"UJZ")),SUMPRODUCT(--ISNUMBER(FIND(MID($B191,{5,6,7,8,9,10,11},1),"0123456789")))=7),1,0))</f>
        <v/>
      </c>
      <c r="G191">
        <f>IF($F191=1,INDEX({10,12,13,14,15,16,17,18,19,20,21,23,24,25,26,27,28,29,30,31,32,34,35,36,37,38},1,FIND(MID($B191,1,1),"ABCDEFGHIJKLMNOPQRSTUVWXYZ")),"")</f>
        <v/>
      </c>
      <c r="H191">
        <f>IF($F191=1,INDEX({10,12,13,14,15,16,17,18,19,20,21,23,24,25,26,27,28,29,30,31,32,34,35,36,37,38},1,FIND(MID($B191,2,1),"ABCDEFGHIJKLMNOPQRSTUVWXYZ")),"")</f>
        <v/>
      </c>
      <c r="I191">
        <f>IF($F191=1,INDEX({10,12,13,14,15,16,17,18,19,20,21,23,24,25,26,27,28,29,30,31,32,34,35,36,37,38},1,FIND(MID($B191,3,1),"ABCDEFGHIJKLMNOPQRSTUVWXYZ")),"")</f>
        <v/>
      </c>
      <c r="J191">
        <f>IF($F191=1,INDEX({10,12,13,14,15,16,17,18,19,20,21,23,24,25,26,27,28,29,30,31,32,34,35,36,37,38},1,FIND(MID($B191,4,1),"ABCDEFGHIJKLMNOPQRSTUVWXYZ")),"")</f>
        <v/>
      </c>
      <c r="K191">
        <f>IF($F191=1,FIND(MID($B191,5,1),"0123456789")-1,"")</f>
        <v/>
      </c>
      <c r="L191">
        <f>IF($F191=1,FIND(MID($B191,6,1),"0123456789")-1,"")</f>
        <v/>
      </c>
      <c r="M191">
        <f>IF($F191=1,FIND(MID($B191,7,1),"0123456789")-1,"")</f>
        <v/>
      </c>
      <c r="N191">
        <f>IF($F191=1,FIND(MID($B191,8,1),"0123456789")-1,"")</f>
        <v/>
      </c>
      <c r="O191">
        <f>IF($F191=1,FIND(MID($B191,9,1),"0123456789")-1,"")</f>
        <v/>
      </c>
      <c r="P191">
        <f>IF($F191=1,FIND(MID($B191,10,1),"0123456789")-1,"")</f>
        <v/>
      </c>
      <c r="Q191">
        <f>IF($F191=1,SUMPRODUCT($G191:$P191,{1,2,4,8,16,32,64,128,256,512}),"")</f>
        <v/>
      </c>
      <c r="R191">
        <f>IF($F191=1,MOD(MOD($Q191,11),10),"")</f>
        <v/>
      </c>
    </row>
    <row r="192">
      <c r="A192" s="6" t="n"/>
      <c r="B192" s="7">
        <f>IF($A192="","",UPPER(SUBSTITUTE(SUBSTITUTE(SUBSTITUTE(SUBSTITUTE(SUBSTITUTE(SUBSTITUTE($A192," ",""),"-",""),".",""),"/",""),"i","I"),"ı","?")))</f>
        <v/>
      </c>
      <c r="C192" s="8">
        <f>IF($F192=1,$R192,"")</f>
        <v/>
      </c>
      <c r="D192" s="7">
        <f>IF($A192="","",IF($F192=0,"Biçim hatalı",IF(FIND(MID($B192,11,1),"0123456789")-1=$R192,"Geçerli","Kontrol hanesi hatalı (doğrusu: "&amp;$R192&amp;")")))</f>
        <v/>
      </c>
      <c r="F192">
        <f>IF($A192="","",IF(AND(LEN($B192)=11,SUMPRODUCT(--ISNUMBER(FIND(MID($B192,{1,2,3},1),"ABCDEFGHIJKLMNOPQRSTUVWXYZ")))=3,ISNUMBER(FIND(MID($B192,4,1),"UJZ")),SUMPRODUCT(--ISNUMBER(FIND(MID($B192,{5,6,7,8,9,10,11},1),"0123456789")))=7),1,0))</f>
        <v/>
      </c>
      <c r="G192">
        <f>IF($F192=1,INDEX({10,12,13,14,15,16,17,18,19,20,21,23,24,25,26,27,28,29,30,31,32,34,35,36,37,38},1,FIND(MID($B192,1,1),"ABCDEFGHIJKLMNOPQRSTUVWXYZ")),"")</f>
        <v/>
      </c>
      <c r="H192">
        <f>IF($F192=1,INDEX({10,12,13,14,15,16,17,18,19,20,21,23,24,25,26,27,28,29,30,31,32,34,35,36,37,38},1,FIND(MID($B192,2,1),"ABCDEFGHIJKLMNOPQRSTUVWXYZ")),"")</f>
        <v/>
      </c>
      <c r="I192">
        <f>IF($F192=1,INDEX({10,12,13,14,15,16,17,18,19,20,21,23,24,25,26,27,28,29,30,31,32,34,35,36,37,38},1,FIND(MID($B192,3,1),"ABCDEFGHIJKLMNOPQRSTUVWXYZ")),"")</f>
        <v/>
      </c>
      <c r="J192">
        <f>IF($F192=1,INDEX({10,12,13,14,15,16,17,18,19,20,21,23,24,25,26,27,28,29,30,31,32,34,35,36,37,38},1,FIND(MID($B192,4,1),"ABCDEFGHIJKLMNOPQRSTUVWXYZ")),"")</f>
        <v/>
      </c>
      <c r="K192">
        <f>IF($F192=1,FIND(MID($B192,5,1),"0123456789")-1,"")</f>
        <v/>
      </c>
      <c r="L192">
        <f>IF($F192=1,FIND(MID($B192,6,1),"0123456789")-1,"")</f>
        <v/>
      </c>
      <c r="M192">
        <f>IF($F192=1,FIND(MID($B192,7,1),"0123456789")-1,"")</f>
        <v/>
      </c>
      <c r="N192">
        <f>IF($F192=1,FIND(MID($B192,8,1),"0123456789")-1,"")</f>
        <v/>
      </c>
      <c r="O192">
        <f>IF($F192=1,FIND(MID($B192,9,1),"0123456789")-1,"")</f>
        <v/>
      </c>
      <c r="P192">
        <f>IF($F192=1,FIND(MID($B192,10,1),"0123456789")-1,"")</f>
        <v/>
      </c>
      <c r="Q192">
        <f>IF($F192=1,SUMPRODUCT($G192:$P192,{1,2,4,8,16,32,64,128,256,512}),"")</f>
        <v/>
      </c>
      <c r="R192">
        <f>IF($F192=1,MOD(MOD($Q192,11),10),"")</f>
        <v/>
      </c>
    </row>
    <row r="193">
      <c r="A193" s="6" t="n"/>
      <c r="B193" s="7">
        <f>IF($A193="","",UPPER(SUBSTITUTE(SUBSTITUTE(SUBSTITUTE(SUBSTITUTE(SUBSTITUTE(SUBSTITUTE($A193," ",""),"-",""),".",""),"/",""),"i","I"),"ı","?")))</f>
        <v/>
      </c>
      <c r="C193" s="8">
        <f>IF($F193=1,$R193,"")</f>
        <v/>
      </c>
      <c r="D193" s="7">
        <f>IF($A193="","",IF($F193=0,"Biçim hatalı",IF(FIND(MID($B193,11,1),"0123456789")-1=$R193,"Geçerli","Kontrol hanesi hatalı (doğrusu: "&amp;$R193&amp;")")))</f>
        <v/>
      </c>
      <c r="F193">
        <f>IF($A193="","",IF(AND(LEN($B193)=11,SUMPRODUCT(--ISNUMBER(FIND(MID($B193,{1,2,3},1),"ABCDEFGHIJKLMNOPQRSTUVWXYZ")))=3,ISNUMBER(FIND(MID($B193,4,1),"UJZ")),SUMPRODUCT(--ISNUMBER(FIND(MID($B193,{5,6,7,8,9,10,11},1),"0123456789")))=7),1,0))</f>
        <v/>
      </c>
      <c r="G193">
        <f>IF($F193=1,INDEX({10,12,13,14,15,16,17,18,19,20,21,23,24,25,26,27,28,29,30,31,32,34,35,36,37,38},1,FIND(MID($B193,1,1),"ABCDEFGHIJKLMNOPQRSTUVWXYZ")),"")</f>
        <v/>
      </c>
      <c r="H193">
        <f>IF($F193=1,INDEX({10,12,13,14,15,16,17,18,19,20,21,23,24,25,26,27,28,29,30,31,32,34,35,36,37,38},1,FIND(MID($B193,2,1),"ABCDEFGHIJKLMNOPQRSTUVWXYZ")),"")</f>
        <v/>
      </c>
      <c r="I193">
        <f>IF($F193=1,INDEX({10,12,13,14,15,16,17,18,19,20,21,23,24,25,26,27,28,29,30,31,32,34,35,36,37,38},1,FIND(MID($B193,3,1),"ABCDEFGHIJKLMNOPQRSTUVWXYZ")),"")</f>
        <v/>
      </c>
      <c r="J193">
        <f>IF($F193=1,INDEX({10,12,13,14,15,16,17,18,19,20,21,23,24,25,26,27,28,29,30,31,32,34,35,36,37,38},1,FIND(MID($B193,4,1),"ABCDEFGHIJKLMNOPQRSTUVWXYZ")),"")</f>
        <v/>
      </c>
      <c r="K193">
        <f>IF($F193=1,FIND(MID($B193,5,1),"0123456789")-1,"")</f>
        <v/>
      </c>
      <c r="L193">
        <f>IF($F193=1,FIND(MID($B193,6,1),"0123456789")-1,"")</f>
        <v/>
      </c>
      <c r="M193">
        <f>IF($F193=1,FIND(MID($B193,7,1),"0123456789")-1,"")</f>
        <v/>
      </c>
      <c r="N193">
        <f>IF($F193=1,FIND(MID($B193,8,1),"0123456789")-1,"")</f>
        <v/>
      </c>
      <c r="O193">
        <f>IF($F193=1,FIND(MID($B193,9,1),"0123456789")-1,"")</f>
        <v/>
      </c>
      <c r="P193">
        <f>IF($F193=1,FIND(MID($B193,10,1),"0123456789")-1,"")</f>
        <v/>
      </c>
      <c r="Q193">
        <f>IF($F193=1,SUMPRODUCT($G193:$P193,{1,2,4,8,16,32,64,128,256,512}),"")</f>
        <v/>
      </c>
      <c r="R193">
        <f>IF($F193=1,MOD(MOD($Q193,11),10),"")</f>
        <v/>
      </c>
    </row>
    <row r="194">
      <c r="A194" s="6" t="n"/>
      <c r="B194" s="7">
        <f>IF($A194="","",UPPER(SUBSTITUTE(SUBSTITUTE(SUBSTITUTE(SUBSTITUTE(SUBSTITUTE(SUBSTITUTE($A194," ",""),"-",""),".",""),"/",""),"i","I"),"ı","?")))</f>
        <v/>
      </c>
      <c r="C194" s="8">
        <f>IF($F194=1,$R194,"")</f>
        <v/>
      </c>
      <c r="D194" s="7">
        <f>IF($A194="","",IF($F194=0,"Biçim hatalı",IF(FIND(MID($B194,11,1),"0123456789")-1=$R194,"Geçerli","Kontrol hanesi hatalı (doğrusu: "&amp;$R194&amp;")")))</f>
        <v/>
      </c>
      <c r="F194">
        <f>IF($A194="","",IF(AND(LEN($B194)=11,SUMPRODUCT(--ISNUMBER(FIND(MID($B194,{1,2,3},1),"ABCDEFGHIJKLMNOPQRSTUVWXYZ")))=3,ISNUMBER(FIND(MID($B194,4,1),"UJZ")),SUMPRODUCT(--ISNUMBER(FIND(MID($B194,{5,6,7,8,9,10,11},1),"0123456789")))=7),1,0))</f>
        <v/>
      </c>
      <c r="G194">
        <f>IF($F194=1,INDEX({10,12,13,14,15,16,17,18,19,20,21,23,24,25,26,27,28,29,30,31,32,34,35,36,37,38},1,FIND(MID($B194,1,1),"ABCDEFGHIJKLMNOPQRSTUVWXYZ")),"")</f>
        <v/>
      </c>
      <c r="H194">
        <f>IF($F194=1,INDEX({10,12,13,14,15,16,17,18,19,20,21,23,24,25,26,27,28,29,30,31,32,34,35,36,37,38},1,FIND(MID($B194,2,1),"ABCDEFGHIJKLMNOPQRSTUVWXYZ")),"")</f>
        <v/>
      </c>
      <c r="I194">
        <f>IF($F194=1,INDEX({10,12,13,14,15,16,17,18,19,20,21,23,24,25,26,27,28,29,30,31,32,34,35,36,37,38},1,FIND(MID($B194,3,1),"ABCDEFGHIJKLMNOPQRSTUVWXYZ")),"")</f>
        <v/>
      </c>
      <c r="J194">
        <f>IF($F194=1,INDEX({10,12,13,14,15,16,17,18,19,20,21,23,24,25,26,27,28,29,30,31,32,34,35,36,37,38},1,FIND(MID($B194,4,1),"ABCDEFGHIJKLMNOPQRSTUVWXYZ")),"")</f>
        <v/>
      </c>
      <c r="K194">
        <f>IF($F194=1,FIND(MID($B194,5,1),"0123456789")-1,"")</f>
        <v/>
      </c>
      <c r="L194">
        <f>IF($F194=1,FIND(MID($B194,6,1),"0123456789")-1,"")</f>
        <v/>
      </c>
      <c r="M194">
        <f>IF($F194=1,FIND(MID($B194,7,1),"0123456789")-1,"")</f>
        <v/>
      </c>
      <c r="N194">
        <f>IF($F194=1,FIND(MID($B194,8,1),"0123456789")-1,"")</f>
        <v/>
      </c>
      <c r="O194">
        <f>IF($F194=1,FIND(MID($B194,9,1),"0123456789")-1,"")</f>
        <v/>
      </c>
      <c r="P194">
        <f>IF($F194=1,FIND(MID($B194,10,1),"0123456789")-1,"")</f>
        <v/>
      </c>
      <c r="Q194">
        <f>IF($F194=1,SUMPRODUCT($G194:$P194,{1,2,4,8,16,32,64,128,256,512}),"")</f>
        <v/>
      </c>
      <c r="R194">
        <f>IF($F194=1,MOD(MOD($Q194,11),10),"")</f>
        <v/>
      </c>
    </row>
    <row r="195">
      <c r="A195" s="6" t="n"/>
      <c r="B195" s="7">
        <f>IF($A195="","",UPPER(SUBSTITUTE(SUBSTITUTE(SUBSTITUTE(SUBSTITUTE(SUBSTITUTE(SUBSTITUTE($A195," ",""),"-",""),".",""),"/",""),"i","I"),"ı","?")))</f>
        <v/>
      </c>
      <c r="C195" s="8">
        <f>IF($F195=1,$R195,"")</f>
        <v/>
      </c>
      <c r="D195" s="7">
        <f>IF($A195="","",IF($F195=0,"Biçim hatalı",IF(FIND(MID($B195,11,1),"0123456789")-1=$R195,"Geçerli","Kontrol hanesi hatalı (doğrusu: "&amp;$R195&amp;")")))</f>
        <v/>
      </c>
      <c r="F195">
        <f>IF($A195="","",IF(AND(LEN($B195)=11,SUMPRODUCT(--ISNUMBER(FIND(MID($B195,{1,2,3},1),"ABCDEFGHIJKLMNOPQRSTUVWXYZ")))=3,ISNUMBER(FIND(MID($B195,4,1),"UJZ")),SUMPRODUCT(--ISNUMBER(FIND(MID($B195,{5,6,7,8,9,10,11},1),"0123456789")))=7),1,0))</f>
        <v/>
      </c>
      <c r="G195">
        <f>IF($F195=1,INDEX({10,12,13,14,15,16,17,18,19,20,21,23,24,25,26,27,28,29,30,31,32,34,35,36,37,38},1,FIND(MID($B195,1,1),"ABCDEFGHIJKLMNOPQRSTUVWXYZ")),"")</f>
        <v/>
      </c>
      <c r="H195">
        <f>IF($F195=1,INDEX({10,12,13,14,15,16,17,18,19,20,21,23,24,25,26,27,28,29,30,31,32,34,35,36,37,38},1,FIND(MID($B195,2,1),"ABCDEFGHIJKLMNOPQRSTUVWXYZ")),"")</f>
        <v/>
      </c>
      <c r="I195">
        <f>IF($F195=1,INDEX({10,12,13,14,15,16,17,18,19,20,21,23,24,25,26,27,28,29,30,31,32,34,35,36,37,38},1,FIND(MID($B195,3,1),"ABCDEFGHIJKLMNOPQRSTUVWXYZ")),"")</f>
        <v/>
      </c>
      <c r="J195">
        <f>IF($F195=1,INDEX({10,12,13,14,15,16,17,18,19,20,21,23,24,25,26,27,28,29,30,31,32,34,35,36,37,38},1,FIND(MID($B195,4,1),"ABCDEFGHIJKLMNOPQRSTUVWXYZ")),"")</f>
        <v/>
      </c>
      <c r="K195">
        <f>IF($F195=1,FIND(MID($B195,5,1),"0123456789")-1,"")</f>
        <v/>
      </c>
      <c r="L195">
        <f>IF($F195=1,FIND(MID($B195,6,1),"0123456789")-1,"")</f>
        <v/>
      </c>
      <c r="M195">
        <f>IF($F195=1,FIND(MID($B195,7,1),"0123456789")-1,"")</f>
        <v/>
      </c>
      <c r="N195">
        <f>IF($F195=1,FIND(MID($B195,8,1),"0123456789")-1,"")</f>
        <v/>
      </c>
      <c r="O195">
        <f>IF($F195=1,FIND(MID($B195,9,1),"0123456789")-1,"")</f>
        <v/>
      </c>
      <c r="P195">
        <f>IF($F195=1,FIND(MID($B195,10,1),"0123456789")-1,"")</f>
        <v/>
      </c>
      <c r="Q195">
        <f>IF($F195=1,SUMPRODUCT($G195:$P195,{1,2,4,8,16,32,64,128,256,512}),"")</f>
        <v/>
      </c>
      <c r="R195">
        <f>IF($F195=1,MOD(MOD($Q195,11),10),"")</f>
        <v/>
      </c>
    </row>
    <row r="196">
      <c r="A196" s="6" t="n"/>
      <c r="B196" s="7">
        <f>IF($A196="","",UPPER(SUBSTITUTE(SUBSTITUTE(SUBSTITUTE(SUBSTITUTE(SUBSTITUTE(SUBSTITUTE($A196," ",""),"-",""),".",""),"/",""),"i","I"),"ı","?")))</f>
        <v/>
      </c>
      <c r="C196" s="8">
        <f>IF($F196=1,$R196,"")</f>
        <v/>
      </c>
      <c r="D196" s="7">
        <f>IF($A196="","",IF($F196=0,"Biçim hatalı",IF(FIND(MID($B196,11,1),"0123456789")-1=$R196,"Geçerli","Kontrol hanesi hatalı (doğrusu: "&amp;$R196&amp;")")))</f>
        <v/>
      </c>
      <c r="F196">
        <f>IF($A196="","",IF(AND(LEN($B196)=11,SUMPRODUCT(--ISNUMBER(FIND(MID($B196,{1,2,3},1),"ABCDEFGHIJKLMNOPQRSTUVWXYZ")))=3,ISNUMBER(FIND(MID($B196,4,1),"UJZ")),SUMPRODUCT(--ISNUMBER(FIND(MID($B196,{5,6,7,8,9,10,11},1),"0123456789")))=7),1,0))</f>
        <v/>
      </c>
      <c r="G196">
        <f>IF($F196=1,INDEX({10,12,13,14,15,16,17,18,19,20,21,23,24,25,26,27,28,29,30,31,32,34,35,36,37,38},1,FIND(MID($B196,1,1),"ABCDEFGHIJKLMNOPQRSTUVWXYZ")),"")</f>
        <v/>
      </c>
      <c r="H196">
        <f>IF($F196=1,INDEX({10,12,13,14,15,16,17,18,19,20,21,23,24,25,26,27,28,29,30,31,32,34,35,36,37,38},1,FIND(MID($B196,2,1),"ABCDEFGHIJKLMNOPQRSTUVWXYZ")),"")</f>
        <v/>
      </c>
      <c r="I196">
        <f>IF($F196=1,INDEX({10,12,13,14,15,16,17,18,19,20,21,23,24,25,26,27,28,29,30,31,32,34,35,36,37,38},1,FIND(MID($B196,3,1),"ABCDEFGHIJKLMNOPQRSTUVWXYZ")),"")</f>
        <v/>
      </c>
      <c r="J196">
        <f>IF($F196=1,INDEX({10,12,13,14,15,16,17,18,19,20,21,23,24,25,26,27,28,29,30,31,32,34,35,36,37,38},1,FIND(MID($B196,4,1),"ABCDEFGHIJKLMNOPQRSTUVWXYZ")),"")</f>
        <v/>
      </c>
      <c r="K196">
        <f>IF($F196=1,FIND(MID($B196,5,1),"0123456789")-1,"")</f>
        <v/>
      </c>
      <c r="L196">
        <f>IF($F196=1,FIND(MID($B196,6,1),"0123456789")-1,"")</f>
        <v/>
      </c>
      <c r="M196">
        <f>IF($F196=1,FIND(MID($B196,7,1),"0123456789")-1,"")</f>
        <v/>
      </c>
      <c r="N196">
        <f>IF($F196=1,FIND(MID($B196,8,1),"0123456789")-1,"")</f>
        <v/>
      </c>
      <c r="O196">
        <f>IF($F196=1,FIND(MID($B196,9,1),"0123456789")-1,"")</f>
        <v/>
      </c>
      <c r="P196">
        <f>IF($F196=1,FIND(MID($B196,10,1),"0123456789")-1,"")</f>
        <v/>
      </c>
      <c r="Q196">
        <f>IF($F196=1,SUMPRODUCT($G196:$P196,{1,2,4,8,16,32,64,128,256,512}),"")</f>
        <v/>
      </c>
      <c r="R196">
        <f>IF($F196=1,MOD(MOD($Q196,11),10),"")</f>
        <v/>
      </c>
    </row>
    <row r="197">
      <c r="A197" s="6" t="n"/>
      <c r="B197" s="7">
        <f>IF($A197="","",UPPER(SUBSTITUTE(SUBSTITUTE(SUBSTITUTE(SUBSTITUTE(SUBSTITUTE(SUBSTITUTE($A197," ",""),"-",""),".",""),"/",""),"i","I"),"ı","?")))</f>
        <v/>
      </c>
      <c r="C197" s="8">
        <f>IF($F197=1,$R197,"")</f>
        <v/>
      </c>
      <c r="D197" s="7">
        <f>IF($A197="","",IF($F197=0,"Biçim hatalı",IF(FIND(MID($B197,11,1),"0123456789")-1=$R197,"Geçerli","Kontrol hanesi hatalı (doğrusu: "&amp;$R197&amp;")")))</f>
        <v/>
      </c>
      <c r="F197">
        <f>IF($A197="","",IF(AND(LEN($B197)=11,SUMPRODUCT(--ISNUMBER(FIND(MID($B197,{1,2,3},1),"ABCDEFGHIJKLMNOPQRSTUVWXYZ")))=3,ISNUMBER(FIND(MID($B197,4,1),"UJZ")),SUMPRODUCT(--ISNUMBER(FIND(MID($B197,{5,6,7,8,9,10,11},1),"0123456789")))=7),1,0))</f>
        <v/>
      </c>
      <c r="G197">
        <f>IF($F197=1,INDEX({10,12,13,14,15,16,17,18,19,20,21,23,24,25,26,27,28,29,30,31,32,34,35,36,37,38},1,FIND(MID($B197,1,1),"ABCDEFGHIJKLMNOPQRSTUVWXYZ")),"")</f>
        <v/>
      </c>
      <c r="H197">
        <f>IF($F197=1,INDEX({10,12,13,14,15,16,17,18,19,20,21,23,24,25,26,27,28,29,30,31,32,34,35,36,37,38},1,FIND(MID($B197,2,1),"ABCDEFGHIJKLMNOPQRSTUVWXYZ")),"")</f>
        <v/>
      </c>
      <c r="I197">
        <f>IF($F197=1,INDEX({10,12,13,14,15,16,17,18,19,20,21,23,24,25,26,27,28,29,30,31,32,34,35,36,37,38},1,FIND(MID($B197,3,1),"ABCDEFGHIJKLMNOPQRSTUVWXYZ")),"")</f>
        <v/>
      </c>
      <c r="J197">
        <f>IF($F197=1,INDEX({10,12,13,14,15,16,17,18,19,20,21,23,24,25,26,27,28,29,30,31,32,34,35,36,37,38},1,FIND(MID($B197,4,1),"ABCDEFGHIJKLMNOPQRSTUVWXYZ")),"")</f>
        <v/>
      </c>
      <c r="K197">
        <f>IF($F197=1,FIND(MID($B197,5,1),"0123456789")-1,"")</f>
        <v/>
      </c>
      <c r="L197">
        <f>IF($F197=1,FIND(MID($B197,6,1),"0123456789")-1,"")</f>
        <v/>
      </c>
      <c r="M197">
        <f>IF($F197=1,FIND(MID($B197,7,1),"0123456789")-1,"")</f>
        <v/>
      </c>
      <c r="N197">
        <f>IF($F197=1,FIND(MID($B197,8,1),"0123456789")-1,"")</f>
        <v/>
      </c>
      <c r="O197">
        <f>IF($F197=1,FIND(MID($B197,9,1),"0123456789")-1,"")</f>
        <v/>
      </c>
      <c r="P197">
        <f>IF($F197=1,FIND(MID($B197,10,1),"0123456789")-1,"")</f>
        <v/>
      </c>
      <c r="Q197">
        <f>IF($F197=1,SUMPRODUCT($G197:$P197,{1,2,4,8,16,32,64,128,256,512}),"")</f>
        <v/>
      </c>
      <c r="R197">
        <f>IF($F197=1,MOD(MOD($Q197,11),10),"")</f>
        <v/>
      </c>
    </row>
    <row r="198">
      <c r="A198" s="6" t="n"/>
      <c r="B198" s="7">
        <f>IF($A198="","",UPPER(SUBSTITUTE(SUBSTITUTE(SUBSTITUTE(SUBSTITUTE(SUBSTITUTE(SUBSTITUTE($A198," ",""),"-",""),".",""),"/",""),"i","I"),"ı","?")))</f>
        <v/>
      </c>
      <c r="C198" s="8">
        <f>IF($F198=1,$R198,"")</f>
        <v/>
      </c>
      <c r="D198" s="7">
        <f>IF($A198="","",IF($F198=0,"Biçim hatalı",IF(FIND(MID($B198,11,1),"0123456789")-1=$R198,"Geçerli","Kontrol hanesi hatalı (doğrusu: "&amp;$R198&amp;")")))</f>
        <v/>
      </c>
      <c r="F198">
        <f>IF($A198="","",IF(AND(LEN($B198)=11,SUMPRODUCT(--ISNUMBER(FIND(MID($B198,{1,2,3},1),"ABCDEFGHIJKLMNOPQRSTUVWXYZ")))=3,ISNUMBER(FIND(MID($B198,4,1),"UJZ")),SUMPRODUCT(--ISNUMBER(FIND(MID($B198,{5,6,7,8,9,10,11},1),"0123456789")))=7),1,0))</f>
        <v/>
      </c>
      <c r="G198">
        <f>IF($F198=1,INDEX({10,12,13,14,15,16,17,18,19,20,21,23,24,25,26,27,28,29,30,31,32,34,35,36,37,38},1,FIND(MID($B198,1,1),"ABCDEFGHIJKLMNOPQRSTUVWXYZ")),"")</f>
        <v/>
      </c>
      <c r="H198">
        <f>IF($F198=1,INDEX({10,12,13,14,15,16,17,18,19,20,21,23,24,25,26,27,28,29,30,31,32,34,35,36,37,38},1,FIND(MID($B198,2,1),"ABCDEFGHIJKLMNOPQRSTUVWXYZ")),"")</f>
        <v/>
      </c>
      <c r="I198">
        <f>IF($F198=1,INDEX({10,12,13,14,15,16,17,18,19,20,21,23,24,25,26,27,28,29,30,31,32,34,35,36,37,38},1,FIND(MID($B198,3,1),"ABCDEFGHIJKLMNOPQRSTUVWXYZ")),"")</f>
        <v/>
      </c>
      <c r="J198">
        <f>IF($F198=1,INDEX({10,12,13,14,15,16,17,18,19,20,21,23,24,25,26,27,28,29,30,31,32,34,35,36,37,38},1,FIND(MID($B198,4,1),"ABCDEFGHIJKLMNOPQRSTUVWXYZ")),"")</f>
        <v/>
      </c>
      <c r="K198">
        <f>IF($F198=1,FIND(MID($B198,5,1),"0123456789")-1,"")</f>
        <v/>
      </c>
      <c r="L198">
        <f>IF($F198=1,FIND(MID($B198,6,1),"0123456789")-1,"")</f>
        <v/>
      </c>
      <c r="M198">
        <f>IF($F198=1,FIND(MID($B198,7,1),"0123456789")-1,"")</f>
        <v/>
      </c>
      <c r="N198">
        <f>IF($F198=1,FIND(MID($B198,8,1),"0123456789")-1,"")</f>
        <v/>
      </c>
      <c r="O198">
        <f>IF($F198=1,FIND(MID($B198,9,1),"0123456789")-1,"")</f>
        <v/>
      </c>
      <c r="P198">
        <f>IF($F198=1,FIND(MID($B198,10,1),"0123456789")-1,"")</f>
        <v/>
      </c>
      <c r="Q198">
        <f>IF($F198=1,SUMPRODUCT($G198:$P198,{1,2,4,8,16,32,64,128,256,512}),"")</f>
        <v/>
      </c>
      <c r="R198">
        <f>IF($F198=1,MOD(MOD($Q198,11),10),"")</f>
        <v/>
      </c>
    </row>
    <row r="199">
      <c r="A199" s="6" t="n"/>
      <c r="B199" s="7">
        <f>IF($A199="","",UPPER(SUBSTITUTE(SUBSTITUTE(SUBSTITUTE(SUBSTITUTE(SUBSTITUTE(SUBSTITUTE($A199," ",""),"-",""),".",""),"/",""),"i","I"),"ı","?")))</f>
        <v/>
      </c>
      <c r="C199" s="8">
        <f>IF($F199=1,$R199,"")</f>
        <v/>
      </c>
      <c r="D199" s="7">
        <f>IF($A199="","",IF($F199=0,"Biçim hatalı",IF(FIND(MID($B199,11,1),"0123456789")-1=$R199,"Geçerli","Kontrol hanesi hatalı (doğrusu: "&amp;$R199&amp;")")))</f>
        <v/>
      </c>
      <c r="F199">
        <f>IF($A199="","",IF(AND(LEN($B199)=11,SUMPRODUCT(--ISNUMBER(FIND(MID($B199,{1,2,3},1),"ABCDEFGHIJKLMNOPQRSTUVWXYZ")))=3,ISNUMBER(FIND(MID($B199,4,1),"UJZ")),SUMPRODUCT(--ISNUMBER(FIND(MID($B199,{5,6,7,8,9,10,11},1),"0123456789")))=7),1,0))</f>
        <v/>
      </c>
      <c r="G199">
        <f>IF($F199=1,INDEX({10,12,13,14,15,16,17,18,19,20,21,23,24,25,26,27,28,29,30,31,32,34,35,36,37,38},1,FIND(MID($B199,1,1),"ABCDEFGHIJKLMNOPQRSTUVWXYZ")),"")</f>
        <v/>
      </c>
      <c r="H199">
        <f>IF($F199=1,INDEX({10,12,13,14,15,16,17,18,19,20,21,23,24,25,26,27,28,29,30,31,32,34,35,36,37,38},1,FIND(MID($B199,2,1),"ABCDEFGHIJKLMNOPQRSTUVWXYZ")),"")</f>
        <v/>
      </c>
      <c r="I199">
        <f>IF($F199=1,INDEX({10,12,13,14,15,16,17,18,19,20,21,23,24,25,26,27,28,29,30,31,32,34,35,36,37,38},1,FIND(MID($B199,3,1),"ABCDEFGHIJKLMNOPQRSTUVWXYZ")),"")</f>
        <v/>
      </c>
      <c r="J199">
        <f>IF($F199=1,INDEX({10,12,13,14,15,16,17,18,19,20,21,23,24,25,26,27,28,29,30,31,32,34,35,36,37,38},1,FIND(MID($B199,4,1),"ABCDEFGHIJKLMNOPQRSTUVWXYZ")),"")</f>
        <v/>
      </c>
      <c r="K199">
        <f>IF($F199=1,FIND(MID($B199,5,1),"0123456789")-1,"")</f>
        <v/>
      </c>
      <c r="L199">
        <f>IF($F199=1,FIND(MID($B199,6,1),"0123456789")-1,"")</f>
        <v/>
      </c>
      <c r="M199">
        <f>IF($F199=1,FIND(MID($B199,7,1),"0123456789")-1,"")</f>
        <v/>
      </c>
      <c r="N199">
        <f>IF($F199=1,FIND(MID($B199,8,1),"0123456789")-1,"")</f>
        <v/>
      </c>
      <c r="O199">
        <f>IF($F199=1,FIND(MID($B199,9,1),"0123456789")-1,"")</f>
        <v/>
      </c>
      <c r="P199">
        <f>IF($F199=1,FIND(MID($B199,10,1),"0123456789")-1,"")</f>
        <v/>
      </c>
      <c r="Q199">
        <f>IF($F199=1,SUMPRODUCT($G199:$P199,{1,2,4,8,16,32,64,128,256,512}),"")</f>
        <v/>
      </c>
      <c r="R199">
        <f>IF($F199=1,MOD(MOD($Q199,11),10),"")</f>
        <v/>
      </c>
    </row>
    <row r="200">
      <c r="A200" s="6" t="n"/>
      <c r="B200" s="7">
        <f>IF($A200="","",UPPER(SUBSTITUTE(SUBSTITUTE(SUBSTITUTE(SUBSTITUTE(SUBSTITUTE(SUBSTITUTE($A200," ",""),"-",""),".",""),"/",""),"i","I"),"ı","?")))</f>
        <v/>
      </c>
      <c r="C200" s="8">
        <f>IF($F200=1,$R200,"")</f>
        <v/>
      </c>
      <c r="D200" s="7">
        <f>IF($A200="","",IF($F200=0,"Biçim hatalı",IF(FIND(MID($B200,11,1),"0123456789")-1=$R200,"Geçerli","Kontrol hanesi hatalı (doğrusu: "&amp;$R200&amp;")")))</f>
        <v/>
      </c>
      <c r="F200">
        <f>IF($A200="","",IF(AND(LEN($B200)=11,SUMPRODUCT(--ISNUMBER(FIND(MID($B200,{1,2,3},1),"ABCDEFGHIJKLMNOPQRSTUVWXYZ")))=3,ISNUMBER(FIND(MID($B200,4,1),"UJZ")),SUMPRODUCT(--ISNUMBER(FIND(MID($B200,{5,6,7,8,9,10,11},1),"0123456789")))=7),1,0))</f>
        <v/>
      </c>
      <c r="G200">
        <f>IF($F200=1,INDEX({10,12,13,14,15,16,17,18,19,20,21,23,24,25,26,27,28,29,30,31,32,34,35,36,37,38},1,FIND(MID($B200,1,1),"ABCDEFGHIJKLMNOPQRSTUVWXYZ")),"")</f>
        <v/>
      </c>
      <c r="H200">
        <f>IF($F200=1,INDEX({10,12,13,14,15,16,17,18,19,20,21,23,24,25,26,27,28,29,30,31,32,34,35,36,37,38},1,FIND(MID($B200,2,1),"ABCDEFGHIJKLMNOPQRSTUVWXYZ")),"")</f>
        <v/>
      </c>
      <c r="I200">
        <f>IF($F200=1,INDEX({10,12,13,14,15,16,17,18,19,20,21,23,24,25,26,27,28,29,30,31,32,34,35,36,37,38},1,FIND(MID($B200,3,1),"ABCDEFGHIJKLMNOPQRSTUVWXYZ")),"")</f>
        <v/>
      </c>
      <c r="J200">
        <f>IF($F200=1,INDEX({10,12,13,14,15,16,17,18,19,20,21,23,24,25,26,27,28,29,30,31,32,34,35,36,37,38},1,FIND(MID($B200,4,1),"ABCDEFGHIJKLMNOPQRSTUVWXYZ")),"")</f>
        <v/>
      </c>
      <c r="K200">
        <f>IF($F200=1,FIND(MID($B200,5,1),"0123456789")-1,"")</f>
        <v/>
      </c>
      <c r="L200">
        <f>IF($F200=1,FIND(MID($B200,6,1),"0123456789")-1,"")</f>
        <v/>
      </c>
      <c r="M200">
        <f>IF($F200=1,FIND(MID($B200,7,1),"0123456789")-1,"")</f>
        <v/>
      </c>
      <c r="N200">
        <f>IF($F200=1,FIND(MID($B200,8,1),"0123456789")-1,"")</f>
        <v/>
      </c>
      <c r="O200">
        <f>IF($F200=1,FIND(MID($B200,9,1),"0123456789")-1,"")</f>
        <v/>
      </c>
      <c r="P200">
        <f>IF($F200=1,FIND(MID($B200,10,1),"0123456789")-1,"")</f>
        <v/>
      </c>
      <c r="Q200">
        <f>IF($F200=1,SUMPRODUCT($G200:$P200,{1,2,4,8,16,32,64,128,256,512}),"")</f>
        <v/>
      </c>
      <c r="R200">
        <f>IF($F200=1,MOD(MOD($Q200,11),10),"")</f>
        <v/>
      </c>
    </row>
    <row r="201">
      <c r="A201" s="6" t="n"/>
      <c r="B201" s="7">
        <f>IF($A201="","",UPPER(SUBSTITUTE(SUBSTITUTE(SUBSTITUTE(SUBSTITUTE(SUBSTITUTE(SUBSTITUTE($A201," ",""),"-",""),".",""),"/",""),"i","I"),"ı","?")))</f>
        <v/>
      </c>
      <c r="C201" s="8">
        <f>IF($F201=1,$R201,"")</f>
        <v/>
      </c>
      <c r="D201" s="7">
        <f>IF($A201="","",IF($F201=0,"Biçim hatalı",IF(FIND(MID($B201,11,1),"0123456789")-1=$R201,"Geçerli","Kontrol hanesi hatalı (doğrusu: "&amp;$R201&amp;")")))</f>
        <v/>
      </c>
      <c r="F201">
        <f>IF($A201="","",IF(AND(LEN($B201)=11,SUMPRODUCT(--ISNUMBER(FIND(MID($B201,{1,2,3},1),"ABCDEFGHIJKLMNOPQRSTUVWXYZ")))=3,ISNUMBER(FIND(MID($B201,4,1),"UJZ")),SUMPRODUCT(--ISNUMBER(FIND(MID($B201,{5,6,7,8,9,10,11},1),"0123456789")))=7),1,0))</f>
        <v/>
      </c>
      <c r="G201">
        <f>IF($F201=1,INDEX({10,12,13,14,15,16,17,18,19,20,21,23,24,25,26,27,28,29,30,31,32,34,35,36,37,38},1,FIND(MID($B201,1,1),"ABCDEFGHIJKLMNOPQRSTUVWXYZ")),"")</f>
        <v/>
      </c>
      <c r="H201">
        <f>IF($F201=1,INDEX({10,12,13,14,15,16,17,18,19,20,21,23,24,25,26,27,28,29,30,31,32,34,35,36,37,38},1,FIND(MID($B201,2,1),"ABCDEFGHIJKLMNOPQRSTUVWXYZ")),"")</f>
        <v/>
      </c>
      <c r="I201">
        <f>IF($F201=1,INDEX({10,12,13,14,15,16,17,18,19,20,21,23,24,25,26,27,28,29,30,31,32,34,35,36,37,38},1,FIND(MID($B201,3,1),"ABCDEFGHIJKLMNOPQRSTUVWXYZ")),"")</f>
        <v/>
      </c>
      <c r="J201">
        <f>IF($F201=1,INDEX({10,12,13,14,15,16,17,18,19,20,21,23,24,25,26,27,28,29,30,31,32,34,35,36,37,38},1,FIND(MID($B201,4,1),"ABCDEFGHIJKLMNOPQRSTUVWXYZ")),"")</f>
        <v/>
      </c>
      <c r="K201">
        <f>IF($F201=1,FIND(MID($B201,5,1),"0123456789")-1,"")</f>
        <v/>
      </c>
      <c r="L201">
        <f>IF($F201=1,FIND(MID($B201,6,1),"0123456789")-1,"")</f>
        <v/>
      </c>
      <c r="M201">
        <f>IF($F201=1,FIND(MID($B201,7,1),"0123456789")-1,"")</f>
        <v/>
      </c>
      <c r="N201">
        <f>IF($F201=1,FIND(MID($B201,8,1),"0123456789")-1,"")</f>
        <v/>
      </c>
      <c r="O201">
        <f>IF($F201=1,FIND(MID($B201,9,1),"0123456789")-1,"")</f>
        <v/>
      </c>
      <c r="P201">
        <f>IF($F201=1,FIND(MID($B201,10,1),"0123456789")-1,"")</f>
        <v/>
      </c>
      <c r="Q201">
        <f>IF($F201=1,SUMPRODUCT($G201:$P201,{1,2,4,8,16,32,64,128,256,512}),"")</f>
        <v/>
      </c>
      <c r="R201">
        <f>IF($F201=1,MOD(MOD($Q201,11),10),"")</f>
        <v/>
      </c>
    </row>
    <row r="202">
      <c r="A202" s="6" t="n"/>
      <c r="B202" s="7">
        <f>IF($A202="","",UPPER(SUBSTITUTE(SUBSTITUTE(SUBSTITUTE(SUBSTITUTE(SUBSTITUTE(SUBSTITUTE($A202," ",""),"-",""),".",""),"/",""),"i","I"),"ı","?")))</f>
        <v/>
      </c>
      <c r="C202" s="8">
        <f>IF($F202=1,$R202,"")</f>
        <v/>
      </c>
      <c r="D202" s="7">
        <f>IF($A202="","",IF($F202=0,"Biçim hatalı",IF(FIND(MID($B202,11,1),"0123456789")-1=$R202,"Geçerli","Kontrol hanesi hatalı (doğrusu: "&amp;$R202&amp;")")))</f>
        <v/>
      </c>
      <c r="F202">
        <f>IF($A202="","",IF(AND(LEN($B202)=11,SUMPRODUCT(--ISNUMBER(FIND(MID($B202,{1,2,3},1),"ABCDEFGHIJKLMNOPQRSTUVWXYZ")))=3,ISNUMBER(FIND(MID($B202,4,1),"UJZ")),SUMPRODUCT(--ISNUMBER(FIND(MID($B202,{5,6,7,8,9,10,11},1),"0123456789")))=7),1,0))</f>
        <v/>
      </c>
      <c r="G202">
        <f>IF($F202=1,INDEX({10,12,13,14,15,16,17,18,19,20,21,23,24,25,26,27,28,29,30,31,32,34,35,36,37,38},1,FIND(MID($B202,1,1),"ABCDEFGHIJKLMNOPQRSTUVWXYZ")),"")</f>
        <v/>
      </c>
      <c r="H202">
        <f>IF($F202=1,INDEX({10,12,13,14,15,16,17,18,19,20,21,23,24,25,26,27,28,29,30,31,32,34,35,36,37,38},1,FIND(MID($B202,2,1),"ABCDEFGHIJKLMNOPQRSTUVWXYZ")),"")</f>
        <v/>
      </c>
      <c r="I202">
        <f>IF($F202=1,INDEX({10,12,13,14,15,16,17,18,19,20,21,23,24,25,26,27,28,29,30,31,32,34,35,36,37,38},1,FIND(MID($B202,3,1),"ABCDEFGHIJKLMNOPQRSTUVWXYZ")),"")</f>
        <v/>
      </c>
      <c r="J202">
        <f>IF($F202=1,INDEX({10,12,13,14,15,16,17,18,19,20,21,23,24,25,26,27,28,29,30,31,32,34,35,36,37,38},1,FIND(MID($B202,4,1),"ABCDEFGHIJKLMNOPQRSTUVWXYZ")),"")</f>
        <v/>
      </c>
      <c r="K202">
        <f>IF($F202=1,FIND(MID($B202,5,1),"0123456789")-1,"")</f>
        <v/>
      </c>
      <c r="L202">
        <f>IF($F202=1,FIND(MID($B202,6,1),"0123456789")-1,"")</f>
        <v/>
      </c>
      <c r="M202">
        <f>IF($F202=1,FIND(MID($B202,7,1),"0123456789")-1,"")</f>
        <v/>
      </c>
      <c r="N202">
        <f>IF($F202=1,FIND(MID($B202,8,1),"0123456789")-1,"")</f>
        <v/>
      </c>
      <c r="O202">
        <f>IF($F202=1,FIND(MID($B202,9,1),"0123456789")-1,"")</f>
        <v/>
      </c>
      <c r="P202">
        <f>IF($F202=1,FIND(MID($B202,10,1),"0123456789")-1,"")</f>
        <v/>
      </c>
      <c r="Q202">
        <f>IF($F202=1,SUMPRODUCT($G202:$P202,{1,2,4,8,16,32,64,128,256,512}),"")</f>
        <v/>
      </c>
      <c r="R202">
        <f>IF($F202=1,MOD(MOD($Q202,11),10),"")</f>
        <v/>
      </c>
    </row>
    <row r="203">
      <c r="A203" s="6" t="n"/>
      <c r="B203" s="7">
        <f>IF($A203="","",UPPER(SUBSTITUTE(SUBSTITUTE(SUBSTITUTE(SUBSTITUTE(SUBSTITUTE(SUBSTITUTE($A203," ",""),"-",""),".",""),"/",""),"i","I"),"ı","?")))</f>
        <v/>
      </c>
      <c r="C203" s="8">
        <f>IF($F203=1,$R203,"")</f>
        <v/>
      </c>
      <c r="D203" s="7">
        <f>IF($A203="","",IF($F203=0,"Biçim hatalı",IF(FIND(MID($B203,11,1),"0123456789")-1=$R203,"Geçerli","Kontrol hanesi hatalı (doğrusu: "&amp;$R203&amp;")")))</f>
        <v/>
      </c>
      <c r="F203">
        <f>IF($A203="","",IF(AND(LEN($B203)=11,SUMPRODUCT(--ISNUMBER(FIND(MID($B203,{1,2,3},1),"ABCDEFGHIJKLMNOPQRSTUVWXYZ")))=3,ISNUMBER(FIND(MID($B203,4,1),"UJZ")),SUMPRODUCT(--ISNUMBER(FIND(MID($B203,{5,6,7,8,9,10,11},1),"0123456789")))=7),1,0))</f>
        <v/>
      </c>
      <c r="G203">
        <f>IF($F203=1,INDEX({10,12,13,14,15,16,17,18,19,20,21,23,24,25,26,27,28,29,30,31,32,34,35,36,37,38},1,FIND(MID($B203,1,1),"ABCDEFGHIJKLMNOPQRSTUVWXYZ")),"")</f>
        <v/>
      </c>
      <c r="H203">
        <f>IF($F203=1,INDEX({10,12,13,14,15,16,17,18,19,20,21,23,24,25,26,27,28,29,30,31,32,34,35,36,37,38},1,FIND(MID($B203,2,1),"ABCDEFGHIJKLMNOPQRSTUVWXYZ")),"")</f>
        <v/>
      </c>
      <c r="I203">
        <f>IF($F203=1,INDEX({10,12,13,14,15,16,17,18,19,20,21,23,24,25,26,27,28,29,30,31,32,34,35,36,37,38},1,FIND(MID($B203,3,1),"ABCDEFGHIJKLMNOPQRSTUVWXYZ")),"")</f>
        <v/>
      </c>
      <c r="J203">
        <f>IF($F203=1,INDEX({10,12,13,14,15,16,17,18,19,20,21,23,24,25,26,27,28,29,30,31,32,34,35,36,37,38},1,FIND(MID($B203,4,1),"ABCDEFGHIJKLMNOPQRSTUVWXYZ")),"")</f>
        <v/>
      </c>
      <c r="K203">
        <f>IF($F203=1,FIND(MID($B203,5,1),"0123456789")-1,"")</f>
        <v/>
      </c>
      <c r="L203">
        <f>IF($F203=1,FIND(MID($B203,6,1),"0123456789")-1,"")</f>
        <v/>
      </c>
      <c r="M203">
        <f>IF($F203=1,FIND(MID($B203,7,1),"0123456789")-1,"")</f>
        <v/>
      </c>
      <c r="N203">
        <f>IF($F203=1,FIND(MID($B203,8,1),"0123456789")-1,"")</f>
        <v/>
      </c>
      <c r="O203">
        <f>IF($F203=1,FIND(MID($B203,9,1),"0123456789")-1,"")</f>
        <v/>
      </c>
      <c r="P203">
        <f>IF($F203=1,FIND(MID($B203,10,1),"0123456789")-1,"")</f>
        <v/>
      </c>
      <c r="Q203">
        <f>IF($F203=1,SUMPRODUCT($G203:$P203,{1,2,4,8,16,32,64,128,256,512}),"")</f>
        <v/>
      </c>
      <c r="R203">
        <f>IF($F203=1,MOD(MOD($Q203,11),10),"")</f>
        <v/>
      </c>
    </row>
    <row r="204">
      <c r="A204" s="6" t="n"/>
      <c r="B204" s="7">
        <f>IF($A204="","",UPPER(SUBSTITUTE(SUBSTITUTE(SUBSTITUTE(SUBSTITUTE(SUBSTITUTE(SUBSTITUTE($A204," ",""),"-",""),".",""),"/",""),"i","I"),"ı","?")))</f>
        <v/>
      </c>
      <c r="C204" s="8">
        <f>IF($F204=1,$R204,"")</f>
        <v/>
      </c>
      <c r="D204" s="7">
        <f>IF($A204="","",IF($F204=0,"Biçim hatalı",IF(FIND(MID($B204,11,1),"0123456789")-1=$R204,"Geçerli","Kontrol hanesi hatalı (doğrusu: "&amp;$R204&amp;")")))</f>
        <v/>
      </c>
      <c r="F204">
        <f>IF($A204="","",IF(AND(LEN($B204)=11,SUMPRODUCT(--ISNUMBER(FIND(MID($B204,{1,2,3},1),"ABCDEFGHIJKLMNOPQRSTUVWXYZ")))=3,ISNUMBER(FIND(MID($B204,4,1),"UJZ")),SUMPRODUCT(--ISNUMBER(FIND(MID($B204,{5,6,7,8,9,10,11},1),"0123456789")))=7),1,0))</f>
        <v/>
      </c>
      <c r="G204">
        <f>IF($F204=1,INDEX({10,12,13,14,15,16,17,18,19,20,21,23,24,25,26,27,28,29,30,31,32,34,35,36,37,38},1,FIND(MID($B204,1,1),"ABCDEFGHIJKLMNOPQRSTUVWXYZ")),"")</f>
        <v/>
      </c>
      <c r="H204">
        <f>IF($F204=1,INDEX({10,12,13,14,15,16,17,18,19,20,21,23,24,25,26,27,28,29,30,31,32,34,35,36,37,38},1,FIND(MID($B204,2,1),"ABCDEFGHIJKLMNOPQRSTUVWXYZ")),"")</f>
        <v/>
      </c>
      <c r="I204">
        <f>IF($F204=1,INDEX({10,12,13,14,15,16,17,18,19,20,21,23,24,25,26,27,28,29,30,31,32,34,35,36,37,38},1,FIND(MID($B204,3,1),"ABCDEFGHIJKLMNOPQRSTUVWXYZ")),"")</f>
        <v/>
      </c>
      <c r="J204">
        <f>IF($F204=1,INDEX({10,12,13,14,15,16,17,18,19,20,21,23,24,25,26,27,28,29,30,31,32,34,35,36,37,38},1,FIND(MID($B204,4,1),"ABCDEFGHIJKLMNOPQRSTUVWXYZ")),"")</f>
        <v/>
      </c>
      <c r="K204">
        <f>IF($F204=1,FIND(MID($B204,5,1),"0123456789")-1,"")</f>
        <v/>
      </c>
      <c r="L204">
        <f>IF($F204=1,FIND(MID($B204,6,1),"0123456789")-1,"")</f>
        <v/>
      </c>
      <c r="M204">
        <f>IF($F204=1,FIND(MID($B204,7,1),"0123456789")-1,"")</f>
        <v/>
      </c>
      <c r="N204">
        <f>IF($F204=1,FIND(MID($B204,8,1),"0123456789")-1,"")</f>
        <v/>
      </c>
      <c r="O204">
        <f>IF($F204=1,FIND(MID($B204,9,1),"0123456789")-1,"")</f>
        <v/>
      </c>
      <c r="P204">
        <f>IF($F204=1,FIND(MID($B204,10,1),"0123456789")-1,"")</f>
        <v/>
      </c>
      <c r="Q204">
        <f>IF($F204=1,SUMPRODUCT($G204:$P204,{1,2,4,8,16,32,64,128,256,512}),"")</f>
        <v/>
      </c>
      <c r="R204">
        <f>IF($F204=1,MOD(MOD($Q204,11),10),"")</f>
        <v/>
      </c>
    </row>
    <row r="205">
      <c r="A205" s="6" t="n"/>
      <c r="B205" s="7">
        <f>IF($A205="","",UPPER(SUBSTITUTE(SUBSTITUTE(SUBSTITUTE(SUBSTITUTE(SUBSTITUTE(SUBSTITUTE($A205," ",""),"-",""),".",""),"/",""),"i","I"),"ı","?")))</f>
        <v/>
      </c>
      <c r="C205" s="8">
        <f>IF($F205=1,$R205,"")</f>
        <v/>
      </c>
      <c r="D205" s="7">
        <f>IF($A205="","",IF($F205=0,"Biçim hatalı",IF(FIND(MID($B205,11,1),"0123456789")-1=$R205,"Geçerli","Kontrol hanesi hatalı (doğrusu: "&amp;$R205&amp;")")))</f>
        <v/>
      </c>
      <c r="F205">
        <f>IF($A205="","",IF(AND(LEN($B205)=11,SUMPRODUCT(--ISNUMBER(FIND(MID($B205,{1,2,3},1),"ABCDEFGHIJKLMNOPQRSTUVWXYZ")))=3,ISNUMBER(FIND(MID($B205,4,1),"UJZ")),SUMPRODUCT(--ISNUMBER(FIND(MID($B205,{5,6,7,8,9,10,11},1),"0123456789")))=7),1,0))</f>
        <v/>
      </c>
      <c r="G205">
        <f>IF($F205=1,INDEX({10,12,13,14,15,16,17,18,19,20,21,23,24,25,26,27,28,29,30,31,32,34,35,36,37,38},1,FIND(MID($B205,1,1),"ABCDEFGHIJKLMNOPQRSTUVWXYZ")),"")</f>
        <v/>
      </c>
      <c r="H205">
        <f>IF($F205=1,INDEX({10,12,13,14,15,16,17,18,19,20,21,23,24,25,26,27,28,29,30,31,32,34,35,36,37,38},1,FIND(MID($B205,2,1),"ABCDEFGHIJKLMNOPQRSTUVWXYZ")),"")</f>
        <v/>
      </c>
      <c r="I205">
        <f>IF($F205=1,INDEX({10,12,13,14,15,16,17,18,19,20,21,23,24,25,26,27,28,29,30,31,32,34,35,36,37,38},1,FIND(MID($B205,3,1),"ABCDEFGHIJKLMNOPQRSTUVWXYZ")),"")</f>
        <v/>
      </c>
      <c r="J205">
        <f>IF($F205=1,INDEX({10,12,13,14,15,16,17,18,19,20,21,23,24,25,26,27,28,29,30,31,32,34,35,36,37,38},1,FIND(MID($B205,4,1),"ABCDEFGHIJKLMNOPQRSTUVWXYZ")),"")</f>
        <v/>
      </c>
      <c r="K205">
        <f>IF($F205=1,FIND(MID($B205,5,1),"0123456789")-1,"")</f>
        <v/>
      </c>
      <c r="L205">
        <f>IF($F205=1,FIND(MID($B205,6,1),"0123456789")-1,"")</f>
        <v/>
      </c>
      <c r="M205">
        <f>IF($F205=1,FIND(MID($B205,7,1),"0123456789")-1,"")</f>
        <v/>
      </c>
      <c r="N205">
        <f>IF($F205=1,FIND(MID($B205,8,1),"0123456789")-1,"")</f>
        <v/>
      </c>
      <c r="O205">
        <f>IF($F205=1,FIND(MID($B205,9,1),"0123456789")-1,"")</f>
        <v/>
      </c>
      <c r="P205">
        <f>IF($F205=1,FIND(MID($B205,10,1),"0123456789")-1,"")</f>
        <v/>
      </c>
      <c r="Q205">
        <f>IF($F205=1,SUMPRODUCT($G205:$P205,{1,2,4,8,16,32,64,128,256,512}),"")</f>
        <v/>
      </c>
      <c r="R205">
        <f>IF($F205=1,MOD(MOD($Q205,11),10),"")</f>
        <v/>
      </c>
    </row>
    <row r="206">
      <c r="A206" s="6" t="n"/>
      <c r="B206" s="7">
        <f>IF($A206="","",UPPER(SUBSTITUTE(SUBSTITUTE(SUBSTITUTE(SUBSTITUTE(SUBSTITUTE(SUBSTITUTE($A206," ",""),"-",""),".",""),"/",""),"i","I"),"ı","?")))</f>
        <v/>
      </c>
      <c r="C206" s="8">
        <f>IF($F206=1,$R206,"")</f>
        <v/>
      </c>
      <c r="D206" s="7">
        <f>IF($A206="","",IF($F206=0,"Biçim hatalı",IF(FIND(MID($B206,11,1),"0123456789")-1=$R206,"Geçerli","Kontrol hanesi hatalı (doğrusu: "&amp;$R206&amp;")")))</f>
        <v/>
      </c>
      <c r="F206">
        <f>IF($A206="","",IF(AND(LEN($B206)=11,SUMPRODUCT(--ISNUMBER(FIND(MID($B206,{1,2,3},1),"ABCDEFGHIJKLMNOPQRSTUVWXYZ")))=3,ISNUMBER(FIND(MID($B206,4,1),"UJZ")),SUMPRODUCT(--ISNUMBER(FIND(MID($B206,{5,6,7,8,9,10,11},1),"0123456789")))=7),1,0))</f>
        <v/>
      </c>
      <c r="G206">
        <f>IF($F206=1,INDEX({10,12,13,14,15,16,17,18,19,20,21,23,24,25,26,27,28,29,30,31,32,34,35,36,37,38},1,FIND(MID($B206,1,1),"ABCDEFGHIJKLMNOPQRSTUVWXYZ")),"")</f>
        <v/>
      </c>
      <c r="H206">
        <f>IF($F206=1,INDEX({10,12,13,14,15,16,17,18,19,20,21,23,24,25,26,27,28,29,30,31,32,34,35,36,37,38},1,FIND(MID($B206,2,1),"ABCDEFGHIJKLMNOPQRSTUVWXYZ")),"")</f>
        <v/>
      </c>
      <c r="I206">
        <f>IF($F206=1,INDEX({10,12,13,14,15,16,17,18,19,20,21,23,24,25,26,27,28,29,30,31,32,34,35,36,37,38},1,FIND(MID($B206,3,1),"ABCDEFGHIJKLMNOPQRSTUVWXYZ")),"")</f>
        <v/>
      </c>
      <c r="J206">
        <f>IF($F206=1,INDEX({10,12,13,14,15,16,17,18,19,20,21,23,24,25,26,27,28,29,30,31,32,34,35,36,37,38},1,FIND(MID($B206,4,1),"ABCDEFGHIJKLMNOPQRSTUVWXYZ")),"")</f>
        <v/>
      </c>
      <c r="K206">
        <f>IF($F206=1,FIND(MID($B206,5,1),"0123456789")-1,"")</f>
        <v/>
      </c>
      <c r="L206">
        <f>IF($F206=1,FIND(MID($B206,6,1),"0123456789")-1,"")</f>
        <v/>
      </c>
      <c r="M206">
        <f>IF($F206=1,FIND(MID($B206,7,1),"0123456789")-1,"")</f>
        <v/>
      </c>
      <c r="N206">
        <f>IF($F206=1,FIND(MID($B206,8,1),"0123456789")-1,"")</f>
        <v/>
      </c>
      <c r="O206">
        <f>IF($F206=1,FIND(MID($B206,9,1),"0123456789")-1,"")</f>
        <v/>
      </c>
      <c r="P206">
        <f>IF($F206=1,FIND(MID($B206,10,1),"0123456789")-1,"")</f>
        <v/>
      </c>
      <c r="Q206">
        <f>IF($F206=1,SUMPRODUCT($G206:$P206,{1,2,4,8,16,32,64,128,256,512}),"")</f>
        <v/>
      </c>
      <c r="R206">
        <f>IF($F206=1,MOD(MOD($Q206,11),10),"")</f>
        <v/>
      </c>
    </row>
    <row r="207">
      <c r="A207" s="6" t="n"/>
      <c r="B207" s="7">
        <f>IF($A207="","",UPPER(SUBSTITUTE(SUBSTITUTE(SUBSTITUTE(SUBSTITUTE(SUBSTITUTE(SUBSTITUTE($A207," ",""),"-",""),".",""),"/",""),"i","I"),"ı","?")))</f>
        <v/>
      </c>
      <c r="C207" s="8">
        <f>IF($F207=1,$R207,"")</f>
        <v/>
      </c>
      <c r="D207" s="7">
        <f>IF($A207="","",IF($F207=0,"Biçim hatalı",IF(FIND(MID($B207,11,1),"0123456789")-1=$R207,"Geçerli","Kontrol hanesi hatalı (doğrusu: "&amp;$R207&amp;")")))</f>
        <v/>
      </c>
      <c r="F207">
        <f>IF($A207="","",IF(AND(LEN($B207)=11,SUMPRODUCT(--ISNUMBER(FIND(MID($B207,{1,2,3},1),"ABCDEFGHIJKLMNOPQRSTUVWXYZ")))=3,ISNUMBER(FIND(MID($B207,4,1),"UJZ")),SUMPRODUCT(--ISNUMBER(FIND(MID($B207,{5,6,7,8,9,10,11},1),"0123456789")))=7),1,0))</f>
        <v/>
      </c>
      <c r="G207">
        <f>IF($F207=1,INDEX({10,12,13,14,15,16,17,18,19,20,21,23,24,25,26,27,28,29,30,31,32,34,35,36,37,38},1,FIND(MID($B207,1,1),"ABCDEFGHIJKLMNOPQRSTUVWXYZ")),"")</f>
        <v/>
      </c>
      <c r="H207">
        <f>IF($F207=1,INDEX({10,12,13,14,15,16,17,18,19,20,21,23,24,25,26,27,28,29,30,31,32,34,35,36,37,38},1,FIND(MID($B207,2,1),"ABCDEFGHIJKLMNOPQRSTUVWXYZ")),"")</f>
        <v/>
      </c>
      <c r="I207">
        <f>IF($F207=1,INDEX({10,12,13,14,15,16,17,18,19,20,21,23,24,25,26,27,28,29,30,31,32,34,35,36,37,38},1,FIND(MID($B207,3,1),"ABCDEFGHIJKLMNOPQRSTUVWXYZ")),"")</f>
        <v/>
      </c>
      <c r="J207">
        <f>IF($F207=1,INDEX({10,12,13,14,15,16,17,18,19,20,21,23,24,25,26,27,28,29,30,31,32,34,35,36,37,38},1,FIND(MID($B207,4,1),"ABCDEFGHIJKLMNOPQRSTUVWXYZ")),"")</f>
        <v/>
      </c>
      <c r="K207">
        <f>IF($F207=1,FIND(MID($B207,5,1),"0123456789")-1,"")</f>
        <v/>
      </c>
      <c r="L207">
        <f>IF($F207=1,FIND(MID($B207,6,1),"0123456789")-1,"")</f>
        <v/>
      </c>
      <c r="M207">
        <f>IF($F207=1,FIND(MID($B207,7,1),"0123456789")-1,"")</f>
        <v/>
      </c>
      <c r="N207">
        <f>IF($F207=1,FIND(MID($B207,8,1),"0123456789")-1,"")</f>
        <v/>
      </c>
      <c r="O207">
        <f>IF($F207=1,FIND(MID($B207,9,1),"0123456789")-1,"")</f>
        <v/>
      </c>
      <c r="P207">
        <f>IF($F207=1,FIND(MID($B207,10,1),"0123456789")-1,"")</f>
        <v/>
      </c>
      <c r="Q207">
        <f>IF($F207=1,SUMPRODUCT($G207:$P207,{1,2,4,8,16,32,64,128,256,512}),"")</f>
        <v/>
      </c>
      <c r="R207">
        <f>IF($F207=1,MOD(MOD($Q207,11),10),"")</f>
        <v/>
      </c>
    </row>
    <row r="208">
      <c r="A208" s="6" t="n"/>
      <c r="B208" s="7">
        <f>IF($A208="","",UPPER(SUBSTITUTE(SUBSTITUTE(SUBSTITUTE(SUBSTITUTE(SUBSTITUTE(SUBSTITUTE($A208," ",""),"-",""),".",""),"/",""),"i","I"),"ı","?")))</f>
        <v/>
      </c>
      <c r="C208" s="8">
        <f>IF($F208=1,$R208,"")</f>
        <v/>
      </c>
      <c r="D208" s="7">
        <f>IF($A208="","",IF($F208=0,"Biçim hatalı",IF(FIND(MID($B208,11,1),"0123456789")-1=$R208,"Geçerli","Kontrol hanesi hatalı (doğrusu: "&amp;$R208&amp;")")))</f>
        <v/>
      </c>
      <c r="F208">
        <f>IF($A208="","",IF(AND(LEN($B208)=11,SUMPRODUCT(--ISNUMBER(FIND(MID($B208,{1,2,3},1),"ABCDEFGHIJKLMNOPQRSTUVWXYZ")))=3,ISNUMBER(FIND(MID($B208,4,1),"UJZ")),SUMPRODUCT(--ISNUMBER(FIND(MID($B208,{5,6,7,8,9,10,11},1),"0123456789")))=7),1,0))</f>
        <v/>
      </c>
      <c r="G208">
        <f>IF($F208=1,INDEX({10,12,13,14,15,16,17,18,19,20,21,23,24,25,26,27,28,29,30,31,32,34,35,36,37,38},1,FIND(MID($B208,1,1),"ABCDEFGHIJKLMNOPQRSTUVWXYZ")),"")</f>
        <v/>
      </c>
      <c r="H208">
        <f>IF($F208=1,INDEX({10,12,13,14,15,16,17,18,19,20,21,23,24,25,26,27,28,29,30,31,32,34,35,36,37,38},1,FIND(MID($B208,2,1),"ABCDEFGHIJKLMNOPQRSTUVWXYZ")),"")</f>
        <v/>
      </c>
      <c r="I208">
        <f>IF($F208=1,INDEX({10,12,13,14,15,16,17,18,19,20,21,23,24,25,26,27,28,29,30,31,32,34,35,36,37,38},1,FIND(MID($B208,3,1),"ABCDEFGHIJKLMNOPQRSTUVWXYZ")),"")</f>
        <v/>
      </c>
      <c r="J208">
        <f>IF($F208=1,INDEX({10,12,13,14,15,16,17,18,19,20,21,23,24,25,26,27,28,29,30,31,32,34,35,36,37,38},1,FIND(MID($B208,4,1),"ABCDEFGHIJKLMNOPQRSTUVWXYZ")),"")</f>
        <v/>
      </c>
      <c r="K208">
        <f>IF($F208=1,FIND(MID($B208,5,1),"0123456789")-1,"")</f>
        <v/>
      </c>
      <c r="L208">
        <f>IF($F208=1,FIND(MID($B208,6,1),"0123456789")-1,"")</f>
        <v/>
      </c>
      <c r="M208">
        <f>IF($F208=1,FIND(MID($B208,7,1),"0123456789")-1,"")</f>
        <v/>
      </c>
      <c r="N208">
        <f>IF($F208=1,FIND(MID($B208,8,1),"0123456789")-1,"")</f>
        <v/>
      </c>
      <c r="O208">
        <f>IF($F208=1,FIND(MID($B208,9,1),"0123456789")-1,"")</f>
        <v/>
      </c>
      <c r="P208">
        <f>IF($F208=1,FIND(MID($B208,10,1),"0123456789")-1,"")</f>
        <v/>
      </c>
      <c r="Q208">
        <f>IF($F208=1,SUMPRODUCT($G208:$P208,{1,2,4,8,16,32,64,128,256,512}),"")</f>
        <v/>
      </c>
      <c r="R208">
        <f>IF($F208=1,MOD(MOD($Q208,11),10),"")</f>
        <v/>
      </c>
    </row>
    <row r="209">
      <c r="A209" s="6" t="n"/>
      <c r="B209" s="7">
        <f>IF($A209="","",UPPER(SUBSTITUTE(SUBSTITUTE(SUBSTITUTE(SUBSTITUTE(SUBSTITUTE(SUBSTITUTE($A209," ",""),"-",""),".",""),"/",""),"i","I"),"ı","?")))</f>
        <v/>
      </c>
      <c r="C209" s="8">
        <f>IF($F209=1,$R209,"")</f>
        <v/>
      </c>
      <c r="D209" s="7">
        <f>IF($A209="","",IF($F209=0,"Biçim hatalı",IF(FIND(MID($B209,11,1),"0123456789")-1=$R209,"Geçerli","Kontrol hanesi hatalı (doğrusu: "&amp;$R209&amp;")")))</f>
        <v/>
      </c>
      <c r="F209">
        <f>IF($A209="","",IF(AND(LEN($B209)=11,SUMPRODUCT(--ISNUMBER(FIND(MID($B209,{1,2,3},1),"ABCDEFGHIJKLMNOPQRSTUVWXYZ")))=3,ISNUMBER(FIND(MID($B209,4,1),"UJZ")),SUMPRODUCT(--ISNUMBER(FIND(MID($B209,{5,6,7,8,9,10,11},1),"0123456789")))=7),1,0))</f>
        <v/>
      </c>
      <c r="G209">
        <f>IF($F209=1,INDEX({10,12,13,14,15,16,17,18,19,20,21,23,24,25,26,27,28,29,30,31,32,34,35,36,37,38},1,FIND(MID($B209,1,1),"ABCDEFGHIJKLMNOPQRSTUVWXYZ")),"")</f>
        <v/>
      </c>
      <c r="H209">
        <f>IF($F209=1,INDEX({10,12,13,14,15,16,17,18,19,20,21,23,24,25,26,27,28,29,30,31,32,34,35,36,37,38},1,FIND(MID($B209,2,1),"ABCDEFGHIJKLMNOPQRSTUVWXYZ")),"")</f>
        <v/>
      </c>
      <c r="I209">
        <f>IF($F209=1,INDEX({10,12,13,14,15,16,17,18,19,20,21,23,24,25,26,27,28,29,30,31,32,34,35,36,37,38},1,FIND(MID($B209,3,1),"ABCDEFGHIJKLMNOPQRSTUVWXYZ")),"")</f>
        <v/>
      </c>
      <c r="J209">
        <f>IF($F209=1,INDEX({10,12,13,14,15,16,17,18,19,20,21,23,24,25,26,27,28,29,30,31,32,34,35,36,37,38},1,FIND(MID($B209,4,1),"ABCDEFGHIJKLMNOPQRSTUVWXYZ")),"")</f>
        <v/>
      </c>
      <c r="K209">
        <f>IF($F209=1,FIND(MID($B209,5,1),"0123456789")-1,"")</f>
        <v/>
      </c>
      <c r="L209">
        <f>IF($F209=1,FIND(MID($B209,6,1),"0123456789")-1,"")</f>
        <v/>
      </c>
      <c r="M209">
        <f>IF($F209=1,FIND(MID($B209,7,1),"0123456789")-1,"")</f>
        <v/>
      </c>
      <c r="N209">
        <f>IF($F209=1,FIND(MID($B209,8,1),"0123456789")-1,"")</f>
        <v/>
      </c>
      <c r="O209">
        <f>IF($F209=1,FIND(MID($B209,9,1),"0123456789")-1,"")</f>
        <v/>
      </c>
      <c r="P209">
        <f>IF($F209=1,FIND(MID($B209,10,1),"0123456789")-1,"")</f>
        <v/>
      </c>
      <c r="Q209">
        <f>IF($F209=1,SUMPRODUCT($G209:$P209,{1,2,4,8,16,32,64,128,256,512}),"")</f>
        <v/>
      </c>
      <c r="R209">
        <f>IF($F209=1,MOD(MOD($Q209,11),10),"")</f>
        <v/>
      </c>
    </row>
    <row r="210">
      <c r="A210" s="6" t="n"/>
      <c r="B210" s="7">
        <f>IF($A210="","",UPPER(SUBSTITUTE(SUBSTITUTE(SUBSTITUTE(SUBSTITUTE(SUBSTITUTE(SUBSTITUTE($A210," ",""),"-",""),".",""),"/",""),"i","I"),"ı","?")))</f>
        <v/>
      </c>
      <c r="C210" s="8">
        <f>IF($F210=1,$R210,"")</f>
        <v/>
      </c>
      <c r="D210" s="7">
        <f>IF($A210="","",IF($F210=0,"Biçim hatalı",IF(FIND(MID($B210,11,1),"0123456789")-1=$R210,"Geçerli","Kontrol hanesi hatalı (doğrusu: "&amp;$R210&amp;")")))</f>
        <v/>
      </c>
      <c r="F210">
        <f>IF($A210="","",IF(AND(LEN($B210)=11,SUMPRODUCT(--ISNUMBER(FIND(MID($B210,{1,2,3},1),"ABCDEFGHIJKLMNOPQRSTUVWXYZ")))=3,ISNUMBER(FIND(MID($B210,4,1),"UJZ")),SUMPRODUCT(--ISNUMBER(FIND(MID($B210,{5,6,7,8,9,10,11},1),"0123456789")))=7),1,0))</f>
        <v/>
      </c>
      <c r="G210">
        <f>IF($F210=1,INDEX({10,12,13,14,15,16,17,18,19,20,21,23,24,25,26,27,28,29,30,31,32,34,35,36,37,38},1,FIND(MID($B210,1,1),"ABCDEFGHIJKLMNOPQRSTUVWXYZ")),"")</f>
        <v/>
      </c>
      <c r="H210">
        <f>IF($F210=1,INDEX({10,12,13,14,15,16,17,18,19,20,21,23,24,25,26,27,28,29,30,31,32,34,35,36,37,38},1,FIND(MID($B210,2,1),"ABCDEFGHIJKLMNOPQRSTUVWXYZ")),"")</f>
        <v/>
      </c>
      <c r="I210">
        <f>IF($F210=1,INDEX({10,12,13,14,15,16,17,18,19,20,21,23,24,25,26,27,28,29,30,31,32,34,35,36,37,38},1,FIND(MID($B210,3,1),"ABCDEFGHIJKLMNOPQRSTUVWXYZ")),"")</f>
        <v/>
      </c>
      <c r="J210">
        <f>IF($F210=1,INDEX({10,12,13,14,15,16,17,18,19,20,21,23,24,25,26,27,28,29,30,31,32,34,35,36,37,38},1,FIND(MID($B210,4,1),"ABCDEFGHIJKLMNOPQRSTUVWXYZ")),"")</f>
        <v/>
      </c>
      <c r="K210">
        <f>IF($F210=1,FIND(MID($B210,5,1),"0123456789")-1,"")</f>
        <v/>
      </c>
      <c r="L210">
        <f>IF($F210=1,FIND(MID($B210,6,1),"0123456789")-1,"")</f>
        <v/>
      </c>
      <c r="M210">
        <f>IF($F210=1,FIND(MID($B210,7,1),"0123456789")-1,"")</f>
        <v/>
      </c>
      <c r="N210">
        <f>IF($F210=1,FIND(MID($B210,8,1),"0123456789")-1,"")</f>
        <v/>
      </c>
      <c r="O210">
        <f>IF($F210=1,FIND(MID($B210,9,1),"0123456789")-1,"")</f>
        <v/>
      </c>
      <c r="P210">
        <f>IF($F210=1,FIND(MID($B210,10,1),"0123456789")-1,"")</f>
        <v/>
      </c>
      <c r="Q210">
        <f>IF($F210=1,SUMPRODUCT($G210:$P210,{1,2,4,8,16,32,64,128,256,512}),"")</f>
        <v/>
      </c>
      <c r="R210">
        <f>IF($F210=1,MOD(MOD($Q210,11),10),"")</f>
        <v/>
      </c>
    </row>
    <row r="211">
      <c r="A211" s="6" t="n"/>
      <c r="B211" s="7">
        <f>IF($A211="","",UPPER(SUBSTITUTE(SUBSTITUTE(SUBSTITUTE(SUBSTITUTE(SUBSTITUTE(SUBSTITUTE($A211," ",""),"-",""),".",""),"/",""),"i","I"),"ı","?")))</f>
        <v/>
      </c>
      <c r="C211" s="8">
        <f>IF($F211=1,$R211,"")</f>
        <v/>
      </c>
      <c r="D211" s="7">
        <f>IF($A211="","",IF($F211=0,"Biçim hatalı",IF(FIND(MID($B211,11,1),"0123456789")-1=$R211,"Geçerli","Kontrol hanesi hatalı (doğrusu: "&amp;$R211&amp;")")))</f>
        <v/>
      </c>
      <c r="F211">
        <f>IF($A211="","",IF(AND(LEN($B211)=11,SUMPRODUCT(--ISNUMBER(FIND(MID($B211,{1,2,3},1),"ABCDEFGHIJKLMNOPQRSTUVWXYZ")))=3,ISNUMBER(FIND(MID($B211,4,1),"UJZ")),SUMPRODUCT(--ISNUMBER(FIND(MID($B211,{5,6,7,8,9,10,11},1),"0123456789")))=7),1,0))</f>
        <v/>
      </c>
      <c r="G211">
        <f>IF($F211=1,INDEX({10,12,13,14,15,16,17,18,19,20,21,23,24,25,26,27,28,29,30,31,32,34,35,36,37,38},1,FIND(MID($B211,1,1),"ABCDEFGHIJKLMNOPQRSTUVWXYZ")),"")</f>
        <v/>
      </c>
      <c r="H211">
        <f>IF($F211=1,INDEX({10,12,13,14,15,16,17,18,19,20,21,23,24,25,26,27,28,29,30,31,32,34,35,36,37,38},1,FIND(MID($B211,2,1),"ABCDEFGHIJKLMNOPQRSTUVWXYZ")),"")</f>
        <v/>
      </c>
      <c r="I211">
        <f>IF($F211=1,INDEX({10,12,13,14,15,16,17,18,19,20,21,23,24,25,26,27,28,29,30,31,32,34,35,36,37,38},1,FIND(MID($B211,3,1),"ABCDEFGHIJKLMNOPQRSTUVWXYZ")),"")</f>
        <v/>
      </c>
      <c r="J211">
        <f>IF($F211=1,INDEX({10,12,13,14,15,16,17,18,19,20,21,23,24,25,26,27,28,29,30,31,32,34,35,36,37,38},1,FIND(MID($B211,4,1),"ABCDEFGHIJKLMNOPQRSTUVWXYZ")),"")</f>
        <v/>
      </c>
      <c r="K211">
        <f>IF($F211=1,FIND(MID($B211,5,1),"0123456789")-1,"")</f>
        <v/>
      </c>
      <c r="L211">
        <f>IF($F211=1,FIND(MID($B211,6,1),"0123456789")-1,"")</f>
        <v/>
      </c>
      <c r="M211">
        <f>IF($F211=1,FIND(MID($B211,7,1),"0123456789")-1,"")</f>
        <v/>
      </c>
      <c r="N211">
        <f>IF($F211=1,FIND(MID($B211,8,1),"0123456789")-1,"")</f>
        <v/>
      </c>
      <c r="O211">
        <f>IF($F211=1,FIND(MID($B211,9,1),"0123456789")-1,"")</f>
        <v/>
      </c>
      <c r="P211">
        <f>IF($F211=1,FIND(MID($B211,10,1),"0123456789")-1,"")</f>
        <v/>
      </c>
      <c r="Q211">
        <f>IF($F211=1,SUMPRODUCT($G211:$P211,{1,2,4,8,16,32,64,128,256,512}),"")</f>
        <v/>
      </c>
      <c r="R211">
        <f>IF($F211=1,MOD(MOD($Q211,11),10),"")</f>
        <v/>
      </c>
    </row>
    <row r="212">
      <c r="A212" s="6" t="n"/>
      <c r="B212" s="7">
        <f>IF($A212="","",UPPER(SUBSTITUTE(SUBSTITUTE(SUBSTITUTE(SUBSTITUTE(SUBSTITUTE(SUBSTITUTE($A212," ",""),"-",""),".",""),"/",""),"i","I"),"ı","?")))</f>
        <v/>
      </c>
      <c r="C212" s="8">
        <f>IF($F212=1,$R212,"")</f>
        <v/>
      </c>
      <c r="D212" s="7">
        <f>IF($A212="","",IF($F212=0,"Biçim hatalı",IF(FIND(MID($B212,11,1),"0123456789")-1=$R212,"Geçerli","Kontrol hanesi hatalı (doğrusu: "&amp;$R212&amp;")")))</f>
        <v/>
      </c>
      <c r="F212">
        <f>IF($A212="","",IF(AND(LEN($B212)=11,SUMPRODUCT(--ISNUMBER(FIND(MID($B212,{1,2,3},1),"ABCDEFGHIJKLMNOPQRSTUVWXYZ")))=3,ISNUMBER(FIND(MID($B212,4,1),"UJZ")),SUMPRODUCT(--ISNUMBER(FIND(MID($B212,{5,6,7,8,9,10,11},1),"0123456789")))=7),1,0))</f>
        <v/>
      </c>
      <c r="G212">
        <f>IF($F212=1,INDEX({10,12,13,14,15,16,17,18,19,20,21,23,24,25,26,27,28,29,30,31,32,34,35,36,37,38},1,FIND(MID($B212,1,1),"ABCDEFGHIJKLMNOPQRSTUVWXYZ")),"")</f>
        <v/>
      </c>
      <c r="H212">
        <f>IF($F212=1,INDEX({10,12,13,14,15,16,17,18,19,20,21,23,24,25,26,27,28,29,30,31,32,34,35,36,37,38},1,FIND(MID($B212,2,1),"ABCDEFGHIJKLMNOPQRSTUVWXYZ")),"")</f>
        <v/>
      </c>
      <c r="I212">
        <f>IF($F212=1,INDEX({10,12,13,14,15,16,17,18,19,20,21,23,24,25,26,27,28,29,30,31,32,34,35,36,37,38},1,FIND(MID($B212,3,1),"ABCDEFGHIJKLMNOPQRSTUVWXYZ")),"")</f>
        <v/>
      </c>
      <c r="J212">
        <f>IF($F212=1,INDEX({10,12,13,14,15,16,17,18,19,20,21,23,24,25,26,27,28,29,30,31,32,34,35,36,37,38},1,FIND(MID($B212,4,1),"ABCDEFGHIJKLMNOPQRSTUVWXYZ")),"")</f>
        <v/>
      </c>
      <c r="K212">
        <f>IF($F212=1,FIND(MID($B212,5,1),"0123456789")-1,"")</f>
        <v/>
      </c>
      <c r="L212">
        <f>IF($F212=1,FIND(MID($B212,6,1),"0123456789")-1,"")</f>
        <v/>
      </c>
      <c r="M212">
        <f>IF($F212=1,FIND(MID($B212,7,1),"0123456789")-1,"")</f>
        <v/>
      </c>
      <c r="N212">
        <f>IF($F212=1,FIND(MID($B212,8,1),"0123456789")-1,"")</f>
        <v/>
      </c>
      <c r="O212">
        <f>IF($F212=1,FIND(MID($B212,9,1),"0123456789")-1,"")</f>
        <v/>
      </c>
      <c r="P212">
        <f>IF($F212=1,FIND(MID($B212,10,1),"0123456789")-1,"")</f>
        <v/>
      </c>
      <c r="Q212">
        <f>IF($F212=1,SUMPRODUCT($G212:$P212,{1,2,4,8,16,32,64,128,256,512}),"")</f>
        <v/>
      </c>
      <c r="R212">
        <f>IF($F212=1,MOD(MOD($Q212,11),10),"")</f>
        <v/>
      </c>
    </row>
    <row r="213">
      <c r="A213" s="6" t="n"/>
      <c r="B213" s="7">
        <f>IF($A213="","",UPPER(SUBSTITUTE(SUBSTITUTE(SUBSTITUTE(SUBSTITUTE(SUBSTITUTE(SUBSTITUTE($A213," ",""),"-",""),".",""),"/",""),"i","I"),"ı","?")))</f>
        <v/>
      </c>
      <c r="C213" s="8">
        <f>IF($F213=1,$R213,"")</f>
        <v/>
      </c>
      <c r="D213" s="7">
        <f>IF($A213="","",IF($F213=0,"Biçim hatalı",IF(FIND(MID($B213,11,1),"0123456789")-1=$R213,"Geçerli","Kontrol hanesi hatalı (doğrusu: "&amp;$R213&amp;")")))</f>
        <v/>
      </c>
      <c r="F213">
        <f>IF($A213="","",IF(AND(LEN($B213)=11,SUMPRODUCT(--ISNUMBER(FIND(MID($B213,{1,2,3},1),"ABCDEFGHIJKLMNOPQRSTUVWXYZ")))=3,ISNUMBER(FIND(MID($B213,4,1),"UJZ")),SUMPRODUCT(--ISNUMBER(FIND(MID($B213,{5,6,7,8,9,10,11},1),"0123456789")))=7),1,0))</f>
        <v/>
      </c>
      <c r="G213">
        <f>IF($F213=1,INDEX({10,12,13,14,15,16,17,18,19,20,21,23,24,25,26,27,28,29,30,31,32,34,35,36,37,38},1,FIND(MID($B213,1,1),"ABCDEFGHIJKLMNOPQRSTUVWXYZ")),"")</f>
        <v/>
      </c>
      <c r="H213">
        <f>IF($F213=1,INDEX({10,12,13,14,15,16,17,18,19,20,21,23,24,25,26,27,28,29,30,31,32,34,35,36,37,38},1,FIND(MID($B213,2,1),"ABCDEFGHIJKLMNOPQRSTUVWXYZ")),"")</f>
        <v/>
      </c>
      <c r="I213">
        <f>IF($F213=1,INDEX({10,12,13,14,15,16,17,18,19,20,21,23,24,25,26,27,28,29,30,31,32,34,35,36,37,38},1,FIND(MID($B213,3,1),"ABCDEFGHIJKLMNOPQRSTUVWXYZ")),"")</f>
        <v/>
      </c>
      <c r="J213">
        <f>IF($F213=1,INDEX({10,12,13,14,15,16,17,18,19,20,21,23,24,25,26,27,28,29,30,31,32,34,35,36,37,38},1,FIND(MID($B213,4,1),"ABCDEFGHIJKLMNOPQRSTUVWXYZ")),"")</f>
        <v/>
      </c>
      <c r="K213">
        <f>IF($F213=1,FIND(MID($B213,5,1),"0123456789")-1,"")</f>
        <v/>
      </c>
      <c r="L213">
        <f>IF($F213=1,FIND(MID($B213,6,1),"0123456789")-1,"")</f>
        <v/>
      </c>
      <c r="M213">
        <f>IF($F213=1,FIND(MID($B213,7,1),"0123456789")-1,"")</f>
        <v/>
      </c>
      <c r="N213">
        <f>IF($F213=1,FIND(MID($B213,8,1),"0123456789")-1,"")</f>
        <v/>
      </c>
      <c r="O213">
        <f>IF($F213=1,FIND(MID($B213,9,1),"0123456789")-1,"")</f>
        <v/>
      </c>
      <c r="P213">
        <f>IF($F213=1,FIND(MID($B213,10,1),"0123456789")-1,"")</f>
        <v/>
      </c>
      <c r="Q213">
        <f>IF($F213=1,SUMPRODUCT($G213:$P213,{1,2,4,8,16,32,64,128,256,512}),"")</f>
        <v/>
      </c>
      <c r="R213">
        <f>IF($F213=1,MOD(MOD($Q213,11),10),"")</f>
        <v/>
      </c>
    </row>
    <row r="214">
      <c r="A214" s="6" t="n"/>
      <c r="B214" s="7">
        <f>IF($A214="","",UPPER(SUBSTITUTE(SUBSTITUTE(SUBSTITUTE(SUBSTITUTE(SUBSTITUTE(SUBSTITUTE($A214," ",""),"-",""),".",""),"/",""),"i","I"),"ı","?")))</f>
        <v/>
      </c>
      <c r="C214" s="8">
        <f>IF($F214=1,$R214,"")</f>
        <v/>
      </c>
      <c r="D214" s="7">
        <f>IF($A214="","",IF($F214=0,"Biçim hatalı",IF(FIND(MID($B214,11,1),"0123456789")-1=$R214,"Geçerli","Kontrol hanesi hatalı (doğrusu: "&amp;$R214&amp;")")))</f>
        <v/>
      </c>
      <c r="F214">
        <f>IF($A214="","",IF(AND(LEN($B214)=11,SUMPRODUCT(--ISNUMBER(FIND(MID($B214,{1,2,3},1),"ABCDEFGHIJKLMNOPQRSTUVWXYZ")))=3,ISNUMBER(FIND(MID($B214,4,1),"UJZ")),SUMPRODUCT(--ISNUMBER(FIND(MID($B214,{5,6,7,8,9,10,11},1),"0123456789")))=7),1,0))</f>
        <v/>
      </c>
      <c r="G214">
        <f>IF($F214=1,INDEX({10,12,13,14,15,16,17,18,19,20,21,23,24,25,26,27,28,29,30,31,32,34,35,36,37,38},1,FIND(MID($B214,1,1),"ABCDEFGHIJKLMNOPQRSTUVWXYZ")),"")</f>
        <v/>
      </c>
      <c r="H214">
        <f>IF($F214=1,INDEX({10,12,13,14,15,16,17,18,19,20,21,23,24,25,26,27,28,29,30,31,32,34,35,36,37,38},1,FIND(MID($B214,2,1),"ABCDEFGHIJKLMNOPQRSTUVWXYZ")),"")</f>
        <v/>
      </c>
      <c r="I214">
        <f>IF($F214=1,INDEX({10,12,13,14,15,16,17,18,19,20,21,23,24,25,26,27,28,29,30,31,32,34,35,36,37,38},1,FIND(MID($B214,3,1),"ABCDEFGHIJKLMNOPQRSTUVWXYZ")),"")</f>
        <v/>
      </c>
      <c r="J214">
        <f>IF($F214=1,INDEX({10,12,13,14,15,16,17,18,19,20,21,23,24,25,26,27,28,29,30,31,32,34,35,36,37,38},1,FIND(MID($B214,4,1),"ABCDEFGHIJKLMNOPQRSTUVWXYZ")),"")</f>
        <v/>
      </c>
      <c r="K214">
        <f>IF($F214=1,FIND(MID($B214,5,1),"0123456789")-1,"")</f>
        <v/>
      </c>
      <c r="L214">
        <f>IF($F214=1,FIND(MID($B214,6,1),"0123456789")-1,"")</f>
        <v/>
      </c>
      <c r="M214">
        <f>IF($F214=1,FIND(MID($B214,7,1),"0123456789")-1,"")</f>
        <v/>
      </c>
      <c r="N214">
        <f>IF($F214=1,FIND(MID($B214,8,1),"0123456789")-1,"")</f>
        <v/>
      </c>
      <c r="O214">
        <f>IF($F214=1,FIND(MID($B214,9,1),"0123456789")-1,"")</f>
        <v/>
      </c>
      <c r="P214">
        <f>IF($F214=1,FIND(MID($B214,10,1),"0123456789")-1,"")</f>
        <v/>
      </c>
      <c r="Q214">
        <f>IF($F214=1,SUMPRODUCT($G214:$P214,{1,2,4,8,16,32,64,128,256,512}),"")</f>
        <v/>
      </c>
      <c r="R214">
        <f>IF($F214=1,MOD(MOD($Q214,11),10),"")</f>
        <v/>
      </c>
    </row>
    <row r="215">
      <c r="A215" s="6" t="n"/>
      <c r="B215" s="7">
        <f>IF($A215="","",UPPER(SUBSTITUTE(SUBSTITUTE(SUBSTITUTE(SUBSTITUTE(SUBSTITUTE(SUBSTITUTE($A215," ",""),"-",""),".",""),"/",""),"i","I"),"ı","?")))</f>
        <v/>
      </c>
      <c r="C215" s="8">
        <f>IF($F215=1,$R215,"")</f>
        <v/>
      </c>
      <c r="D215" s="7">
        <f>IF($A215="","",IF($F215=0,"Biçim hatalı",IF(FIND(MID($B215,11,1),"0123456789")-1=$R215,"Geçerli","Kontrol hanesi hatalı (doğrusu: "&amp;$R215&amp;")")))</f>
        <v/>
      </c>
      <c r="F215">
        <f>IF($A215="","",IF(AND(LEN($B215)=11,SUMPRODUCT(--ISNUMBER(FIND(MID($B215,{1,2,3},1),"ABCDEFGHIJKLMNOPQRSTUVWXYZ")))=3,ISNUMBER(FIND(MID($B215,4,1),"UJZ")),SUMPRODUCT(--ISNUMBER(FIND(MID($B215,{5,6,7,8,9,10,11},1),"0123456789")))=7),1,0))</f>
        <v/>
      </c>
      <c r="G215">
        <f>IF($F215=1,INDEX({10,12,13,14,15,16,17,18,19,20,21,23,24,25,26,27,28,29,30,31,32,34,35,36,37,38},1,FIND(MID($B215,1,1),"ABCDEFGHIJKLMNOPQRSTUVWXYZ")),"")</f>
        <v/>
      </c>
      <c r="H215">
        <f>IF($F215=1,INDEX({10,12,13,14,15,16,17,18,19,20,21,23,24,25,26,27,28,29,30,31,32,34,35,36,37,38},1,FIND(MID($B215,2,1),"ABCDEFGHIJKLMNOPQRSTUVWXYZ")),"")</f>
        <v/>
      </c>
      <c r="I215">
        <f>IF($F215=1,INDEX({10,12,13,14,15,16,17,18,19,20,21,23,24,25,26,27,28,29,30,31,32,34,35,36,37,38},1,FIND(MID($B215,3,1),"ABCDEFGHIJKLMNOPQRSTUVWXYZ")),"")</f>
        <v/>
      </c>
      <c r="J215">
        <f>IF($F215=1,INDEX({10,12,13,14,15,16,17,18,19,20,21,23,24,25,26,27,28,29,30,31,32,34,35,36,37,38},1,FIND(MID($B215,4,1),"ABCDEFGHIJKLMNOPQRSTUVWXYZ")),"")</f>
        <v/>
      </c>
      <c r="K215">
        <f>IF($F215=1,FIND(MID($B215,5,1),"0123456789")-1,"")</f>
        <v/>
      </c>
      <c r="L215">
        <f>IF($F215=1,FIND(MID($B215,6,1),"0123456789")-1,"")</f>
        <v/>
      </c>
      <c r="M215">
        <f>IF($F215=1,FIND(MID($B215,7,1),"0123456789")-1,"")</f>
        <v/>
      </c>
      <c r="N215">
        <f>IF($F215=1,FIND(MID($B215,8,1),"0123456789")-1,"")</f>
        <v/>
      </c>
      <c r="O215">
        <f>IF($F215=1,FIND(MID($B215,9,1),"0123456789")-1,"")</f>
        <v/>
      </c>
      <c r="P215">
        <f>IF($F215=1,FIND(MID($B215,10,1),"0123456789")-1,"")</f>
        <v/>
      </c>
      <c r="Q215">
        <f>IF($F215=1,SUMPRODUCT($G215:$P215,{1,2,4,8,16,32,64,128,256,512}),"")</f>
        <v/>
      </c>
      <c r="R215">
        <f>IF($F215=1,MOD(MOD($Q215,11),10),"")</f>
        <v/>
      </c>
    </row>
    <row r="216">
      <c r="A216" s="6" t="n"/>
      <c r="B216" s="7">
        <f>IF($A216="","",UPPER(SUBSTITUTE(SUBSTITUTE(SUBSTITUTE(SUBSTITUTE(SUBSTITUTE(SUBSTITUTE($A216," ",""),"-",""),".",""),"/",""),"i","I"),"ı","?")))</f>
        <v/>
      </c>
      <c r="C216" s="8">
        <f>IF($F216=1,$R216,"")</f>
        <v/>
      </c>
      <c r="D216" s="7">
        <f>IF($A216="","",IF($F216=0,"Biçim hatalı",IF(FIND(MID($B216,11,1),"0123456789")-1=$R216,"Geçerli","Kontrol hanesi hatalı (doğrusu: "&amp;$R216&amp;")")))</f>
        <v/>
      </c>
      <c r="F216">
        <f>IF($A216="","",IF(AND(LEN($B216)=11,SUMPRODUCT(--ISNUMBER(FIND(MID($B216,{1,2,3},1),"ABCDEFGHIJKLMNOPQRSTUVWXYZ")))=3,ISNUMBER(FIND(MID($B216,4,1),"UJZ")),SUMPRODUCT(--ISNUMBER(FIND(MID($B216,{5,6,7,8,9,10,11},1),"0123456789")))=7),1,0))</f>
        <v/>
      </c>
      <c r="G216">
        <f>IF($F216=1,INDEX({10,12,13,14,15,16,17,18,19,20,21,23,24,25,26,27,28,29,30,31,32,34,35,36,37,38},1,FIND(MID($B216,1,1),"ABCDEFGHIJKLMNOPQRSTUVWXYZ")),"")</f>
        <v/>
      </c>
      <c r="H216">
        <f>IF($F216=1,INDEX({10,12,13,14,15,16,17,18,19,20,21,23,24,25,26,27,28,29,30,31,32,34,35,36,37,38},1,FIND(MID($B216,2,1),"ABCDEFGHIJKLMNOPQRSTUVWXYZ")),"")</f>
        <v/>
      </c>
      <c r="I216">
        <f>IF($F216=1,INDEX({10,12,13,14,15,16,17,18,19,20,21,23,24,25,26,27,28,29,30,31,32,34,35,36,37,38},1,FIND(MID($B216,3,1),"ABCDEFGHIJKLMNOPQRSTUVWXYZ")),"")</f>
        <v/>
      </c>
      <c r="J216">
        <f>IF($F216=1,INDEX({10,12,13,14,15,16,17,18,19,20,21,23,24,25,26,27,28,29,30,31,32,34,35,36,37,38},1,FIND(MID($B216,4,1),"ABCDEFGHIJKLMNOPQRSTUVWXYZ")),"")</f>
        <v/>
      </c>
      <c r="K216">
        <f>IF($F216=1,FIND(MID($B216,5,1),"0123456789")-1,"")</f>
        <v/>
      </c>
      <c r="L216">
        <f>IF($F216=1,FIND(MID($B216,6,1),"0123456789")-1,"")</f>
        <v/>
      </c>
      <c r="M216">
        <f>IF($F216=1,FIND(MID($B216,7,1),"0123456789")-1,"")</f>
        <v/>
      </c>
      <c r="N216">
        <f>IF($F216=1,FIND(MID($B216,8,1),"0123456789")-1,"")</f>
        <v/>
      </c>
      <c r="O216">
        <f>IF($F216=1,FIND(MID($B216,9,1),"0123456789")-1,"")</f>
        <v/>
      </c>
      <c r="P216">
        <f>IF($F216=1,FIND(MID($B216,10,1),"0123456789")-1,"")</f>
        <v/>
      </c>
      <c r="Q216">
        <f>IF($F216=1,SUMPRODUCT($G216:$P216,{1,2,4,8,16,32,64,128,256,512}),"")</f>
        <v/>
      </c>
      <c r="R216">
        <f>IF($F216=1,MOD(MOD($Q216,11),10),"")</f>
        <v/>
      </c>
    </row>
    <row r="217">
      <c r="A217" s="6" t="n"/>
      <c r="B217" s="7">
        <f>IF($A217="","",UPPER(SUBSTITUTE(SUBSTITUTE(SUBSTITUTE(SUBSTITUTE(SUBSTITUTE(SUBSTITUTE($A217," ",""),"-",""),".",""),"/",""),"i","I"),"ı","?")))</f>
        <v/>
      </c>
      <c r="C217" s="8">
        <f>IF($F217=1,$R217,"")</f>
        <v/>
      </c>
      <c r="D217" s="7">
        <f>IF($A217="","",IF($F217=0,"Biçim hatalı",IF(FIND(MID($B217,11,1),"0123456789")-1=$R217,"Geçerli","Kontrol hanesi hatalı (doğrusu: "&amp;$R217&amp;")")))</f>
        <v/>
      </c>
      <c r="F217">
        <f>IF($A217="","",IF(AND(LEN($B217)=11,SUMPRODUCT(--ISNUMBER(FIND(MID($B217,{1,2,3},1),"ABCDEFGHIJKLMNOPQRSTUVWXYZ")))=3,ISNUMBER(FIND(MID($B217,4,1),"UJZ")),SUMPRODUCT(--ISNUMBER(FIND(MID($B217,{5,6,7,8,9,10,11},1),"0123456789")))=7),1,0))</f>
        <v/>
      </c>
      <c r="G217">
        <f>IF($F217=1,INDEX({10,12,13,14,15,16,17,18,19,20,21,23,24,25,26,27,28,29,30,31,32,34,35,36,37,38},1,FIND(MID($B217,1,1),"ABCDEFGHIJKLMNOPQRSTUVWXYZ")),"")</f>
        <v/>
      </c>
      <c r="H217">
        <f>IF($F217=1,INDEX({10,12,13,14,15,16,17,18,19,20,21,23,24,25,26,27,28,29,30,31,32,34,35,36,37,38},1,FIND(MID($B217,2,1),"ABCDEFGHIJKLMNOPQRSTUVWXYZ")),"")</f>
        <v/>
      </c>
      <c r="I217">
        <f>IF($F217=1,INDEX({10,12,13,14,15,16,17,18,19,20,21,23,24,25,26,27,28,29,30,31,32,34,35,36,37,38},1,FIND(MID($B217,3,1),"ABCDEFGHIJKLMNOPQRSTUVWXYZ")),"")</f>
        <v/>
      </c>
      <c r="J217">
        <f>IF($F217=1,INDEX({10,12,13,14,15,16,17,18,19,20,21,23,24,25,26,27,28,29,30,31,32,34,35,36,37,38},1,FIND(MID($B217,4,1),"ABCDEFGHIJKLMNOPQRSTUVWXYZ")),"")</f>
        <v/>
      </c>
      <c r="K217">
        <f>IF($F217=1,FIND(MID($B217,5,1),"0123456789")-1,"")</f>
        <v/>
      </c>
      <c r="L217">
        <f>IF($F217=1,FIND(MID($B217,6,1),"0123456789")-1,"")</f>
        <v/>
      </c>
      <c r="M217">
        <f>IF($F217=1,FIND(MID($B217,7,1),"0123456789")-1,"")</f>
        <v/>
      </c>
      <c r="N217">
        <f>IF($F217=1,FIND(MID($B217,8,1),"0123456789")-1,"")</f>
        <v/>
      </c>
      <c r="O217">
        <f>IF($F217=1,FIND(MID($B217,9,1),"0123456789")-1,"")</f>
        <v/>
      </c>
      <c r="P217">
        <f>IF($F217=1,FIND(MID($B217,10,1),"0123456789")-1,"")</f>
        <v/>
      </c>
      <c r="Q217">
        <f>IF($F217=1,SUMPRODUCT($G217:$P217,{1,2,4,8,16,32,64,128,256,512}),"")</f>
        <v/>
      </c>
      <c r="R217">
        <f>IF($F217=1,MOD(MOD($Q217,11),10),"")</f>
        <v/>
      </c>
    </row>
    <row r="218">
      <c r="A218" s="6" t="n"/>
      <c r="B218" s="7">
        <f>IF($A218="","",UPPER(SUBSTITUTE(SUBSTITUTE(SUBSTITUTE(SUBSTITUTE(SUBSTITUTE(SUBSTITUTE($A218," ",""),"-",""),".",""),"/",""),"i","I"),"ı","?")))</f>
        <v/>
      </c>
      <c r="C218" s="8">
        <f>IF($F218=1,$R218,"")</f>
        <v/>
      </c>
      <c r="D218" s="7">
        <f>IF($A218="","",IF($F218=0,"Biçim hatalı",IF(FIND(MID($B218,11,1),"0123456789")-1=$R218,"Geçerli","Kontrol hanesi hatalı (doğrusu: "&amp;$R218&amp;")")))</f>
        <v/>
      </c>
      <c r="F218">
        <f>IF($A218="","",IF(AND(LEN($B218)=11,SUMPRODUCT(--ISNUMBER(FIND(MID($B218,{1,2,3},1),"ABCDEFGHIJKLMNOPQRSTUVWXYZ")))=3,ISNUMBER(FIND(MID($B218,4,1),"UJZ")),SUMPRODUCT(--ISNUMBER(FIND(MID($B218,{5,6,7,8,9,10,11},1),"0123456789")))=7),1,0))</f>
        <v/>
      </c>
      <c r="G218">
        <f>IF($F218=1,INDEX({10,12,13,14,15,16,17,18,19,20,21,23,24,25,26,27,28,29,30,31,32,34,35,36,37,38},1,FIND(MID($B218,1,1),"ABCDEFGHIJKLMNOPQRSTUVWXYZ")),"")</f>
        <v/>
      </c>
      <c r="H218">
        <f>IF($F218=1,INDEX({10,12,13,14,15,16,17,18,19,20,21,23,24,25,26,27,28,29,30,31,32,34,35,36,37,38},1,FIND(MID($B218,2,1),"ABCDEFGHIJKLMNOPQRSTUVWXYZ")),"")</f>
        <v/>
      </c>
      <c r="I218">
        <f>IF($F218=1,INDEX({10,12,13,14,15,16,17,18,19,20,21,23,24,25,26,27,28,29,30,31,32,34,35,36,37,38},1,FIND(MID($B218,3,1),"ABCDEFGHIJKLMNOPQRSTUVWXYZ")),"")</f>
        <v/>
      </c>
      <c r="J218">
        <f>IF($F218=1,INDEX({10,12,13,14,15,16,17,18,19,20,21,23,24,25,26,27,28,29,30,31,32,34,35,36,37,38},1,FIND(MID($B218,4,1),"ABCDEFGHIJKLMNOPQRSTUVWXYZ")),"")</f>
        <v/>
      </c>
      <c r="K218">
        <f>IF($F218=1,FIND(MID($B218,5,1),"0123456789")-1,"")</f>
        <v/>
      </c>
      <c r="L218">
        <f>IF($F218=1,FIND(MID($B218,6,1),"0123456789")-1,"")</f>
        <v/>
      </c>
      <c r="M218">
        <f>IF($F218=1,FIND(MID($B218,7,1),"0123456789")-1,"")</f>
        <v/>
      </c>
      <c r="N218">
        <f>IF($F218=1,FIND(MID($B218,8,1),"0123456789")-1,"")</f>
        <v/>
      </c>
      <c r="O218">
        <f>IF($F218=1,FIND(MID($B218,9,1),"0123456789")-1,"")</f>
        <v/>
      </c>
      <c r="P218">
        <f>IF($F218=1,FIND(MID($B218,10,1),"0123456789")-1,"")</f>
        <v/>
      </c>
      <c r="Q218">
        <f>IF($F218=1,SUMPRODUCT($G218:$P218,{1,2,4,8,16,32,64,128,256,512}),"")</f>
        <v/>
      </c>
      <c r="R218">
        <f>IF($F218=1,MOD(MOD($Q218,11),10),"")</f>
        <v/>
      </c>
    </row>
    <row r="219">
      <c r="A219" s="6" t="n"/>
      <c r="B219" s="7">
        <f>IF($A219="","",UPPER(SUBSTITUTE(SUBSTITUTE(SUBSTITUTE(SUBSTITUTE(SUBSTITUTE(SUBSTITUTE($A219," ",""),"-",""),".",""),"/",""),"i","I"),"ı","?")))</f>
        <v/>
      </c>
      <c r="C219" s="8">
        <f>IF($F219=1,$R219,"")</f>
        <v/>
      </c>
      <c r="D219" s="7">
        <f>IF($A219="","",IF($F219=0,"Biçim hatalı",IF(FIND(MID($B219,11,1),"0123456789")-1=$R219,"Geçerli","Kontrol hanesi hatalı (doğrusu: "&amp;$R219&amp;")")))</f>
        <v/>
      </c>
      <c r="F219">
        <f>IF($A219="","",IF(AND(LEN($B219)=11,SUMPRODUCT(--ISNUMBER(FIND(MID($B219,{1,2,3},1),"ABCDEFGHIJKLMNOPQRSTUVWXYZ")))=3,ISNUMBER(FIND(MID($B219,4,1),"UJZ")),SUMPRODUCT(--ISNUMBER(FIND(MID($B219,{5,6,7,8,9,10,11},1),"0123456789")))=7),1,0))</f>
        <v/>
      </c>
      <c r="G219">
        <f>IF($F219=1,INDEX({10,12,13,14,15,16,17,18,19,20,21,23,24,25,26,27,28,29,30,31,32,34,35,36,37,38},1,FIND(MID($B219,1,1),"ABCDEFGHIJKLMNOPQRSTUVWXYZ")),"")</f>
        <v/>
      </c>
      <c r="H219">
        <f>IF($F219=1,INDEX({10,12,13,14,15,16,17,18,19,20,21,23,24,25,26,27,28,29,30,31,32,34,35,36,37,38},1,FIND(MID($B219,2,1),"ABCDEFGHIJKLMNOPQRSTUVWXYZ")),"")</f>
        <v/>
      </c>
      <c r="I219">
        <f>IF($F219=1,INDEX({10,12,13,14,15,16,17,18,19,20,21,23,24,25,26,27,28,29,30,31,32,34,35,36,37,38},1,FIND(MID($B219,3,1),"ABCDEFGHIJKLMNOPQRSTUVWXYZ")),"")</f>
        <v/>
      </c>
      <c r="J219">
        <f>IF($F219=1,INDEX({10,12,13,14,15,16,17,18,19,20,21,23,24,25,26,27,28,29,30,31,32,34,35,36,37,38},1,FIND(MID($B219,4,1),"ABCDEFGHIJKLMNOPQRSTUVWXYZ")),"")</f>
        <v/>
      </c>
      <c r="K219">
        <f>IF($F219=1,FIND(MID($B219,5,1),"0123456789")-1,"")</f>
        <v/>
      </c>
      <c r="L219">
        <f>IF($F219=1,FIND(MID($B219,6,1),"0123456789")-1,"")</f>
        <v/>
      </c>
      <c r="M219">
        <f>IF($F219=1,FIND(MID($B219,7,1),"0123456789")-1,"")</f>
        <v/>
      </c>
      <c r="N219">
        <f>IF($F219=1,FIND(MID($B219,8,1),"0123456789")-1,"")</f>
        <v/>
      </c>
      <c r="O219">
        <f>IF($F219=1,FIND(MID($B219,9,1),"0123456789")-1,"")</f>
        <v/>
      </c>
      <c r="P219">
        <f>IF($F219=1,FIND(MID($B219,10,1),"0123456789")-1,"")</f>
        <v/>
      </c>
      <c r="Q219">
        <f>IF($F219=1,SUMPRODUCT($G219:$P219,{1,2,4,8,16,32,64,128,256,512}),"")</f>
        <v/>
      </c>
      <c r="R219">
        <f>IF($F219=1,MOD(MOD($Q219,11),10),"")</f>
        <v/>
      </c>
    </row>
    <row r="220">
      <c r="A220" s="6" t="n"/>
      <c r="B220" s="7">
        <f>IF($A220="","",UPPER(SUBSTITUTE(SUBSTITUTE(SUBSTITUTE(SUBSTITUTE(SUBSTITUTE(SUBSTITUTE($A220," ",""),"-",""),".",""),"/",""),"i","I"),"ı","?")))</f>
        <v/>
      </c>
      <c r="C220" s="8">
        <f>IF($F220=1,$R220,"")</f>
        <v/>
      </c>
      <c r="D220" s="7">
        <f>IF($A220="","",IF($F220=0,"Biçim hatalı",IF(FIND(MID($B220,11,1),"0123456789")-1=$R220,"Geçerli","Kontrol hanesi hatalı (doğrusu: "&amp;$R220&amp;")")))</f>
        <v/>
      </c>
      <c r="F220">
        <f>IF($A220="","",IF(AND(LEN($B220)=11,SUMPRODUCT(--ISNUMBER(FIND(MID($B220,{1,2,3},1),"ABCDEFGHIJKLMNOPQRSTUVWXYZ")))=3,ISNUMBER(FIND(MID($B220,4,1),"UJZ")),SUMPRODUCT(--ISNUMBER(FIND(MID($B220,{5,6,7,8,9,10,11},1),"0123456789")))=7),1,0))</f>
        <v/>
      </c>
      <c r="G220">
        <f>IF($F220=1,INDEX({10,12,13,14,15,16,17,18,19,20,21,23,24,25,26,27,28,29,30,31,32,34,35,36,37,38},1,FIND(MID($B220,1,1),"ABCDEFGHIJKLMNOPQRSTUVWXYZ")),"")</f>
        <v/>
      </c>
      <c r="H220">
        <f>IF($F220=1,INDEX({10,12,13,14,15,16,17,18,19,20,21,23,24,25,26,27,28,29,30,31,32,34,35,36,37,38},1,FIND(MID($B220,2,1),"ABCDEFGHIJKLMNOPQRSTUVWXYZ")),"")</f>
        <v/>
      </c>
      <c r="I220">
        <f>IF($F220=1,INDEX({10,12,13,14,15,16,17,18,19,20,21,23,24,25,26,27,28,29,30,31,32,34,35,36,37,38},1,FIND(MID($B220,3,1),"ABCDEFGHIJKLMNOPQRSTUVWXYZ")),"")</f>
        <v/>
      </c>
      <c r="J220">
        <f>IF($F220=1,INDEX({10,12,13,14,15,16,17,18,19,20,21,23,24,25,26,27,28,29,30,31,32,34,35,36,37,38},1,FIND(MID($B220,4,1),"ABCDEFGHIJKLMNOPQRSTUVWXYZ")),"")</f>
        <v/>
      </c>
      <c r="K220">
        <f>IF($F220=1,FIND(MID($B220,5,1),"0123456789")-1,"")</f>
        <v/>
      </c>
      <c r="L220">
        <f>IF($F220=1,FIND(MID($B220,6,1),"0123456789")-1,"")</f>
        <v/>
      </c>
      <c r="M220">
        <f>IF($F220=1,FIND(MID($B220,7,1),"0123456789")-1,"")</f>
        <v/>
      </c>
      <c r="N220">
        <f>IF($F220=1,FIND(MID($B220,8,1),"0123456789")-1,"")</f>
        <v/>
      </c>
      <c r="O220">
        <f>IF($F220=1,FIND(MID($B220,9,1),"0123456789")-1,"")</f>
        <v/>
      </c>
      <c r="P220">
        <f>IF($F220=1,FIND(MID($B220,10,1),"0123456789")-1,"")</f>
        <v/>
      </c>
      <c r="Q220">
        <f>IF($F220=1,SUMPRODUCT($G220:$P220,{1,2,4,8,16,32,64,128,256,512}),"")</f>
        <v/>
      </c>
      <c r="R220">
        <f>IF($F220=1,MOD(MOD($Q220,11),10),"")</f>
        <v/>
      </c>
    </row>
    <row r="221">
      <c r="A221" s="6" t="n"/>
      <c r="B221" s="7">
        <f>IF($A221="","",UPPER(SUBSTITUTE(SUBSTITUTE(SUBSTITUTE(SUBSTITUTE(SUBSTITUTE(SUBSTITUTE($A221," ",""),"-",""),".",""),"/",""),"i","I"),"ı","?")))</f>
        <v/>
      </c>
      <c r="C221" s="8">
        <f>IF($F221=1,$R221,"")</f>
        <v/>
      </c>
      <c r="D221" s="7">
        <f>IF($A221="","",IF($F221=0,"Biçim hatalı",IF(FIND(MID($B221,11,1),"0123456789")-1=$R221,"Geçerli","Kontrol hanesi hatalı (doğrusu: "&amp;$R221&amp;")")))</f>
        <v/>
      </c>
      <c r="F221">
        <f>IF($A221="","",IF(AND(LEN($B221)=11,SUMPRODUCT(--ISNUMBER(FIND(MID($B221,{1,2,3},1),"ABCDEFGHIJKLMNOPQRSTUVWXYZ")))=3,ISNUMBER(FIND(MID($B221,4,1),"UJZ")),SUMPRODUCT(--ISNUMBER(FIND(MID($B221,{5,6,7,8,9,10,11},1),"0123456789")))=7),1,0))</f>
        <v/>
      </c>
      <c r="G221">
        <f>IF($F221=1,INDEX({10,12,13,14,15,16,17,18,19,20,21,23,24,25,26,27,28,29,30,31,32,34,35,36,37,38},1,FIND(MID($B221,1,1),"ABCDEFGHIJKLMNOPQRSTUVWXYZ")),"")</f>
        <v/>
      </c>
      <c r="H221">
        <f>IF($F221=1,INDEX({10,12,13,14,15,16,17,18,19,20,21,23,24,25,26,27,28,29,30,31,32,34,35,36,37,38},1,FIND(MID($B221,2,1),"ABCDEFGHIJKLMNOPQRSTUVWXYZ")),"")</f>
        <v/>
      </c>
      <c r="I221">
        <f>IF($F221=1,INDEX({10,12,13,14,15,16,17,18,19,20,21,23,24,25,26,27,28,29,30,31,32,34,35,36,37,38},1,FIND(MID($B221,3,1),"ABCDEFGHIJKLMNOPQRSTUVWXYZ")),"")</f>
        <v/>
      </c>
      <c r="J221">
        <f>IF($F221=1,INDEX({10,12,13,14,15,16,17,18,19,20,21,23,24,25,26,27,28,29,30,31,32,34,35,36,37,38},1,FIND(MID($B221,4,1),"ABCDEFGHIJKLMNOPQRSTUVWXYZ")),"")</f>
        <v/>
      </c>
      <c r="K221">
        <f>IF($F221=1,FIND(MID($B221,5,1),"0123456789")-1,"")</f>
        <v/>
      </c>
      <c r="L221">
        <f>IF($F221=1,FIND(MID($B221,6,1),"0123456789")-1,"")</f>
        <v/>
      </c>
      <c r="M221">
        <f>IF($F221=1,FIND(MID($B221,7,1),"0123456789")-1,"")</f>
        <v/>
      </c>
      <c r="N221">
        <f>IF($F221=1,FIND(MID($B221,8,1),"0123456789")-1,"")</f>
        <v/>
      </c>
      <c r="O221">
        <f>IF($F221=1,FIND(MID($B221,9,1),"0123456789")-1,"")</f>
        <v/>
      </c>
      <c r="P221">
        <f>IF($F221=1,FIND(MID($B221,10,1),"0123456789")-1,"")</f>
        <v/>
      </c>
      <c r="Q221">
        <f>IF($F221=1,SUMPRODUCT($G221:$P221,{1,2,4,8,16,32,64,128,256,512}),"")</f>
        <v/>
      </c>
      <c r="R221">
        <f>IF($F221=1,MOD(MOD($Q221,11),10),"")</f>
        <v/>
      </c>
    </row>
    <row r="222">
      <c r="A222" s="6" t="n"/>
      <c r="B222" s="7">
        <f>IF($A222="","",UPPER(SUBSTITUTE(SUBSTITUTE(SUBSTITUTE(SUBSTITUTE(SUBSTITUTE(SUBSTITUTE($A222," ",""),"-",""),".",""),"/",""),"i","I"),"ı","?")))</f>
        <v/>
      </c>
      <c r="C222" s="8">
        <f>IF($F222=1,$R222,"")</f>
        <v/>
      </c>
      <c r="D222" s="7">
        <f>IF($A222="","",IF($F222=0,"Biçim hatalı",IF(FIND(MID($B222,11,1),"0123456789")-1=$R222,"Geçerli","Kontrol hanesi hatalı (doğrusu: "&amp;$R222&amp;")")))</f>
        <v/>
      </c>
      <c r="F222">
        <f>IF($A222="","",IF(AND(LEN($B222)=11,SUMPRODUCT(--ISNUMBER(FIND(MID($B222,{1,2,3},1),"ABCDEFGHIJKLMNOPQRSTUVWXYZ")))=3,ISNUMBER(FIND(MID($B222,4,1),"UJZ")),SUMPRODUCT(--ISNUMBER(FIND(MID($B222,{5,6,7,8,9,10,11},1),"0123456789")))=7),1,0))</f>
        <v/>
      </c>
      <c r="G222">
        <f>IF($F222=1,INDEX({10,12,13,14,15,16,17,18,19,20,21,23,24,25,26,27,28,29,30,31,32,34,35,36,37,38},1,FIND(MID($B222,1,1),"ABCDEFGHIJKLMNOPQRSTUVWXYZ")),"")</f>
        <v/>
      </c>
      <c r="H222">
        <f>IF($F222=1,INDEX({10,12,13,14,15,16,17,18,19,20,21,23,24,25,26,27,28,29,30,31,32,34,35,36,37,38},1,FIND(MID($B222,2,1),"ABCDEFGHIJKLMNOPQRSTUVWXYZ")),"")</f>
        <v/>
      </c>
      <c r="I222">
        <f>IF($F222=1,INDEX({10,12,13,14,15,16,17,18,19,20,21,23,24,25,26,27,28,29,30,31,32,34,35,36,37,38},1,FIND(MID($B222,3,1),"ABCDEFGHIJKLMNOPQRSTUVWXYZ")),"")</f>
        <v/>
      </c>
      <c r="J222">
        <f>IF($F222=1,INDEX({10,12,13,14,15,16,17,18,19,20,21,23,24,25,26,27,28,29,30,31,32,34,35,36,37,38},1,FIND(MID($B222,4,1),"ABCDEFGHIJKLMNOPQRSTUVWXYZ")),"")</f>
        <v/>
      </c>
      <c r="K222">
        <f>IF($F222=1,FIND(MID($B222,5,1),"0123456789")-1,"")</f>
        <v/>
      </c>
      <c r="L222">
        <f>IF($F222=1,FIND(MID($B222,6,1),"0123456789")-1,"")</f>
        <v/>
      </c>
      <c r="M222">
        <f>IF($F222=1,FIND(MID($B222,7,1),"0123456789")-1,"")</f>
        <v/>
      </c>
      <c r="N222">
        <f>IF($F222=1,FIND(MID($B222,8,1),"0123456789")-1,"")</f>
        <v/>
      </c>
      <c r="O222">
        <f>IF($F222=1,FIND(MID($B222,9,1),"0123456789")-1,"")</f>
        <v/>
      </c>
      <c r="P222">
        <f>IF($F222=1,FIND(MID($B222,10,1),"0123456789")-1,"")</f>
        <v/>
      </c>
      <c r="Q222">
        <f>IF($F222=1,SUMPRODUCT($G222:$P222,{1,2,4,8,16,32,64,128,256,512}),"")</f>
        <v/>
      </c>
      <c r="R222">
        <f>IF($F222=1,MOD(MOD($Q222,11),10),"")</f>
        <v/>
      </c>
    </row>
    <row r="223">
      <c r="A223" s="6" t="n"/>
      <c r="B223" s="7">
        <f>IF($A223="","",UPPER(SUBSTITUTE(SUBSTITUTE(SUBSTITUTE(SUBSTITUTE(SUBSTITUTE(SUBSTITUTE($A223," ",""),"-",""),".",""),"/",""),"i","I"),"ı","?")))</f>
        <v/>
      </c>
      <c r="C223" s="8">
        <f>IF($F223=1,$R223,"")</f>
        <v/>
      </c>
      <c r="D223" s="7">
        <f>IF($A223="","",IF($F223=0,"Biçim hatalı",IF(FIND(MID($B223,11,1),"0123456789")-1=$R223,"Geçerli","Kontrol hanesi hatalı (doğrusu: "&amp;$R223&amp;")")))</f>
        <v/>
      </c>
      <c r="F223">
        <f>IF($A223="","",IF(AND(LEN($B223)=11,SUMPRODUCT(--ISNUMBER(FIND(MID($B223,{1,2,3},1),"ABCDEFGHIJKLMNOPQRSTUVWXYZ")))=3,ISNUMBER(FIND(MID($B223,4,1),"UJZ")),SUMPRODUCT(--ISNUMBER(FIND(MID($B223,{5,6,7,8,9,10,11},1),"0123456789")))=7),1,0))</f>
        <v/>
      </c>
      <c r="G223">
        <f>IF($F223=1,INDEX({10,12,13,14,15,16,17,18,19,20,21,23,24,25,26,27,28,29,30,31,32,34,35,36,37,38},1,FIND(MID($B223,1,1),"ABCDEFGHIJKLMNOPQRSTUVWXYZ")),"")</f>
        <v/>
      </c>
      <c r="H223">
        <f>IF($F223=1,INDEX({10,12,13,14,15,16,17,18,19,20,21,23,24,25,26,27,28,29,30,31,32,34,35,36,37,38},1,FIND(MID($B223,2,1),"ABCDEFGHIJKLMNOPQRSTUVWXYZ")),"")</f>
        <v/>
      </c>
      <c r="I223">
        <f>IF($F223=1,INDEX({10,12,13,14,15,16,17,18,19,20,21,23,24,25,26,27,28,29,30,31,32,34,35,36,37,38},1,FIND(MID($B223,3,1),"ABCDEFGHIJKLMNOPQRSTUVWXYZ")),"")</f>
        <v/>
      </c>
      <c r="J223">
        <f>IF($F223=1,INDEX({10,12,13,14,15,16,17,18,19,20,21,23,24,25,26,27,28,29,30,31,32,34,35,36,37,38},1,FIND(MID($B223,4,1),"ABCDEFGHIJKLMNOPQRSTUVWXYZ")),"")</f>
        <v/>
      </c>
      <c r="K223">
        <f>IF($F223=1,FIND(MID($B223,5,1),"0123456789")-1,"")</f>
        <v/>
      </c>
      <c r="L223">
        <f>IF($F223=1,FIND(MID($B223,6,1),"0123456789")-1,"")</f>
        <v/>
      </c>
      <c r="M223">
        <f>IF($F223=1,FIND(MID($B223,7,1),"0123456789")-1,"")</f>
        <v/>
      </c>
      <c r="N223">
        <f>IF($F223=1,FIND(MID($B223,8,1),"0123456789")-1,"")</f>
        <v/>
      </c>
      <c r="O223">
        <f>IF($F223=1,FIND(MID($B223,9,1),"0123456789")-1,"")</f>
        <v/>
      </c>
      <c r="P223">
        <f>IF($F223=1,FIND(MID($B223,10,1),"0123456789")-1,"")</f>
        <v/>
      </c>
      <c r="Q223">
        <f>IF($F223=1,SUMPRODUCT($G223:$P223,{1,2,4,8,16,32,64,128,256,512}),"")</f>
        <v/>
      </c>
      <c r="R223">
        <f>IF($F223=1,MOD(MOD($Q223,11),10),"")</f>
        <v/>
      </c>
    </row>
    <row r="224">
      <c r="A224" s="6" t="n"/>
      <c r="B224" s="7">
        <f>IF($A224="","",UPPER(SUBSTITUTE(SUBSTITUTE(SUBSTITUTE(SUBSTITUTE(SUBSTITUTE(SUBSTITUTE($A224," ",""),"-",""),".",""),"/",""),"i","I"),"ı","?")))</f>
        <v/>
      </c>
      <c r="C224" s="8">
        <f>IF($F224=1,$R224,"")</f>
        <v/>
      </c>
      <c r="D224" s="7">
        <f>IF($A224="","",IF($F224=0,"Biçim hatalı",IF(FIND(MID($B224,11,1),"0123456789")-1=$R224,"Geçerli","Kontrol hanesi hatalı (doğrusu: "&amp;$R224&amp;")")))</f>
        <v/>
      </c>
      <c r="F224">
        <f>IF($A224="","",IF(AND(LEN($B224)=11,SUMPRODUCT(--ISNUMBER(FIND(MID($B224,{1,2,3},1),"ABCDEFGHIJKLMNOPQRSTUVWXYZ")))=3,ISNUMBER(FIND(MID($B224,4,1),"UJZ")),SUMPRODUCT(--ISNUMBER(FIND(MID($B224,{5,6,7,8,9,10,11},1),"0123456789")))=7),1,0))</f>
        <v/>
      </c>
      <c r="G224">
        <f>IF($F224=1,INDEX({10,12,13,14,15,16,17,18,19,20,21,23,24,25,26,27,28,29,30,31,32,34,35,36,37,38},1,FIND(MID($B224,1,1),"ABCDEFGHIJKLMNOPQRSTUVWXYZ")),"")</f>
        <v/>
      </c>
      <c r="H224">
        <f>IF($F224=1,INDEX({10,12,13,14,15,16,17,18,19,20,21,23,24,25,26,27,28,29,30,31,32,34,35,36,37,38},1,FIND(MID($B224,2,1),"ABCDEFGHIJKLMNOPQRSTUVWXYZ")),"")</f>
        <v/>
      </c>
      <c r="I224">
        <f>IF($F224=1,INDEX({10,12,13,14,15,16,17,18,19,20,21,23,24,25,26,27,28,29,30,31,32,34,35,36,37,38},1,FIND(MID($B224,3,1),"ABCDEFGHIJKLMNOPQRSTUVWXYZ")),"")</f>
        <v/>
      </c>
      <c r="J224">
        <f>IF($F224=1,INDEX({10,12,13,14,15,16,17,18,19,20,21,23,24,25,26,27,28,29,30,31,32,34,35,36,37,38},1,FIND(MID($B224,4,1),"ABCDEFGHIJKLMNOPQRSTUVWXYZ")),"")</f>
        <v/>
      </c>
      <c r="K224">
        <f>IF($F224=1,FIND(MID($B224,5,1),"0123456789")-1,"")</f>
        <v/>
      </c>
      <c r="L224">
        <f>IF($F224=1,FIND(MID($B224,6,1),"0123456789")-1,"")</f>
        <v/>
      </c>
      <c r="M224">
        <f>IF($F224=1,FIND(MID($B224,7,1),"0123456789")-1,"")</f>
        <v/>
      </c>
      <c r="N224">
        <f>IF($F224=1,FIND(MID($B224,8,1),"0123456789")-1,"")</f>
        <v/>
      </c>
      <c r="O224">
        <f>IF($F224=1,FIND(MID($B224,9,1),"0123456789")-1,"")</f>
        <v/>
      </c>
      <c r="P224">
        <f>IF($F224=1,FIND(MID($B224,10,1),"0123456789")-1,"")</f>
        <v/>
      </c>
      <c r="Q224">
        <f>IF($F224=1,SUMPRODUCT($G224:$P224,{1,2,4,8,16,32,64,128,256,512}),"")</f>
        <v/>
      </c>
      <c r="R224">
        <f>IF($F224=1,MOD(MOD($Q224,11),10),"")</f>
        <v/>
      </c>
    </row>
    <row r="225">
      <c r="A225" s="6" t="n"/>
      <c r="B225" s="7">
        <f>IF($A225="","",UPPER(SUBSTITUTE(SUBSTITUTE(SUBSTITUTE(SUBSTITUTE(SUBSTITUTE(SUBSTITUTE($A225," ",""),"-",""),".",""),"/",""),"i","I"),"ı","?")))</f>
        <v/>
      </c>
      <c r="C225" s="8">
        <f>IF($F225=1,$R225,"")</f>
        <v/>
      </c>
      <c r="D225" s="7">
        <f>IF($A225="","",IF($F225=0,"Biçim hatalı",IF(FIND(MID($B225,11,1),"0123456789")-1=$R225,"Geçerli","Kontrol hanesi hatalı (doğrusu: "&amp;$R225&amp;")")))</f>
        <v/>
      </c>
      <c r="F225">
        <f>IF($A225="","",IF(AND(LEN($B225)=11,SUMPRODUCT(--ISNUMBER(FIND(MID($B225,{1,2,3},1),"ABCDEFGHIJKLMNOPQRSTUVWXYZ")))=3,ISNUMBER(FIND(MID($B225,4,1),"UJZ")),SUMPRODUCT(--ISNUMBER(FIND(MID($B225,{5,6,7,8,9,10,11},1),"0123456789")))=7),1,0))</f>
        <v/>
      </c>
      <c r="G225">
        <f>IF($F225=1,INDEX({10,12,13,14,15,16,17,18,19,20,21,23,24,25,26,27,28,29,30,31,32,34,35,36,37,38},1,FIND(MID($B225,1,1),"ABCDEFGHIJKLMNOPQRSTUVWXYZ")),"")</f>
        <v/>
      </c>
      <c r="H225">
        <f>IF($F225=1,INDEX({10,12,13,14,15,16,17,18,19,20,21,23,24,25,26,27,28,29,30,31,32,34,35,36,37,38},1,FIND(MID($B225,2,1),"ABCDEFGHIJKLMNOPQRSTUVWXYZ")),"")</f>
        <v/>
      </c>
      <c r="I225">
        <f>IF($F225=1,INDEX({10,12,13,14,15,16,17,18,19,20,21,23,24,25,26,27,28,29,30,31,32,34,35,36,37,38},1,FIND(MID($B225,3,1),"ABCDEFGHIJKLMNOPQRSTUVWXYZ")),"")</f>
        <v/>
      </c>
      <c r="J225">
        <f>IF($F225=1,INDEX({10,12,13,14,15,16,17,18,19,20,21,23,24,25,26,27,28,29,30,31,32,34,35,36,37,38},1,FIND(MID($B225,4,1),"ABCDEFGHIJKLMNOPQRSTUVWXYZ")),"")</f>
        <v/>
      </c>
      <c r="K225">
        <f>IF($F225=1,FIND(MID($B225,5,1),"0123456789")-1,"")</f>
        <v/>
      </c>
      <c r="L225">
        <f>IF($F225=1,FIND(MID($B225,6,1),"0123456789")-1,"")</f>
        <v/>
      </c>
      <c r="M225">
        <f>IF($F225=1,FIND(MID($B225,7,1),"0123456789")-1,"")</f>
        <v/>
      </c>
      <c r="N225">
        <f>IF($F225=1,FIND(MID($B225,8,1),"0123456789")-1,"")</f>
        <v/>
      </c>
      <c r="O225">
        <f>IF($F225=1,FIND(MID($B225,9,1),"0123456789")-1,"")</f>
        <v/>
      </c>
      <c r="P225">
        <f>IF($F225=1,FIND(MID($B225,10,1),"0123456789")-1,"")</f>
        <v/>
      </c>
      <c r="Q225">
        <f>IF($F225=1,SUMPRODUCT($G225:$P225,{1,2,4,8,16,32,64,128,256,512}),"")</f>
        <v/>
      </c>
      <c r="R225">
        <f>IF($F225=1,MOD(MOD($Q225,11),10),"")</f>
        <v/>
      </c>
    </row>
    <row r="226">
      <c r="A226" s="6" t="n"/>
      <c r="B226" s="7">
        <f>IF($A226="","",UPPER(SUBSTITUTE(SUBSTITUTE(SUBSTITUTE(SUBSTITUTE(SUBSTITUTE(SUBSTITUTE($A226," ",""),"-",""),".",""),"/",""),"i","I"),"ı","?")))</f>
        <v/>
      </c>
      <c r="C226" s="8">
        <f>IF($F226=1,$R226,"")</f>
        <v/>
      </c>
      <c r="D226" s="7">
        <f>IF($A226="","",IF($F226=0,"Biçim hatalı",IF(FIND(MID($B226,11,1),"0123456789")-1=$R226,"Geçerli","Kontrol hanesi hatalı (doğrusu: "&amp;$R226&amp;")")))</f>
        <v/>
      </c>
      <c r="F226">
        <f>IF($A226="","",IF(AND(LEN($B226)=11,SUMPRODUCT(--ISNUMBER(FIND(MID($B226,{1,2,3},1),"ABCDEFGHIJKLMNOPQRSTUVWXYZ")))=3,ISNUMBER(FIND(MID($B226,4,1),"UJZ")),SUMPRODUCT(--ISNUMBER(FIND(MID($B226,{5,6,7,8,9,10,11},1),"0123456789")))=7),1,0))</f>
        <v/>
      </c>
      <c r="G226">
        <f>IF($F226=1,INDEX({10,12,13,14,15,16,17,18,19,20,21,23,24,25,26,27,28,29,30,31,32,34,35,36,37,38},1,FIND(MID($B226,1,1),"ABCDEFGHIJKLMNOPQRSTUVWXYZ")),"")</f>
        <v/>
      </c>
      <c r="H226">
        <f>IF($F226=1,INDEX({10,12,13,14,15,16,17,18,19,20,21,23,24,25,26,27,28,29,30,31,32,34,35,36,37,38},1,FIND(MID($B226,2,1),"ABCDEFGHIJKLMNOPQRSTUVWXYZ")),"")</f>
        <v/>
      </c>
      <c r="I226">
        <f>IF($F226=1,INDEX({10,12,13,14,15,16,17,18,19,20,21,23,24,25,26,27,28,29,30,31,32,34,35,36,37,38},1,FIND(MID($B226,3,1),"ABCDEFGHIJKLMNOPQRSTUVWXYZ")),"")</f>
        <v/>
      </c>
      <c r="J226">
        <f>IF($F226=1,INDEX({10,12,13,14,15,16,17,18,19,20,21,23,24,25,26,27,28,29,30,31,32,34,35,36,37,38},1,FIND(MID($B226,4,1),"ABCDEFGHIJKLMNOPQRSTUVWXYZ")),"")</f>
        <v/>
      </c>
      <c r="K226">
        <f>IF($F226=1,FIND(MID($B226,5,1),"0123456789")-1,"")</f>
        <v/>
      </c>
      <c r="L226">
        <f>IF($F226=1,FIND(MID($B226,6,1),"0123456789")-1,"")</f>
        <v/>
      </c>
      <c r="M226">
        <f>IF($F226=1,FIND(MID($B226,7,1),"0123456789")-1,"")</f>
        <v/>
      </c>
      <c r="N226">
        <f>IF($F226=1,FIND(MID($B226,8,1),"0123456789")-1,"")</f>
        <v/>
      </c>
      <c r="O226">
        <f>IF($F226=1,FIND(MID($B226,9,1),"0123456789")-1,"")</f>
        <v/>
      </c>
      <c r="P226">
        <f>IF($F226=1,FIND(MID($B226,10,1),"0123456789")-1,"")</f>
        <v/>
      </c>
      <c r="Q226">
        <f>IF($F226=1,SUMPRODUCT($G226:$P226,{1,2,4,8,16,32,64,128,256,512}),"")</f>
        <v/>
      </c>
      <c r="R226">
        <f>IF($F226=1,MOD(MOD($Q226,11),10),"")</f>
        <v/>
      </c>
    </row>
    <row r="227">
      <c r="A227" s="6" t="n"/>
      <c r="B227" s="7">
        <f>IF($A227="","",UPPER(SUBSTITUTE(SUBSTITUTE(SUBSTITUTE(SUBSTITUTE(SUBSTITUTE(SUBSTITUTE($A227," ",""),"-",""),".",""),"/",""),"i","I"),"ı","?")))</f>
        <v/>
      </c>
      <c r="C227" s="8">
        <f>IF($F227=1,$R227,"")</f>
        <v/>
      </c>
      <c r="D227" s="7">
        <f>IF($A227="","",IF($F227=0,"Biçim hatalı",IF(FIND(MID($B227,11,1),"0123456789")-1=$R227,"Geçerli","Kontrol hanesi hatalı (doğrusu: "&amp;$R227&amp;")")))</f>
        <v/>
      </c>
      <c r="F227">
        <f>IF($A227="","",IF(AND(LEN($B227)=11,SUMPRODUCT(--ISNUMBER(FIND(MID($B227,{1,2,3},1),"ABCDEFGHIJKLMNOPQRSTUVWXYZ")))=3,ISNUMBER(FIND(MID($B227,4,1),"UJZ")),SUMPRODUCT(--ISNUMBER(FIND(MID($B227,{5,6,7,8,9,10,11},1),"0123456789")))=7),1,0))</f>
        <v/>
      </c>
      <c r="G227">
        <f>IF($F227=1,INDEX({10,12,13,14,15,16,17,18,19,20,21,23,24,25,26,27,28,29,30,31,32,34,35,36,37,38},1,FIND(MID($B227,1,1),"ABCDEFGHIJKLMNOPQRSTUVWXYZ")),"")</f>
        <v/>
      </c>
      <c r="H227">
        <f>IF($F227=1,INDEX({10,12,13,14,15,16,17,18,19,20,21,23,24,25,26,27,28,29,30,31,32,34,35,36,37,38},1,FIND(MID($B227,2,1),"ABCDEFGHIJKLMNOPQRSTUVWXYZ")),"")</f>
        <v/>
      </c>
      <c r="I227">
        <f>IF($F227=1,INDEX({10,12,13,14,15,16,17,18,19,20,21,23,24,25,26,27,28,29,30,31,32,34,35,36,37,38},1,FIND(MID($B227,3,1),"ABCDEFGHIJKLMNOPQRSTUVWXYZ")),"")</f>
        <v/>
      </c>
      <c r="J227">
        <f>IF($F227=1,INDEX({10,12,13,14,15,16,17,18,19,20,21,23,24,25,26,27,28,29,30,31,32,34,35,36,37,38},1,FIND(MID($B227,4,1),"ABCDEFGHIJKLMNOPQRSTUVWXYZ")),"")</f>
        <v/>
      </c>
      <c r="K227">
        <f>IF($F227=1,FIND(MID($B227,5,1),"0123456789")-1,"")</f>
        <v/>
      </c>
      <c r="L227">
        <f>IF($F227=1,FIND(MID($B227,6,1),"0123456789")-1,"")</f>
        <v/>
      </c>
      <c r="M227">
        <f>IF($F227=1,FIND(MID($B227,7,1),"0123456789")-1,"")</f>
        <v/>
      </c>
      <c r="N227">
        <f>IF($F227=1,FIND(MID($B227,8,1),"0123456789")-1,"")</f>
        <v/>
      </c>
      <c r="O227">
        <f>IF($F227=1,FIND(MID($B227,9,1),"0123456789")-1,"")</f>
        <v/>
      </c>
      <c r="P227">
        <f>IF($F227=1,FIND(MID($B227,10,1),"0123456789")-1,"")</f>
        <v/>
      </c>
      <c r="Q227">
        <f>IF($F227=1,SUMPRODUCT($G227:$P227,{1,2,4,8,16,32,64,128,256,512}),"")</f>
        <v/>
      </c>
      <c r="R227">
        <f>IF($F227=1,MOD(MOD($Q227,11),10),"")</f>
        <v/>
      </c>
    </row>
    <row r="228">
      <c r="A228" s="6" t="n"/>
      <c r="B228" s="7">
        <f>IF($A228="","",UPPER(SUBSTITUTE(SUBSTITUTE(SUBSTITUTE(SUBSTITUTE(SUBSTITUTE(SUBSTITUTE($A228," ",""),"-",""),".",""),"/",""),"i","I"),"ı","?")))</f>
        <v/>
      </c>
      <c r="C228" s="8">
        <f>IF($F228=1,$R228,"")</f>
        <v/>
      </c>
      <c r="D228" s="7">
        <f>IF($A228="","",IF($F228=0,"Biçim hatalı",IF(FIND(MID($B228,11,1),"0123456789")-1=$R228,"Geçerli","Kontrol hanesi hatalı (doğrusu: "&amp;$R228&amp;")")))</f>
        <v/>
      </c>
      <c r="F228">
        <f>IF($A228="","",IF(AND(LEN($B228)=11,SUMPRODUCT(--ISNUMBER(FIND(MID($B228,{1,2,3},1),"ABCDEFGHIJKLMNOPQRSTUVWXYZ")))=3,ISNUMBER(FIND(MID($B228,4,1),"UJZ")),SUMPRODUCT(--ISNUMBER(FIND(MID($B228,{5,6,7,8,9,10,11},1),"0123456789")))=7),1,0))</f>
        <v/>
      </c>
      <c r="G228">
        <f>IF($F228=1,INDEX({10,12,13,14,15,16,17,18,19,20,21,23,24,25,26,27,28,29,30,31,32,34,35,36,37,38},1,FIND(MID($B228,1,1),"ABCDEFGHIJKLMNOPQRSTUVWXYZ")),"")</f>
        <v/>
      </c>
      <c r="H228">
        <f>IF($F228=1,INDEX({10,12,13,14,15,16,17,18,19,20,21,23,24,25,26,27,28,29,30,31,32,34,35,36,37,38},1,FIND(MID($B228,2,1),"ABCDEFGHIJKLMNOPQRSTUVWXYZ")),"")</f>
        <v/>
      </c>
      <c r="I228">
        <f>IF($F228=1,INDEX({10,12,13,14,15,16,17,18,19,20,21,23,24,25,26,27,28,29,30,31,32,34,35,36,37,38},1,FIND(MID($B228,3,1),"ABCDEFGHIJKLMNOPQRSTUVWXYZ")),"")</f>
        <v/>
      </c>
      <c r="J228">
        <f>IF($F228=1,INDEX({10,12,13,14,15,16,17,18,19,20,21,23,24,25,26,27,28,29,30,31,32,34,35,36,37,38},1,FIND(MID($B228,4,1),"ABCDEFGHIJKLMNOPQRSTUVWXYZ")),"")</f>
        <v/>
      </c>
      <c r="K228">
        <f>IF($F228=1,FIND(MID($B228,5,1),"0123456789")-1,"")</f>
        <v/>
      </c>
      <c r="L228">
        <f>IF($F228=1,FIND(MID($B228,6,1),"0123456789")-1,"")</f>
        <v/>
      </c>
      <c r="M228">
        <f>IF($F228=1,FIND(MID($B228,7,1),"0123456789")-1,"")</f>
        <v/>
      </c>
      <c r="N228">
        <f>IF($F228=1,FIND(MID($B228,8,1),"0123456789")-1,"")</f>
        <v/>
      </c>
      <c r="O228">
        <f>IF($F228=1,FIND(MID($B228,9,1),"0123456789")-1,"")</f>
        <v/>
      </c>
      <c r="P228">
        <f>IF($F228=1,FIND(MID($B228,10,1),"0123456789")-1,"")</f>
        <v/>
      </c>
      <c r="Q228">
        <f>IF($F228=1,SUMPRODUCT($G228:$P228,{1,2,4,8,16,32,64,128,256,512}),"")</f>
        <v/>
      </c>
      <c r="R228">
        <f>IF($F228=1,MOD(MOD($Q228,11),10),"")</f>
        <v/>
      </c>
    </row>
    <row r="229">
      <c r="A229" s="6" t="n"/>
      <c r="B229" s="7">
        <f>IF($A229="","",UPPER(SUBSTITUTE(SUBSTITUTE(SUBSTITUTE(SUBSTITUTE(SUBSTITUTE(SUBSTITUTE($A229," ",""),"-",""),".",""),"/",""),"i","I"),"ı","?")))</f>
        <v/>
      </c>
      <c r="C229" s="8">
        <f>IF($F229=1,$R229,"")</f>
        <v/>
      </c>
      <c r="D229" s="7">
        <f>IF($A229="","",IF($F229=0,"Biçim hatalı",IF(FIND(MID($B229,11,1),"0123456789")-1=$R229,"Geçerli","Kontrol hanesi hatalı (doğrusu: "&amp;$R229&amp;")")))</f>
        <v/>
      </c>
      <c r="F229">
        <f>IF($A229="","",IF(AND(LEN($B229)=11,SUMPRODUCT(--ISNUMBER(FIND(MID($B229,{1,2,3},1),"ABCDEFGHIJKLMNOPQRSTUVWXYZ")))=3,ISNUMBER(FIND(MID($B229,4,1),"UJZ")),SUMPRODUCT(--ISNUMBER(FIND(MID($B229,{5,6,7,8,9,10,11},1),"0123456789")))=7),1,0))</f>
        <v/>
      </c>
      <c r="G229">
        <f>IF($F229=1,INDEX({10,12,13,14,15,16,17,18,19,20,21,23,24,25,26,27,28,29,30,31,32,34,35,36,37,38},1,FIND(MID($B229,1,1),"ABCDEFGHIJKLMNOPQRSTUVWXYZ")),"")</f>
        <v/>
      </c>
      <c r="H229">
        <f>IF($F229=1,INDEX({10,12,13,14,15,16,17,18,19,20,21,23,24,25,26,27,28,29,30,31,32,34,35,36,37,38},1,FIND(MID($B229,2,1),"ABCDEFGHIJKLMNOPQRSTUVWXYZ")),"")</f>
        <v/>
      </c>
      <c r="I229">
        <f>IF($F229=1,INDEX({10,12,13,14,15,16,17,18,19,20,21,23,24,25,26,27,28,29,30,31,32,34,35,36,37,38},1,FIND(MID($B229,3,1),"ABCDEFGHIJKLMNOPQRSTUVWXYZ")),"")</f>
        <v/>
      </c>
      <c r="J229">
        <f>IF($F229=1,INDEX({10,12,13,14,15,16,17,18,19,20,21,23,24,25,26,27,28,29,30,31,32,34,35,36,37,38},1,FIND(MID($B229,4,1),"ABCDEFGHIJKLMNOPQRSTUVWXYZ")),"")</f>
        <v/>
      </c>
      <c r="K229">
        <f>IF($F229=1,FIND(MID($B229,5,1),"0123456789")-1,"")</f>
        <v/>
      </c>
      <c r="L229">
        <f>IF($F229=1,FIND(MID($B229,6,1),"0123456789")-1,"")</f>
        <v/>
      </c>
      <c r="M229">
        <f>IF($F229=1,FIND(MID($B229,7,1),"0123456789")-1,"")</f>
        <v/>
      </c>
      <c r="N229">
        <f>IF($F229=1,FIND(MID($B229,8,1),"0123456789")-1,"")</f>
        <v/>
      </c>
      <c r="O229">
        <f>IF($F229=1,FIND(MID($B229,9,1),"0123456789")-1,"")</f>
        <v/>
      </c>
      <c r="P229">
        <f>IF($F229=1,FIND(MID($B229,10,1),"0123456789")-1,"")</f>
        <v/>
      </c>
      <c r="Q229">
        <f>IF($F229=1,SUMPRODUCT($G229:$P229,{1,2,4,8,16,32,64,128,256,512}),"")</f>
        <v/>
      </c>
      <c r="R229">
        <f>IF($F229=1,MOD(MOD($Q229,11),10),"")</f>
        <v/>
      </c>
    </row>
    <row r="230">
      <c r="A230" s="6" t="n"/>
      <c r="B230" s="7">
        <f>IF($A230="","",UPPER(SUBSTITUTE(SUBSTITUTE(SUBSTITUTE(SUBSTITUTE(SUBSTITUTE(SUBSTITUTE($A230," ",""),"-",""),".",""),"/",""),"i","I"),"ı","?")))</f>
        <v/>
      </c>
      <c r="C230" s="8">
        <f>IF($F230=1,$R230,"")</f>
        <v/>
      </c>
      <c r="D230" s="7">
        <f>IF($A230="","",IF($F230=0,"Biçim hatalı",IF(FIND(MID($B230,11,1),"0123456789")-1=$R230,"Geçerli","Kontrol hanesi hatalı (doğrusu: "&amp;$R230&amp;")")))</f>
        <v/>
      </c>
      <c r="F230">
        <f>IF($A230="","",IF(AND(LEN($B230)=11,SUMPRODUCT(--ISNUMBER(FIND(MID($B230,{1,2,3},1),"ABCDEFGHIJKLMNOPQRSTUVWXYZ")))=3,ISNUMBER(FIND(MID($B230,4,1),"UJZ")),SUMPRODUCT(--ISNUMBER(FIND(MID($B230,{5,6,7,8,9,10,11},1),"0123456789")))=7),1,0))</f>
        <v/>
      </c>
      <c r="G230">
        <f>IF($F230=1,INDEX({10,12,13,14,15,16,17,18,19,20,21,23,24,25,26,27,28,29,30,31,32,34,35,36,37,38},1,FIND(MID($B230,1,1),"ABCDEFGHIJKLMNOPQRSTUVWXYZ")),"")</f>
        <v/>
      </c>
      <c r="H230">
        <f>IF($F230=1,INDEX({10,12,13,14,15,16,17,18,19,20,21,23,24,25,26,27,28,29,30,31,32,34,35,36,37,38},1,FIND(MID($B230,2,1),"ABCDEFGHIJKLMNOPQRSTUVWXYZ")),"")</f>
        <v/>
      </c>
      <c r="I230">
        <f>IF($F230=1,INDEX({10,12,13,14,15,16,17,18,19,20,21,23,24,25,26,27,28,29,30,31,32,34,35,36,37,38},1,FIND(MID($B230,3,1),"ABCDEFGHIJKLMNOPQRSTUVWXYZ")),"")</f>
        <v/>
      </c>
      <c r="J230">
        <f>IF($F230=1,INDEX({10,12,13,14,15,16,17,18,19,20,21,23,24,25,26,27,28,29,30,31,32,34,35,36,37,38},1,FIND(MID($B230,4,1),"ABCDEFGHIJKLMNOPQRSTUVWXYZ")),"")</f>
        <v/>
      </c>
      <c r="K230">
        <f>IF($F230=1,FIND(MID($B230,5,1),"0123456789")-1,"")</f>
        <v/>
      </c>
      <c r="L230">
        <f>IF($F230=1,FIND(MID($B230,6,1),"0123456789")-1,"")</f>
        <v/>
      </c>
      <c r="M230">
        <f>IF($F230=1,FIND(MID($B230,7,1),"0123456789")-1,"")</f>
        <v/>
      </c>
      <c r="N230">
        <f>IF($F230=1,FIND(MID($B230,8,1),"0123456789")-1,"")</f>
        <v/>
      </c>
      <c r="O230">
        <f>IF($F230=1,FIND(MID($B230,9,1),"0123456789")-1,"")</f>
        <v/>
      </c>
      <c r="P230">
        <f>IF($F230=1,FIND(MID($B230,10,1),"0123456789")-1,"")</f>
        <v/>
      </c>
      <c r="Q230">
        <f>IF($F230=1,SUMPRODUCT($G230:$P230,{1,2,4,8,16,32,64,128,256,512}),"")</f>
        <v/>
      </c>
      <c r="R230">
        <f>IF($F230=1,MOD(MOD($Q230,11),10),"")</f>
        <v/>
      </c>
    </row>
    <row r="231">
      <c r="A231" s="6" t="n"/>
      <c r="B231" s="7">
        <f>IF($A231="","",UPPER(SUBSTITUTE(SUBSTITUTE(SUBSTITUTE(SUBSTITUTE(SUBSTITUTE(SUBSTITUTE($A231," ",""),"-",""),".",""),"/",""),"i","I"),"ı","?")))</f>
        <v/>
      </c>
      <c r="C231" s="8">
        <f>IF($F231=1,$R231,"")</f>
        <v/>
      </c>
      <c r="D231" s="7">
        <f>IF($A231="","",IF($F231=0,"Biçim hatalı",IF(FIND(MID($B231,11,1),"0123456789")-1=$R231,"Geçerli","Kontrol hanesi hatalı (doğrusu: "&amp;$R231&amp;")")))</f>
        <v/>
      </c>
      <c r="F231">
        <f>IF($A231="","",IF(AND(LEN($B231)=11,SUMPRODUCT(--ISNUMBER(FIND(MID($B231,{1,2,3},1),"ABCDEFGHIJKLMNOPQRSTUVWXYZ")))=3,ISNUMBER(FIND(MID($B231,4,1),"UJZ")),SUMPRODUCT(--ISNUMBER(FIND(MID($B231,{5,6,7,8,9,10,11},1),"0123456789")))=7),1,0))</f>
        <v/>
      </c>
      <c r="G231">
        <f>IF($F231=1,INDEX({10,12,13,14,15,16,17,18,19,20,21,23,24,25,26,27,28,29,30,31,32,34,35,36,37,38},1,FIND(MID($B231,1,1),"ABCDEFGHIJKLMNOPQRSTUVWXYZ")),"")</f>
        <v/>
      </c>
      <c r="H231">
        <f>IF($F231=1,INDEX({10,12,13,14,15,16,17,18,19,20,21,23,24,25,26,27,28,29,30,31,32,34,35,36,37,38},1,FIND(MID($B231,2,1),"ABCDEFGHIJKLMNOPQRSTUVWXYZ")),"")</f>
        <v/>
      </c>
      <c r="I231">
        <f>IF($F231=1,INDEX({10,12,13,14,15,16,17,18,19,20,21,23,24,25,26,27,28,29,30,31,32,34,35,36,37,38},1,FIND(MID($B231,3,1),"ABCDEFGHIJKLMNOPQRSTUVWXYZ")),"")</f>
        <v/>
      </c>
      <c r="J231">
        <f>IF($F231=1,INDEX({10,12,13,14,15,16,17,18,19,20,21,23,24,25,26,27,28,29,30,31,32,34,35,36,37,38},1,FIND(MID($B231,4,1),"ABCDEFGHIJKLMNOPQRSTUVWXYZ")),"")</f>
        <v/>
      </c>
      <c r="K231">
        <f>IF($F231=1,FIND(MID($B231,5,1),"0123456789")-1,"")</f>
        <v/>
      </c>
      <c r="L231">
        <f>IF($F231=1,FIND(MID($B231,6,1),"0123456789")-1,"")</f>
        <v/>
      </c>
      <c r="M231">
        <f>IF($F231=1,FIND(MID($B231,7,1),"0123456789")-1,"")</f>
        <v/>
      </c>
      <c r="N231">
        <f>IF($F231=1,FIND(MID($B231,8,1),"0123456789")-1,"")</f>
        <v/>
      </c>
      <c r="O231">
        <f>IF($F231=1,FIND(MID($B231,9,1),"0123456789")-1,"")</f>
        <v/>
      </c>
      <c r="P231">
        <f>IF($F231=1,FIND(MID($B231,10,1),"0123456789")-1,"")</f>
        <v/>
      </c>
      <c r="Q231">
        <f>IF($F231=1,SUMPRODUCT($G231:$P231,{1,2,4,8,16,32,64,128,256,512}),"")</f>
        <v/>
      </c>
      <c r="R231">
        <f>IF($F231=1,MOD(MOD($Q231,11),10),"")</f>
        <v/>
      </c>
    </row>
    <row r="232">
      <c r="A232" s="6" t="n"/>
      <c r="B232" s="7">
        <f>IF($A232="","",UPPER(SUBSTITUTE(SUBSTITUTE(SUBSTITUTE(SUBSTITUTE(SUBSTITUTE(SUBSTITUTE($A232," ",""),"-",""),".",""),"/",""),"i","I"),"ı","?")))</f>
        <v/>
      </c>
      <c r="C232" s="8">
        <f>IF($F232=1,$R232,"")</f>
        <v/>
      </c>
      <c r="D232" s="7">
        <f>IF($A232="","",IF($F232=0,"Biçim hatalı",IF(FIND(MID($B232,11,1),"0123456789")-1=$R232,"Geçerli","Kontrol hanesi hatalı (doğrusu: "&amp;$R232&amp;")")))</f>
        <v/>
      </c>
      <c r="F232">
        <f>IF($A232="","",IF(AND(LEN($B232)=11,SUMPRODUCT(--ISNUMBER(FIND(MID($B232,{1,2,3},1),"ABCDEFGHIJKLMNOPQRSTUVWXYZ")))=3,ISNUMBER(FIND(MID($B232,4,1),"UJZ")),SUMPRODUCT(--ISNUMBER(FIND(MID($B232,{5,6,7,8,9,10,11},1),"0123456789")))=7),1,0))</f>
        <v/>
      </c>
      <c r="G232">
        <f>IF($F232=1,INDEX({10,12,13,14,15,16,17,18,19,20,21,23,24,25,26,27,28,29,30,31,32,34,35,36,37,38},1,FIND(MID($B232,1,1),"ABCDEFGHIJKLMNOPQRSTUVWXYZ")),"")</f>
        <v/>
      </c>
      <c r="H232">
        <f>IF($F232=1,INDEX({10,12,13,14,15,16,17,18,19,20,21,23,24,25,26,27,28,29,30,31,32,34,35,36,37,38},1,FIND(MID($B232,2,1),"ABCDEFGHIJKLMNOPQRSTUVWXYZ")),"")</f>
        <v/>
      </c>
      <c r="I232">
        <f>IF($F232=1,INDEX({10,12,13,14,15,16,17,18,19,20,21,23,24,25,26,27,28,29,30,31,32,34,35,36,37,38},1,FIND(MID($B232,3,1),"ABCDEFGHIJKLMNOPQRSTUVWXYZ")),"")</f>
        <v/>
      </c>
      <c r="J232">
        <f>IF($F232=1,INDEX({10,12,13,14,15,16,17,18,19,20,21,23,24,25,26,27,28,29,30,31,32,34,35,36,37,38},1,FIND(MID($B232,4,1),"ABCDEFGHIJKLMNOPQRSTUVWXYZ")),"")</f>
        <v/>
      </c>
      <c r="K232">
        <f>IF($F232=1,FIND(MID($B232,5,1),"0123456789")-1,"")</f>
        <v/>
      </c>
      <c r="L232">
        <f>IF($F232=1,FIND(MID($B232,6,1),"0123456789")-1,"")</f>
        <v/>
      </c>
      <c r="M232">
        <f>IF($F232=1,FIND(MID($B232,7,1),"0123456789")-1,"")</f>
        <v/>
      </c>
      <c r="N232">
        <f>IF($F232=1,FIND(MID($B232,8,1),"0123456789")-1,"")</f>
        <v/>
      </c>
      <c r="O232">
        <f>IF($F232=1,FIND(MID($B232,9,1),"0123456789")-1,"")</f>
        <v/>
      </c>
      <c r="P232">
        <f>IF($F232=1,FIND(MID($B232,10,1),"0123456789")-1,"")</f>
        <v/>
      </c>
      <c r="Q232">
        <f>IF($F232=1,SUMPRODUCT($G232:$P232,{1,2,4,8,16,32,64,128,256,512}),"")</f>
        <v/>
      </c>
      <c r="R232">
        <f>IF($F232=1,MOD(MOD($Q232,11),10),"")</f>
        <v/>
      </c>
    </row>
    <row r="233">
      <c r="A233" s="6" t="n"/>
      <c r="B233" s="7">
        <f>IF($A233="","",UPPER(SUBSTITUTE(SUBSTITUTE(SUBSTITUTE(SUBSTITUTE(SUBSTITUTE(SUBSTITUTE($A233," ",""),"-",""),".",""),"/",""),"i","I"),"ı","?")))</f>
        <v/>
      </c>
      <c r="C233" s="8">
        <f>IF($F233=1,$R233,"")</f>
        <v/>
      </c>
      <c r="D233" s="7">
        <f>IF($A233="","",IF($F233=0,"Biçim hatalı",IF(FIND(MID($B233,11,1),"0123456789")-1=$R233,"Geçerli","Kontrol hanesi hatalı (doğrusu: "&amp;$R233&amp;")")))</f>
        <v/>
      </c>
      <c r="F233">
        <f>IF($A233="","",IF(AND(LEN($B233)=11,SUMPRODUCT(--ISNUMBER(FIND(MID($B233,{1,2,3},1),"ABCDEFGHIJKLMNOPQRSTUVWXYZ")))=3,ISNUMBER(FIND(MID($B233,4,1),"UJZ")),SUMPRODUCT(--ISNUMBER(FIND(MID($B233,{5,6,7,8,9,10,11},1),"0123456789")))=7),1,0))</f>
        <v/>
      </c>
      <c r="G233">
        <f>IF($F233=1,INDEX({10,12,13,14,15,16,17,18,19,20,21,23,24,25,26,27,28,29,30,31,32,34,35,36,37,38},1,FIND(MID($B233,1,1),"ABCDEFGHIJKLMNOPQRSTUVWXYZ")),"")</f>
        <v/>
      </c>
      <c r="H233">
        <f>IF($F233=1,INDEX({10,12,13,14,15,16,17,18,19,20,21,23,24,25,26,27,28,29,30,31,32,34,35,36,37,38},1,FIND(MID($B233,2,1),"ABCDEFGHIJKLMNOPQRSTUVWXYZ")),"")</f>
        <v/>
      </c>
      <c r="I233">
        <f>IF($F233=1,INDEX({10,12,13,14,15,16,17,18,19,20,21,23,24,25,26,27,28,29,30,31,32,34,35,36,37,38},1,FIND(MID($B233,3,1),"ABCDEFGHIJKLMNOPQRSTUVWXYZ")),"")</f>
        <v/>
      </c>
      <c r="J233">
        <f>IF($F233=1,INDEX({10,12,13,14,15,16,17,18,19,20,21,23,24,25,26,27,28,29,30,31,32,34,35,36,37,38},1,FIND(MID($B233,4,1),"ABCDEFGHIJKLMNOPQRSTUVWXYZ")),"")</f>
        <v/>
      </c>
      <c r="K233">
        <f>IF($F233=1,FIND(MID($B233,5,1),"0123456789")-1,"")</f>
        <v/>
      </c>
      <c r="L233">
        <f>IF($F233=1,FIND(MID($B233,6,1),"0123456789")-1,"")</f>
        <v/>
      </c>
      <c r="M233">
        <f>IF($F233=1,FIND(MID($B233,7,1),"0123456789")-1,"")</f>
        <v/>
      </c>
      <c r="N233">
        <f>IF($F233=1,FIND(MID($B233,8,1),"0123456789")-1,"")</f>
        <v/>
      </c>
      <c r="O233">
        <f>IF($F233=1,FIND(MID($B233,9,1),"0123456789")-1,"")</f>
        <v/>
      </c>
      <c r="P233">
        <f>IF($F233=1,FIND(MID($B233,10,1),"0123456789")-1,"")</f>
        <v/>
      </c>
      <c r="Q233">
        <f>IF($F233=1,SUMPRODUCT($G233:$P233,{1,2,4,8,16,32,64,128,256,512}),"")</f>
        <v/>
      </c>
      <c r="R233">
        <f>IF($F233=1,MOD(MOD($Q233,11),10),"")</f>
        <v/>
      </c>
    </row>
    <row r="234">
      <c r="A234" s="6" t="n"/>
      <c r="B234" s="7">
        <f>IF($A234="","",UPPER(SUBSTITUTE(SUBSTITUTE(SUBSTITUTE(SUBSTITUTE(SUBSTITUTE(SUBSTITUTE($A234," ",""),"-",""),".",""),"/",""),"i","I"),"ı","?")))</f>
        <v/>
      </c>
      <c r="C234" s="8">
        <f>IF($F234=1,$R234,"")</f>
        <v/>
      </c>
      <c r="D234" s="7">
        <f>IF($A234="","",IF($F234=0,"Biçim hatalı",IF(FIND(MID($B234,11,1),"0123456789")-1=$R234,"Geçerli","Kontrol hanesi hatalı (doğrusu: "&amp;$R234&amp;")")))</f>
        <v/>
      </c>
      <c r="F234">
        <f>IF($A234="","",IF(AND(LEN($B234)=11,SUMPRODUCT(--ISNUMBER(FIND(MID($B234,{1,2,3},1),"ABCDEFGHIJKLMNOPQRSTUVWXYZ")))=3,ISNUMBER(FIND(MID($B234,4,1),"UJZ")),SUMPRODUCT(--ISNUMBER(FIND(MID($B234,{5,6,7,8,9,10,11},1),"0123456789")))=7),1,0))</f>
        <v/>
      </c>
      <c r="G234">
        <f>IF($F234=1,INDEX({10,12,13,14,15,16,17,18,19,20,21,23,24,25,26,27,28,29,30,31,32,34,35,36,37,38},1,FIND(MID($B234,1,1),"ABCDEFGHIJKLMNOPQRSTUVWXYZ")),"")</f>
        <v/>
      </c>
      <c r="H234">
        <f>IF($F234=1,INDEX({10,12,13,14,15,16,17,18,19,20,21,23,24,25,26,27,28,29,30,31,32,34,35,36,37,38},1,FIND(MID($B234,2,1),"ABCDEFGHIJKLMNOPQRSTUVWXYZ")),"")</f>
        <v/>
      </c>
      <c r="I234">
        <f>IF($F234=1,INDEX({10,12,13,14,15,16,17,18,19,20,21,23,24,25,26,27,28,29,30,31,32,34,35,36,37,38},1,FIND(MID($B234,3,1),"ABCDEFGHIJKLMNOPQRSTUVWXYZ")),"")</f>
        <v/>
      </c>
      <c r="J234">
        <f>IF($F234=1,INDEX({10,12,13,14,15,16,17,18,19,20,21,23,24,25,26,27,28,29,30,31,32,34,35,36,37,38},1,FIND(MID($B234,4,1),"ABCDEFGHIJKLMNOPQRSTUVWXYZ")),"")</f>
        <v/>
      </c>
      <c r="K234">
        <f>IF($F234=1,FIND(MID($B234,5,1),"0123456789")-1,"")</f>
        <v/>
      </c>
      <c r="L234">
        <f>IF($F234=1,FIND(MID($B234,6,1),"0123456789")-1,"")</f>
        <v/>
      </c>
      <c r="M234">
        <f>IF($F234=1,FIND(MID($B234,7,1),"0123456789")-1,"")</f>
        <v/>
      </c>
      <c r="N234">
        <f>IF($F234=1,FIND(MID($B234,8,1),"0123456789")-1,"")</f>
        <v/>
      </c>
      <c r="O234">
        <f>IF($F234=1,FIND(MID($B234,9,1),"0123456789")-1,"")</f>
        <v/>
      </c>
      <c r="P234">
        <f>IF($F234=1,FIND(MID($B234,10,1),"0123456789")-1,"")</f>
        <v/>
      </c>
      <c r="Q234">
        <f>IF($F234=1,SUMPRODUCT($G234:$P234,{1,2,4,8,16,32,64,128,256,512}),"")</f>
        <v/>
      </c>
      <c r="R234">
        <f>IF($F234=1,MOD(MOD($Q234,11),10),"")</f>
        <v/>
      </c>
    </row>
    <row r="235">
      <c r="A235" s="6" t="n"/>
      <c r="B235" s="7">
        <f>IF($A235="","",UPPER(SUBSTITUTE(SUBSTITUTE(SUBSTITUTE(SUBSTITUTE(SUBSTITUTE(SUBSTITUTE($A235," ",""),"-",""),".",""),"/",""),"i","I"),"ı","?")))</f>
        <v/>
      </c>
      <c r="C235" s="8">
        <f>IF($F235=1,$R235,"")</f>
        <v/>
      </c>
      <c r="D235" s="7">
        <f>IF($A235="","",IF($F235=0,"Biçim hatalı",IF(FIND(MID($B235,11,1),"0123456789")-1=$R235,"Geçerli","Kontrol hanesi hatalı (doğrusu: "&amp;$R235&amp;")")))</f>
        <v/>
      </c>
      <c r="F235">
        <f>IF($A235="","",IF(AND(LEN($B235)=11,SUMPRODUCT(--ISNUMBER(FIND(MID($B235,{1,2,3},1),"ABCDEFGHIJKLMNOPQRSTUVWXYZ")))=3,ISNUMBER(FIND(MID($B235,4,1),"UJZ")),SUMPRODUCT(--ISNUMBER(FIND(MID($B235,{5,6,7,8,9,10,11},1),"0123456789")))=7),1,0))</f>
        <v/>
      </c>
      <c r="G235">
        <f>IF($F235=1,INDEX({10,12,13,14,15,16,17,18,19,20,21,23,24,25,26,27,28,29,30,31,32,34,35,36,37,38},1,FIND(MID($B235,1,1),"ABCDEFGHIJKLMNOPQRSTUVWXYZ")),"")</f>
        <v/>
      </c>
      <c r="H235">
        <f>IF($F235=1,INDEX({10,12,13,14,15,16,17,18,19,20,21,23,24,25,26,27,28,29,30,31,32,34,35,36,37,38},1,FIND(MID($B235,2,1),"ABCDEFGHIJKLMNOPQRSTUVWXYZ")),"")</f>
        <v/>
      </c>
      <c r="I235">
        <f>IF($F235=1,INDEX({10,12,13,14,15,16,17,18,19,20,21,23,24,25,26,27,28,29,30,31,32,34,35,36,37,38},1,FIND(MID($B235,3,1),"ABCDEFGHIJKLMNOPQRSTUVWXYZ")),"")</f>
        <v/>
      </c>
      <c r="J235">
        <f>IF($F235=1,INDEX({10,12,13,14,15,16,17,18,19,20,21,23,24,25,26,27,28,29,30,31,32,34,35,36,37,38},1,FIND(MID($B235,4,1),"ABCDEFGHIJKLMNOPQRSTUVWXYZ")),"")</f>
        <v/>
      </c>
      <c r="K235">
        <f>IF($F235=1,FIND(MID($B235,5,1),"0123456789")-1,"")</f>
        <v/>
      </c>
      <c r="L235">
        <f>IF($F235=1,FIND(MID($B235,6,1),"0123456789")-1,"")</f>
        <v/>
      </c>
      <c r="M235">
        <f>IF($F235=1,FIND(MID($B235,7,1),"0123456789")-1,"")</f>
        <v/>
      </c>
      <c r="N235">
        <f>IF($F235=1,FIND(MID($B235,8,1),"0123456789")-1,"")</f>
        <v/>
      </c>
      <c r="O235">
        <f>IF($F235=1,FIND(MID($B235,9,1),"0123456789")-1,"")</f>
        <v/>
      </c>
      <c r="P235">
        <f>IF($F235=1,FIND(MID($B235,10,1),"0123456789")-1,"")</f>
        <v/>
      </c>
      <c r="Q235">
        <f>IF($F235=1,SUMPRODUCT($G235:$P235,{1,2,4,8,16,32,64,128,256,512}),"")</f>
        <v/>
      </c>
      <c r="R235">
        <f>IF($F235=1,MOD(MOD($Q235,11),10),"")</f>
        <v/>
      </c>
    </row>
    <row r="236">
      <c r="A236" s="6" t="n"/>
      <c r="B236" s="7">
        <f>IF($A236="","",UPPER(SUBSTITUTE(SUBSTITUTE(SUBSTITUTE(SUBSTITUTE(SUBSTITUTE(SUBSTITUTE($A236," ",""),"-",""),".",""),"/",""),"i","I"),"ı","?")))</f>
        <v/>
      </c>
      <c r="C236" s="8">
        <f>IF($F236=1,$R236,"")</f>
        <v/>
      </c>
      <c r="D236" s="7">
        <f>IF($A236="","",IF($F236=0,"Biçim hatalı",IF(FIND(MID($B236,11,1),"0123456789")-1=$R236,"Geçerli","Kontrol hanesi hatalı (doğrusu: "&amp;$R236&amp;")")))</f>
        <v/>
      </c>
      <c r="F236">
        <f>IF($A236="","",IF(AND(LEN($B236)=11,SUMPRODUCT(--ISNUMBER(FIND(MID($B236,{1,2,3},1),"ABCDEFGHIJKLMNOPQRSTUVWXYZ")))=3,ISNUMBER(FIND(MID($B236,4,1),"UJZ")),SUMPRODUCT(--ISNUMBER(FIND(MID($B236,{5,6,7,8,9,10,11},1),"0123456789")))=7),1,0))</f>
        <v/>
      </c>
      <c r="G236">
        <f>IF($F236=1,INDEX({10,12,13,14,15,16,17,18,19,20,21,23,24,25,26,27,28,29,30,31,32,34,35,36,37,38},1,FIND(MID($B236,1,1),"ABCDEFGHIJKLMNOPQRSTUVWXYZ")),"")</f>
        <v/>
      </c>
      <c r="H236">
        <f>IF($F236=1,INDEX({10,12,13,14,15,16,17,18,19,20,21,23,24,25,26,27,28,29,30,31,32,34,35,36,37,38},1,FIND(MID($B236,2,1),"ABCDEFGHIJKLMNOPQRSTUVWXYZ")),"")</f>
        <v/>
      </c>
      <c r="I236">
        <f>IF($F236=1,INDEX({10,12,13,14,15,16,17,18,19,20,21,23,24,25,26,27,28,29,30,31,32,34,35,36,37,38},1,FIND(MID($B236,3,1),"ABCDEFGHIJKLMNOPQRSTUVWXYZ")),"")</f>
        <v/>
      </c>
      <c r="J236">
        <f>IF($F236=1,INDEX({10,12,13,14,15,16,17,18,19,20,21,23,24,25,26,27,28,29,30,31,32,34,35,36,37,38},1,FIND(MID($B236,4,1),"ABCDEFGHIJKLMNOPQRSTUVWXYZ")),"")</f>
        <v/>
      </c>
      <c r="K236">
        <f>IF($F236=1,FIND(MID($B236,5,1),"0123456789")-1,"")</f>
        <v/>
      </c>
      <c r="L236">
        <f>IF($F236=1,FIND(MID($B236,6,1),"0123456789")-1,"")</f>
        <v/>
      </c>
      <c r="M236">
        <f>IF($F236=1,FIND(MID($B236,7,1),"0123456789")-1,"")</f>
        <v/>
      </c>
      <c r="N236">
        <f>IF($F236=1,FIND(MID($B236,8,1),"0123456789")-1,"")</f>
        <v/>
      </c>
      <c r="O236">
        <f>IF($F236=1,FIND(MID($B236,9,1),"0123456789")-1,"")</f>
        <v/>
      </c>
      <c r="P236">
        <f>IF($F236=1,FIND(MID($B236,10,1),"0123456789")-1,"")</f>
        <v/>
      </c>
      <c r="Q236">
        <f>IF($F236=1,SUMPRODUCT($G236:$P236,{1,2,4,8,16,32,64,128,256,512}),"")</f>
        <v/>
      </c>
      <c r="R236">
        <f>IF($F236=1,MOD(MOD($Q236,11),10),"")</f>
        <v/>
      </c>
    </row>
    <row r="237">
      <c r="A237" s="6" t="n"/>
      <c r="B237" s="7">
        <f>IF($A237="","",UPPER(SUBSTITUTE(SUBSTITUTE(SUBSTITUTE(SUBSTITUTE(SUBSTITUTE(SUBSTITUTE($A237," ",""),"-",""),".",""),"/",""),"i","I"),"ı","?")))</f>
        <v/>
      </c>
      <c r="C237" s="8">
        <f>IF($F237=1,$R237,"")</f>
        <v/>
      </c>
      <c r="D237" s="7">
        <f>IF($A237="","",IF($F237=0,"Biçim hatalı",IF(FIND(MID($B237,11,1),"0123456789")-1=$R237,"Geçerli","Kontrol hanesi hatalı (doğrusu: "&amp;$R237&amp;")")))</f>
        <v/>
      </c>
      <c r="F237">
        <f>IF($A237="","",IF(AND(LEN($B237)=11,SUMPRODUCT(--ISNUMBER(FIND(MID($B237,{1,2,3},1),"ABCDEFGHIJKLMNOPQRSTUVWXYZ")))=3,ISNUMBER(FIND(MID($B237,4,1),"UJZ")),SUMPRODUCT(--ISNUMBER(FIND(MID($B237,{5,6,7,8,9,10,11},1),"0123456789")))=7),1,0))</f>
        <v/>
      </c>
      <c r="G237">
        <f>IF($F237=1,INDEX({10,12,13,14,15,16,17,18,19,20,21,23,24,25,26,27,28,29,30,31,32,34,35,36,37,38},1,FIND(MID($B237,1,1),"ABCDEFGHIJKLMNOPQRSTUVWXYZ")),"")</f>
        <v/>
      </c>
      <c r="H237">
        <f>IF($F237=1,INDEX({10,12,13,14,15,16,17,18,19,20,21,23,24,25,26,27,28,29,30,31,32,34,35,36,37,38},1,FIND(MID($B237,2,1),"ABCDEFGHIJKLMNOPQRSTUVWXYZ")),"")</f>
        <v/>
      </c>
      <c r="I237">
        <f>IF($F237=1,INDEX({10,12,13,14,15,16,17,18,19,20,21,23,24,25,26,27,28,29,30,31,32,34,35,36,37,38},1,FIND(MID($B237,3,1),"ABCDEFGHIJKLMNOPQRSTUVWXYZ")),"")</f>
        <v/>
      </c>
      <c r="J237">
        <f>IF($F237=1,INDEX({10,12,13,14,15,16,17,18,19,20,21,23,24,25,26,27,28,29,30,31,32,34,35,36,37,38},1,FIND(MID($B237,4,1),"ABCDEFGHIJKLMNOPQRSTUVWXYZ")),"")</f>
        <v/>
      </c>
      <c r="K237">
        <f>IF($F237=1,FIND(MID($B237,5,1),"0123456789")-1,"")</f>
        <v/>
      </c>
      <c r="L237">
        <f>IF($F237=1,FIND(MID($B237,6,1),"0123456789")-1,"")</f>
        <v/>
      </c>
      <c r="M237">
        <f>IF($F237=1,FIND(MID($B237,7,1),"0123456789")-1,"")</f>
        <v/>
      </c>
      <c r="N237">
        <f>IF($F237=1,FIND(MID($B237,8,1),"0123456789")-1,"")</f>
        <v/>
      </c>
      <c r="O237">
        <f>IF($F237=1,FIND(MID($B237,9,1),"0123456789")-1,"")</f>
        <v/>
      </c>
      <c r="P237">
        <f>IF($F237=1,FIND(MID($B237,10,1),"0123456789")-1,"")</f>
        <v/>
      </c>
      <c r="Q237">
        <f>IF($F237=1,SUMPRODUCT($G237:$P237,{1,2,4,8,16,32,64,128,256,512}),"")</f>
        <v/>
      </c>
      <c r="R237">
        <f>IF($F237=1,MOD(MOD($Q237,11),10),"")</f>
        <v/>
      </c>
    </row>
    <row r="238">
      <c r="A238" s="6" t="n"/>
      <c r="B238" s="7">
        <f>IF($A238="","",UPPER(SUBSTITUTE(SUBSTITUTE(SUBSTITUTE(SUBSTITUTE(SUBSTITUTE(SUBSTITUTE($A238," ",""),"-",""),".",""),"/",""),"i","I"),"ı","?")))</f>
        <v/>
      </c>
      <c r="C238" s="8">
        <f>IF($F238=1,$R238,"")</f>
        <v/>
      </c>
      <c r="D238" s="7">
        <f>IF($A238="","",IF($F238=0,"Biçim hatalı",IF(FIND(MID($B238,11,1),"0123456789")-1=$R238,"Geçerli","Kontrol hanesi hatalı (doğrusu: "&amp;$R238&amp;")")))</f>
        <v/>
      </c>
      <c r="F238">
        <f>IF($A238="","",IF(AND(LEN($B238)=11,SUMPRODUCT(--ISNUMBER(FIND(MID($B238,{1,2,3},1),"ABCDEFGHIJKLMNOPQRSTUVWXYZ")))=3,ISNUMBER(FIND(MID($B238,4,1),"UJZ")),SUMPRODUCT(--ISNUMBER(FIND(MID($B238,{5,6,7,8,9,10,11},1),"0123456789")))=7),1,0))</f>
        <v/>
      </c>
      <c r="G238">
        <f>IF($F238=1,INDEX({10,12,13,14,15,16,17,18,19,20,21,23,24,25,26,27,28,29,30,31,32,34,35,36,37,38},1,FIND(MID($B238,1,1),"ABCDEFGHIJKLMNOPQRSTUVWXYZ")),"")</f>
        <v/>
      </c>
      <c r="H238">
        <f>IF($F238=1,INDEX({10,12,13,14,15,16,17,18,19,20,21,23,24,25,26,27,28,29,30,31,32,34,35,36,37,38},1,FIND(MID($B238,2,1),"ABCDEFGHIJKLMNOPQRSTUVWXYZ")),"")</f>
        <v/>
      </c>
      <c r="I238">
        <f>IF($F238=1,INDEX({10,12,13,14,15,16,17,18,19,20,21,23,24,25,26,27,28,29,30,31,32,34,35,36,37,38},1,FIND(MID($B238,3,1),"ABCDEFGHIJKLMNOPQRSTUVWXYZ")),"")</f>
        <v/>
      </c>
      <c r="J238">
        <f>IF($F238=1,INDEX({10,12,13,14,15,16,17,18,19,20,21,23,24,25,26,27,28,29,30,31,32,34,35,36,37,38},1,FIND(MID($B238,4,1),"ABCDEFGHIJKLMNOPQRSTUVWXYZ")),"")</f>
        <v/>
      </c>
      <c r="K238">
        <f>IF($F238=1,FIND(MID($B238,5,1),"0123456789")-1,"")</f>
        <v/>
      </c>
      <c r="L238">
        <f>IF($F238=1,FIND(MID($B238,6,1),"0123456789")-1,"")</f>
        <v/>
      </c>
      <c r="M238">
        <f>IF($F238=1,FIND(MID($B238,7,1),"0123456789")-1,"")</f>
        <v/>
      </c>
      <c r="N238">
        <f>IF($F238=1,FIND(MID($B238,8,1),"0123456789")-1,"")</f>
        <v/>
      </c>
      <c r="O238">
        <f>IF($F238=1,FIND(MID($B238,9,1),"0123456789")-1,"")</f>
        <v/>
      </c>
      <c r="P238">
        <f>IF($F238=1,FIND(MID($B238,10,1),"0123456789")-1,"")</f>
        <v/>
      </c>
      <c r="Q238">
        <f>IF($F238=1,SUMPRODUCT($G238:$P238,{1,2,4,8,16,32,64,128,256,512}),"")</f>
        <v/>
      </c>
      <c r="R238">
        <f>IF($F238=1,MOD(MOD($Q238,11),10),"")</f>
        <v/>
      </c>
    </row>
    <row r="239">
      <c r="A239" s="6" t="n"/>
      <c r="B239" s="7">
        <f>IF($A239="","",UPPER(SUBSTITUTE(SUBSTITUTE(SUBSTITUTE(SUBSTITUTE(SUBSTITUTE(SUBSTITUTE($A239," ",""),"-",""),".",""),"/",""),"i","I"),"ı","?")))</f>
        <v/>
      </c>
      <c r="C239" s="8">
        <f>IF($F239=1,$R239,"")</f>
        <v/>
      </c>
      <c r="D239" s="7">
        <f>IF($A239="","",IF($F239=0,"Biçim hatalı",IF(FIND(MID($B239,11,1),"0123456789")-1=$R239,"Geçerli","Kontrol hanesi hatalı (doğrusu: "&amp;$R239&amp;")")))</f>
        <v/>
      </c>
      <c r="F239">
        <f>IF($A239="","",IF(AND(LEN($B239)=11,SUMPRODUCT(--ISNUMBER(FIND(MID($B239,{1,2,3},1),"ABCDEFGHIJKLMNOPQRSTUVWXYZ")))=3,ISNUMBER(FIND(MID($B239,4,1),"UJZ")),SUMPRODUCT(--ISNUMBER(FIND(MID($B239,{5,6,7,8,9,10,11},1),"0123456789")))=7),1,0))</f>
        <v/>
      </c>
      <c r="G239">
        <f>IF($F239=1,INDEX({10,12,13,14,15,16,17,18,19,20,21,23,24,25,26,27,28,29,30,31,32,34,35,36,37,38},1,FIND(MID($B239,1,1),"ABCDEFGHIJKLMNOPQRSTUVWXYZ")),"")</f>
        <v/>
      </c>
      <c r="H239">
        <f>IF($F239=1,INDEX({10,12,13,14,15,16,17,18,19,20,21,23,24,25,26,27,28,29,30,31,32,34,35,36,37,38},1,FIND(MID($B239,2,1),"ABCDEFGHIJKLMNOPQRSTUVWXYZ")),"")</f>
        <v/>
      </c>
      <c r="I239">
        <f>IF($F239=1,INDEX({10,12,13,14,15,16,17,18,19,20,21,23,24,25,26,27,28,29,30,31,32,34,35,36,37,38},1,FIND(MID($B239,3,1),"ABCDEFGHIJKLMNOPQRSTUVWXYZ")),"")</f>
        <v/>
      </c>
      <c r="J239">
        <f>IF($F239=1,INDEX({10,12,13,14,15,16,17,18,19,20,21,23,24,25,26,27,28,29,30,31,32,34,35,36,37,38},1,FIND(MID($B239,4,1),"ABCDEFGHIJKLMNOPQRSTUVWXYZ")),"")</f>
        <v/>
      </c>
      <c r="K239">
        <f>IF($F239=1,FIND(MID($B239,5,1),"0123456789")-1,"")</f>
        <v/>
      </c>
      <c r="L239">
        <f>IF($F239=1,FIND(MID($B239,6,1),"0123456789")-1,"")</f>
        <v/>
      </c>
      <c r="M239">
        <f>IF($F239=1,FIND(MID($B239,7,1),"0123456789")-1,"")</f>
        <v/>
      </c>
      <c r="N239">
        <f>IF($F239=1,FIND(MID($B239,8,1),"0123456789")-1,"")</f>
        <v/>
      </c>
      <c r="O239">
        <f>IF($F239=1,FIND(MID($B239,9,1),"0123456789")-1,"")</f>
        <v/>
      </c>
      <c r="P239">
        <f>IF($F239=1,FIND(MID($B239,10,1),"0123456789")-1,"")</f>
        <v/>
      </c>
      <c r="Q239">
        <f>IF($F239=1,SUMPRODUCT($G239:$P239,{1,2,4,8,16,32,64,128,256,512}),"")</f>
        <v/>
      </c>
      <c r="R239">
        <f>IF($F239=1,MOD(MOD($Q239,11),10),"")</f>
        <v/>
      </c>
    </row>
    <row r="240">
      <c r="A240" s="6" t="n"/>
      <c r="B240" s="7">
        <f>IF($A240="","",UPPER(SUBSTITUTE(SUBSTITUTE(SUBSTITUTE(SUBSTITUTE(SUBSTITUTE(SUBSTITUTE($A240," ",""),"-",""),".",""),"/",""),"i","I"),"ı","?")))</f>
        <v/>
      </c>
      <c r="C240" s="8">
        <f>IF($F240=1,$R240,"")</f>
        <v/>
      </c>
      <c r="D240" s="7">
        <f>IF($A240="","",IF($F240=0,"Biçim hatalı",IF(FIND(MID($B240,11,1),"0123456789")-1=$R240,"Geçerli","Kontrol hanesi hatalı (doğrusu: "&amp;$R240&amp;")")))</f>
        <v/>
      </c>
      <c r="F240">
        <f>IF($A240="","",IF(AND(LEN($B240)=11,SUMPRODUCT(--ISNUMBER(FIND(MID($B240,{1,2,3},1),"ABCDEFGHIJKLMNOPQRSTUVWXYZ")))=3,ISNUMBER(FIND(MID($B240,4,1),"UJZ")),SUMPRODUCT(--ISNUMBER(FIND(MID($B240,{5,6,7,8,9,10,11},1),"0123456789")))=7),1,0))</f>
        <v/>
      </c>
      <c r="G240">
        <f>IF($F240=1,INDEX({10,12,13,14,15,16,17,18,19,20,21,23,24,25,26,27,28,29,30,31,32,34,35,36,37,38},1,FIND(MID($B240,1,1),"ABCDEFGHIJKLMNOPQRSTUVWXYZ")),"")</f>
        <v/>
      </c>
      <c r="H240">
        <f>IF($F240=1,INDEX({10,12,13,14,15,16,17,18,19,20,21,23,24,25,26,27,28,29,30,31,32,34,35,36,37,38},1,FIND(MID($B240,2,1),"ABCDEFGHIJKLMNOPQRSTUVWXYZ")),"")</f>
        <v/>
      </c>
      <c r="I240">
        <f>IF($F240=1,INDEX({10,12,13,14,15,16,17,18,19,20,21,23,24,25,26,27,28,29,30,31,32,34,35,36,37,38},1,FIND(MID($B240,3,1),"ABCDEFGHIJKLMNOPQRSTUVWXYZ")),"")</f>
        <v/>
      </c>
      <c r="J240">
        <f>IF($F240=1,INDEX({10,12,13,14,15,16,17,18,19,20,21,23,24,25,26,27,28,29,30,31,32,34,35,36,37,38},1,FIND(MID($B240,4,1),"ABCDEFGHIJKLMNOPQRSTUVWXYZ")),"")</f>
        <v/>
      </c>
      <c r="K240">
        <f>IF($F240=1,FIND(MID($B240,5,1),"0123456789")-1,"")</f>
        <v/>
      </c>
      <c r="L240">
        <f>IF($F240=1,FIND(MID($B240,6,1),"0123456789")-1,"")</f>
        <v/>
      </c>
      <c r="M240">
        <f>IF($F240=1,FIND(MID($B240,7,1),"0123456789")-1,"")</f>
        <v/>
      </c>
      <c r="N240">
        <f>IF($F240=1,FIND(MID($B240,8,1),"0123456789")-1,"")</f>
        <v/>
      </c>
      <c r="O240">
        <f>IF($F240=1,FIND(MID($B240,9,1),"0123456789")-1,"")</f>
        <v/>
      </c>
      <c r="P240">
        <f>IF($F240=1,FIND(MID($B240,10,1),"0123456789")-1,"")</f>
        <v/>
      </c>
      <c r="Q240">
        <f>IF($F240=1,SUMPRODUCT($G240:$P240,{1,2,4,8,16,32,64,128,256,512}),"")</f>
        <v/>
      </c>
      <c r="R240">
        <f>IF($F240=1,MOD(MOD($Q240,11),10),"")</f>
        <v/>
      </c>
    </row>
    <row r="241">
      <c r="A241" s="6" t="n"/>
      <c r="B241" s="7">
        <f>IF($A241="","",UPPER(SUBSTITUTE(SUBSTITUTE(SUBSTITUTE(SUBSTITUTE(SUBSTITUTE(SUBSTITUTE($A241," ",""),"-",""),".",""),"/",""),"i","I"),"ı","?")))</f>
        <v/>
      </c>
      <c r="C241" s="8">
        <f>IF($F241=1,$R241,"")</f>
        <v/>
      </c>
      <c r="D241" s="7">
        <f>IF($A241="","",IF($F241=0,"Biçim hatalı",IF(FIND(MID($B241,11,1),"0123456789")-1=$R241,"Geçerli","Kontrol hanesi hatalı (doğrusu: "&amp;$R241&amp;")")))</f>
        <v/>
      </c>
      <c r="F241">
        <f>IF($A241="","",IF(AND(LEN($B241)=11,SUMPRODUCT(--ISNUMBER(FIND(MID($B241,{1,2,3},1),"ABCDEFGHIJKLMNOPQRSTUVWXYZ")))=3,ISNUMBER(FIND(MID($B241,4,1),"UJZ")),SUMPRODUCT(--ISNUMBER(FIND(MID($B241,{5,6,7,8,9,10,11},1),"0123456789")))=7),1,0))</f>
        <v/>
      </c>
      <c r="G241">
        <f>IF($F241=1,INDEX({10,12,13,14,15,16,17,18,19,20,21,23,24,25,26,27,28,29,30,31,32,34,35,36,37,38},1,FIND(MID($B241,1,1),"ABCDEFGHIJKLMNOPQRSTUVWXYZ")),"")</f>
        <v/>
      </c>
      <c r="H241">
        <f>IF($F241=1,INDEX({10,12,13,14,15,16,17,18,19,20,21,23,24,25,26,27,28,29,30,31,32,34,35,36,37,38},1,FIND(MID($B241,2,1),"ABCDEFGHIJKLMNOPQRSTUVWXYZ")),"")</f>
        <v/>
      </c>
      <c r="I241">
        <f>IF($F241=1,INDEX({10,12,13,14,15,16,17,18,19,20,21,23,24,25,26,27,28,29,30,31,32,34,35,36,37,38},1,FIND(MID($B241,3,1),"ABCDEFGHIJKLMNOPQRSTUVWXYZ")),"")</f>
        <v/>
      </c>
      <c r="J241">
        <f>IF($F241=1,INDEX({10,12,13,14,15,16,17,18,19,20,21,23,24,25,26,27,28,29,30,31,32,34,35,36,37,38},1,FIND(MID($B241,4,1),"ABCDEFGHIJKLMNOPQRSTUVWXYZ")),"")</f>
        <v/>
      </c>
      <c r="K241">
        <f>IF($F241=1,FIND(MID($B241,5,1),"0123456789")-1,"")</f>
        <v/>
      </c>
      <c r="L241">
        <f>IF($F241=1,FIND(MID($B241,6,1),"0123456789")-1,"")</f>
        <v/>
      </c>
      <c r="M241">
        <f>IF($F241=1,FIND(MID($B241,7,1),"0123456789")-1,"")</f>
        <v/>
      </c>
      <c r="N241">
        <f>IF($F241=1,FIND(MID($B241,8,1),"0123456789")-1,"")</f>
        <v/>
      </c>
      <c r="O241">
        <f>IF($F241=1,FIND(MID($B241,9,1),"0123456789")-1,"")</f>
        <v/>
      </c>
      <c r="P241">
        <f>IF($F241=1,FIND(MID($B241,10,1),"0123456789")-1,"")</f>
        <v/>
      </c>
      <c r="Q241">
        <f>IF($F241=1,SUMPRODUCT($G241:$P241,{1,2,4,8,16,32,64,128,256,512}),"")</f>
        <v/>
      </c>
      <c r="R241">
        <f>IF($F241=1,MOD(MOD($Q241,11),10),"")</f>
        <v/>
      </c>
    </row>
    <row r="242">
      <c r="A242" s="6" t="n"/>
      <c r="B242" s="7">
        <f>IF($A242="","",UPPER(SUBSTITUTE(SUBSTITUTE(SUBSTITUTE(SUBSTITUTE(SUBSTITUTE(SUBSTITUTE($A242," ",""),"-",""),".",""),"/",""),"i","I"),"ı","?")))</f>
        <v/>
      </c>
      <c r="C242" s="8">
        <f>IF($F242=1,$R242,"")</f>
        <v/>
      </c>
      <c r="D242" s="7">
        <f>IF($A242="","",IF($F242=0,"Biçim hatalı",IF(FIND(MID($B242,11,1),"0123456789")-1=$R242,"Geçerli","Kontrol hanesi hatalı (doğrusu: "&amp;$R242&amp;")")))</f>
        <v/>
      </c>
      <c r="F242">
        <f>IF($A242="","",IF(AND(LEN($B242)=11,SUMPRODUCT(--ISNUMBER(FIND(MID($B242,{1,2,3},1),"ABCDEFGHIJKLMNOPQRSTUVWXYZ")))=3,ISNUMBER(FIND(MID($B242,4,1),"UJZ")),SUMPRODUCT(--ISNUMBER(FIND(MID($B242,{5,6,7,8,9,10,11},1),"0123456789")))=7),1,0))</f>
        <v/>
      </c>
      <c r="G242">
        <f>IF($F242=1,INDEX({10,12,13,14,15,16,17,18,19,20,21,23,24,25,26,27,28,29,30,31,32,34,35,36,37,38},1,FIND(MID($B242,1,1),"ABCDEFGHIJKLMNOPQRSTUVWXYZ")),"")</f>
        <v/>
      </c>
      <c r="H242">
        <f>IF($F242=1,INDEX({10,12,13,14,15,16,17,18,19,20,21,23,24,25,26,27,28,29,30,31,32,34,35,36,37,38},1,FIND(MID($B242,2,1),"ABCDEFGHIJKLMNOPQRSTUVWXYZ")),"")</f>
        <v/>
      </c>
      <c r="I242">
        <f>IF($F242=1,INDEX({10,12,13,14,15,16,17,18,19,20,21,23,24,25,26,27,28,29,30,31,32,34,35,36,37,38},1,FIND(MID($B242,3,1),"ABCDEFGHIJKLMNOPQRSTUVWXYZ")),"")</f>
        <v/>
      </c>
      <c r="J242">
        <f>IF($F242=1,INDEX({10,12,13,14,15,16,17,18,19,20,21,23,24,25,26,27,28,29,30,31,32,34,35,36,37,38},1,FIND(MID($B242,4,1),"ABCDEFGHIJKLMNOPQRSTUVWXYZ")),"")</f>
        <v/>
      </c>
      <c r="K242">
        <f>IF($F242=1,FIND(MID($B242,5,1),"0123456789")-1,"")</f>
        <v/>
      </c>
      <c r="L242">
        <f>IF($F242=1,FIND(MID($B242,6,1),"0123456789")-1,"")</f>
        <v/>
      </c>
      <c r="M242">
        <f>IF($F242=1,FIND(MID($B242,7,1),"0123456789")-1,"")</f>
        <v/>
      </c>
      <c r="N242">
        <f>IF($F242=1,FIND(MID($B242,8,1),"0123456789")-1,"")</f>
        <v/>
      </c>
      <c r="O242">
        <f>IF($F242=1,FIND(MID($B242,9,1),"0123456789")-1,"")</f>
        <v/>
      </c>
      <c r="P242">
        <f>IF($F242=1,FIND(MID($B242,10,1),"0123456789")-1,"")</f>
        <v/>
      </c>
      <c r="Q242">
        <f>IF($F242=1,SUMPRODUCT($G242:$P242,{1,2,4,8,16,32,64,128,256,512}),"")</f>
        <v/>
      </c>
      <c r="R242">
        <f>IF($F242=1,MOD(MOD($Q242,11),10),"")</f>
        <v/>
      </c>
    </row>
    <row r="243">
      <c r="A243" s="6" t="n"/>
      <c r="B243" s="7">
        <f>IF($A243="","",UPPER(SUBSTITUTE(SUBSTITUTE(SUBSTITUTE(SUBSTITUTE(SUBSTITUTE(SUBSTITUTE($A243," ",""),"-",""),".",""),"/",""),"i","I"),"ı","?")))</f>
        <v/>
      </c>
      <c r="C243" s="8">
        <f>IF($F243=1,$R243,"")</f>
        <v/>
      </c>
      <c r="D243" s="7">
        <f>IF($A243="","",IF($F243=0,"Biçim hatalı",IF(FIND(MID($B243,11,1),"0123456789")-1=$R243,"Geçerli","Kontrol hanesi hatalı (doğrusu: "&amp;$R243&amp;")")))</f>
        <v/>
      </c>
      <c r="F243">
        <f>IF($A243="","",IF(AND(LEN($B243)=11,SUMPRODUCT(--ISNUMBER(FIND(MID($B243,{1,2,3},1),"ABCDEFGHIJKLMNOPQRSTUVWXYZ")))=3,ISNUMBER(FIND(MID($B243,4,1),"UJZ")),SUMPRODUCT(--ISNUMBER(FIND(MID($B243,{5,6,7,8,9,10,11},1),"0123456789")))=7),1,0))</f>
        <v/>
      </c>
      <c r="G243">
        <f>IF($F243=1,INDEX({10,12,13,14,15,16,17,18,19,20,21,23,24,25,26,27,28,29,30,31,32,34,35,36,37,38},1,FIND(MID($B243,1,1),"ABCDEFGHIJKLMNOPQRSTUVWXYZ")),"")</f>
        <v/>
      </c>
      <c r="H243">
        <f>IF($F243=1,INDEX({10,12,13,14,15,16,17,18,19,20,21,23,24,25,26,27,28,29,30,31,32,34,35,36,37,38},1,FIND(MID($B243,2,1),"ABCDEFGHIJKLMNOPQRSTUVWXYZ")),"")</f>
        <v/>
      </c>
      <c r="I243">
        <f>IF($F243=1,INDEX({10,12,13,14,15,16,17,18,19,20,21,23,24,25,26,27,28,29,30,31,32,34,35,36,37,38},1,FIND(MID($B243,3,1),"ABCDEFGHIJKLMNOPQRSTUVWXYZ")),"")</f>
        <v/>
      </c>
      <c r="J243">
        <f>IF($F243=1,INDEX({10,12,13,14,15,16,17,18,19,20,21,23,24,25,26,27,28,29,30,31,32,34,35,36,37,38},1,FIND(MID($B243,4,1),"ABCDEFGHIJKLMNOPQRSTUVWXYZ")),"")</f>
        <v/>
      </c>
      <c r="K243">
        <f>IF($F243=1,FIND(MID($B243,5,1),"0123456789")-1,"")</f>
        <v/>
      </c>
      <c r="L243">
        <f>IF($F243=1,FIND(MID($B243,6,1),"0123456789")-1,"")</f>
        <v/>
      </c>
      <c r="M243">
        <f>IF($F243=1,FIND(MID($B243,7,1),"0123456789")-1,"")</f>
        <v/>
      </c>
      <c r="N243">
        <f>IF($F243=1,FIND(MID($B243,8,1),"0123456789")-1,"")</f>
        <v/>
      </c>
      <c r="O243">
        <f>IF($F243=1,FIND(MID($B243,9,1),"0123456789")-1,"")</f>
        <v/>
      </c>
      <c r="P243">
        <f>IF($F243=1,FIND(MID($B243,10,1),"0123456789")-1,"")</f>
        <v/>
      </c>
      <c r="Q243">
        <f>IF($F243=1,SUMPRODUCT($G243:$P243,{1,2,4,8,16,32,64,128,256,512}),"")</f>
        <v/>
      </c>
      <c r="R243">
        <f>IF($F243=1,MOD(MOD($Q243,11),10),"")</f>
        <v/>
      </c>
    </row>
    <row r="244">
      <c r="A244" s="6" t="n"/>
      <c r="B244" s="7">
        <f>IF($A244="","",UPPER(SUBSTITUTE(SUBSTITUTE(SUBSTITUTE(SUBSTITUTE(SUBSTITUTE(SUBSTITUTE($A244," ",""),"-",""),".",""),"/",""),"i","I"),"ı","?")))</f>
        <v/>
      </c>
      <c r="C244" s="8">
        <f>IF($F244=1,$R244,"")</f>
        <v/>
      </c>
      <c r="D244" s="7">
        <f>IF($A244="","",IF($F244=0,"Biçim hatalı",IF(FIND(MID($B244,11,1),"0123456789")-1=$R244,"Geçerli","Kontrol hanesi hatalı (doğrusu: "&amp;$R244&amp;")")))</f>
        <v/>
      </c>
      <c r="F244">
        <f>IF($A244="","",IF(AND(LEN($B244)=11,SUMPRODUCT(--ISNUMBER(FIND(MID($B244,{1,2,3},1),"ABCDEFGHIJKLMNOPQRSTUVWXYZ")))=3,ISNUMBER(FIND(MID($B244,4,1),"UJZ")),SUMPRODUCT(--ISNUMBER(FIND(MID($B244,{5,6,7,8,9,10,11},1),"0123456789")))=7),1,0))</f>
        <v/>
      </c>
      <c r="G244">
        <f>IF($F244=1,INDEX({10,12,13,14,15,16,17,18,19,20,21,23,24,25,26,27,28,29,30,31,32,34,35,36,37,38},1,FIND(MID($B244,1,1),"ABCDEFGHIJKLMNOPQRSTUVWXYZ")),"")</f>
        <v/>
      </c>
      <c r="H244">
        <f>IF($F244=1,INDEX({10,12,13,14,15,16,17,18,19,20,21,23,24,25,26,27,28,29,30,31,32,34,35,36,37,38},1,FIND(MID($B244,2,1),"ABCDEFGHIJKLMNOPQRSTUVWXYZ")),"")</f>
        <v/>
      </c>
      <c r="I244">
        <f>IF($F244=1,INDEX({10,12,13,14,15,16,17,18,19,20,21,23,24,25,26,27,28,29,30,31,32,34,35,36,37,38},1,FIND(MID($B244,3,1),"ABCDEFGHIJKLMNOPQRSTUVWXYZ")),"")</f>
        <v/>
      </c>
      <c r="J244">
        <f>IF($F244=1,INDEX({10,12,13,14,15,16,17,18,19,20,21,23,24,25,26,27,28,29,30,31,32,34,35,36,37,38},1,FIND(MID($B244,4,1),"ABCDEFGHIJKLMNOPQRSTUVWXYZ")),"")</f>
        <v/>
      </c>
      <c r="K244">
        <f>IF($F244=1,FIND(MID($B244,5,1),"0123456789")-1,"")</f>
        <v/>
      </c>
      <c r="L244">
        <f>IF($F244=1,FIND(MID($B244,6,1),"0123456789")-1,"")</f>
        <v/>
      </c>
      <c r="M244">
        <f>IF($F244=1,FIND(MID($B244,7,1),"0123456789")-1,"")</f>
        <v/>
      </c>
      <c r="N244">
        <f>IF($F244=1,FIND(MID($B244,8,1),"0123456789")-1,"")</f>
        <v/>
      </c>
      <c r="O244">
        <f>IF($F244=1,FIND(MID($B244,9,1),"0123456789")-1,"")</f>
        <v/>
      </c>
      <c r="P244">
        <f>IF($F244=1,FIND(MID($B244,10,1),"0123456789")-1,"")</f>
        <v/>
      </c>
      <c r="Q244">
        <f>IF($F244=1,SUMPRODUCT($G244:$P244,{1,2,4,8,16,32,64,128,256,512}),"")</f>
        <v/>
      </c>
      <c r="R244">
        <f>IF($F244=1,MOD(MOD($Q244,11),10),"")</f>
        <v/>
      </c>
    </row>
    <row r="245">
      <c r="A245" s="6" t="n"/>
      <c r="B245" s="7">
        <f>IF($A245="","",UPPER(SUBSTITUTE(SUBSTITUTE(SUBSTITUTE(SUBSTITUTE(SUBSTITUTE(SUBSTITUTE($A245," ",""),"-",""),".",""),"/",""),"i","I"),"ı","?")))</f>
        <v/>
      </c>
      <c r="C245" s="8">
        <f>IF($F245=1,$R245,"")</f>
        <v/>
      </c>
      <c r="D245" s="7">
        <f>IF($A245="","",IF($F245=0,"Biçim hatalı",IF(FIND(MID($B245,11,1),"0123456789")-1=$R245,"Geçerli","Kontrol hanesi hatalı (doğrusu: "&amp;$R245&amp;")")))</f>
        <v/>
      </c>
      <c r="F245">
        <f>IF($A245="","",IF(AND(LEN($B245)=11,SUMPRODUCT(--ISNUMBER(FIND(MID($B245,{1,2,3},1),"ABCDEFGHIJKLMNOPQRSTUVWXYZ")))=3,ISNUMBER(FIND(MID($B245,4,1),"UJZ")),SUMPRODUCT(--ISNUMBER(FIND(MID($B245,{5,6,7,8,9,10,11},1),"0123456789")))=7),1,0))</f>
        <v/>
      </c>
      <c r="G245">
        <f>IF($F245=1,INDEX({10,12,13,14,15,16,17,18,19,20,21,23,24,25,26,27,28,29,30,31,32,34,35,36,37,38},1,FIND(MID($B245,1,1),"ABCDEFGHIJKLMNOPQRSTUVWXYZ")),"")</f>
        <v/>
      </c>
      <c r="H245">
        <f>IF($F245=1,INDEX({10,12,13,14,15,16,17,18,19,20,21,23,24,25,26,27,28,29,30,31,32,34,35,36,37,38},1,FIND(MID($B245,2,1),"ABCDEFGHIJKLMNOPQRSTUVWXYZ")),"")</f>
        <v/>
      </c>
      <c r="I245">
        <f>IF($F245=1,INDEX({10,12,13,14,15,16,17,18,19,20,21,23,24,25,26,27,28,29,30,31,32,34,35,36,37,38},1,FIND(MID($B245,3,1),"ABCDEFGHIJKLMNOPQRSTUVWXYZ")),"")</f>
        <v/>
      </c>
      <c r="J245">
        <f>IF($F245=1,INDEX({10,12,13,14,15,16,17,18,19,20,21,23,24,25,26,27,28,29,30,31,32,34,35,36,37,38},1,FIND(MID($B245,4,1),"ABCDEFGHIJKLMNOPQRSTUVWXYZ")),"")</f>
        <v/>
      </c>
      <c r="K245">
        <f>IF($F245=1,FIND(MID($B245,5,1),"0123456789")-1,"")</f>
        <v/>
      </c>
      <c r="L245">
        <f>IF($F245=1,FIND(MID($B245,6,1),"0123456789")-1,"")</f>
        <v/>
      </c>
      <c r="M245">
        <f>IF($F245=1,FIND(MID($B245,7,1),"0123456789")-1,"")</f>
        <v/>
      </c>
      <c r="N245">
        <f>IF($F245=1,FIND(MID($B245,8,1),"0123456789")-1,"")</f>
        <v/>
      </c>
      <c r="O245">
        <f>IF($F245=1,FIND(MID($B245,9,1),"0123456789")-1,"")</f>
        <v/>
      </c>
      <c r="P245">
        <f>IF($F245=1,FIND(MID($B245,10,1),"0123456789")-1,"")</f>
        <v/>
      </c>
      <c r="Q245">
        <f>IF($F245=1,SUMPRODUCT($G245:$P245,{1,2,4,8,16,32,64,128,256,512}),"")</f>
        <v/>
      </c>
      <c r="R245">
        <f>IF($F245=1,MOD(MOD($Q245,11),10),"")</f>
        <v/>
      </c>
    </row>
    <row r="246">
      <c r="A246" s="6" t="n"/>
      <c r="B246" s="7">
        <f>IF($A246="","",UPPER(SUBSTITUTE(SUBSTITUTE(SUBSTITUTE(SUBSTITUTE(SUBSTITUTE(SUBSTITUTE($A246," ",""),"-",""),".",""),"/",""),"i","I"),"ı","?")))</f>
        <v/>
      </c>
      <c r="C246" s="8">
        <f>IF($F246=1,$R246,"")</f>
        <v/>
      </c>
      <c r="D246" s="7">
        <f>IF($A246="","",IF($F246=0,"Biçim hatalı",IF(FIND(MID($B246,11,1),"0123456789")-1=$R246,"Geçerli","Kontrol hanesi hatalı (doğrusu: "&amp;$R246&amp;")")))</f>
        <v/>
      </c>
      <c r="F246">
        <f>IF($A246="","",IF(AND(LEN($B246)=11,SUMPRODUCT(--ISNUMBER(FIND(MID($B246,{1,2,3},1),"ABCDEFGHIJKLMNOPQRSTUVWXYZ")))=3,ISNUMBER(FIND(MID($B246,4,1),"UJZ")),SUMPRODUCT(--ISNUMBER(FIND(MID($B246,{5,6,7,8,9,10,11},1),"0123456789")))=7),1,0))</f>
        <v/>
      </c>
      <c r="G246">
        <f>IF($F246=1,INDEX({10,12,13,14,15,16,17,18,19,20,21,23,24,25,26,27,28,29,30,31,32,34,35,36,37,38},1,FIND(MID($B246,1,1),"ABCDEFGHIJKLMNOPQRSTUVWXYZ")),"")</f>
        <v/>
      </c>
      <c r="H246">
        <f>IF($F246=1,INDEX({10,12,13,14,15,16,17,18,19,20,21,23,24,25,26,27,28,29,30,31,32,34,35,36,37,38},1,FIND(MID($B246,2,1),"ABCDEFGHIJKLMNOPQRSTUVWXYZ")),"")</f>
        <v/>
      </c>
      <c r="I246">
        <f>IF($F246=1,INDEX({10,12,13,14,15,16,17,18,19,20,21,23,24,25,26,27,28,29,30,31,32,34,35,36,37,38},1,FIND(MID($B246,3,1),"ABCDEFGHIJKLMNOPQRSTUVWXYZ")),"")</f>
        <v/>
      </c>
      <c r="J246">
        <f>IF($F246=1,INDEX({10,12,13,14,15,16,17,18,19,20,21,23,24,25,26,27,28,29,30,31,32,34,35,36,37,38},1,FIND(MID($B246,4,1),"ABCDEFGHIJKLMNOPQRSTUVWXYZ")),"")</f>
        <v/>
      </c>
      <c r="K246">
        <f>IF($F246=1,FIND(MID($B246,5,1),"0123456789")-1,"")</f>
        <v/>
      </c>
      <c r="L246">
        <f>IF($F246=1,FIND(MID($B246,6,1),"0123456789")-1,"")</f>
        <v/>
      </c>
      <c r="M246">
        <f>IF($F246=1,FIND(MID($B246,7,1),"0123456789")-1,"")</f>
        <v/>
      </c>
      <c r="N246">
        <f>IF($F246=1,FIND(MID($B246,8,1),"0123456789")-1,"")</f>
        <v/>
      </c>
      <c r="O246">
        <f>IF($F246=1,FIND(MID($B246,9,1),"0123456789")-1,"")</f>
        <v/>
      </c>
      <c r="P246">
        <f>IF($F246=1,FIND(MID($B246,10,1),"0123456789")-1,"")</f>
        <v/>
      </c>
      <c r="Q246">
        <f>IF($F246=1,SUMPRODUCT($G246:$P246,{1,2,4,8,16,32,64,128,256,512}),"")</f>
        <v/>
      </c>
      <c r="R246">
        <f>IF($F246=1,MOD(MOD($Q246,11),10),"")</f>
        <v/>
      </c>
    </row>
    <row r="247">
      <c r="A247" s="6" t="n"/>
      <c r="B247" s="7">
        <f>IF($A247="","",UPPER(SUBSTITUTE(SUBSTITUTE(SUBSTITUTE(SUBSTITUTE(SUBSTITUTE(SUBSTITUTE($A247," ",""),"-",""),".",""),"/",""),"i","I"),"ı","?")))</f>
        <v/>
      </c>
      <c r="C247" s="8">
        <f>IF($F247=1,$R247,"")</f>
        <v/>
      </c>
      <c r="D247" s="7">
        <f>IF($A247="","",IF($F247=0,"Biçim hatalı",IF(FIND(MID($B247,11,1),"0123456789")-1=$R247,"Geçerli","Kontrol hanesi hatalı (doğrusu: "&amp;$R247&amp;")")))</f>
        <v/>
      </c>
      <c r="F247">
        <f>IF($A247="","",IF(AND(LEN($B247)=11,SUMPRODUCT(--ISNUMBER(FIND(MID($B247,{1,2,3},1),"ABCDEFGHIJKLMNOPQRSTUVWXYZ")))=3,ISNUMBER(FIND(MID($B247,4,1),"UJZ")),SUMPRODUCT(--ISNUMBER(FIND(MID($B247,{5,6,7,8,9,10,11},1),"0123456789")))=7),1,0))</f>
        <v/>
      </c>
      <c r="G247">
        <f>IF($F247=1,INDEX({10,12,13,14,15,16,17,18,19,20,21,23,24,25,26,27,28,29,30,31,32,34,35,36,37,38},1,FIND(MID($B247,1,1),"ABCDEFGHIJKLMNOPQRSTUVWXYZ")),"")</f>
        <v/>
      </c>
      <c r="H247">
        <f>IF($F247=1,INDEX({10,12,13,14,15,16,17,18,19,20,21,23,24,25,26,27,28,29,30,31,32,34,35,36,37,38},1,FIND(MID($B247,2,1),"ABCDEFGHIJKLMNOPQRSTUVWXYZ")),"")</f>
        <v/>
      </c>
      <c r="I247">
        <f>IF($F247=1,INDEX({10,12,13,14,15,16,17,18,19,20,21,23,24,25,26,27,28,29,30,31,32,34,35,36,37,38},1,FIND(MID($B247,3,1),"ABCDEFGHIJKLMNOPQRSTUVWXYZ")),"")</f>
        <v/>
      </c>
      <c r="J247">
        <f>IF($F247=1,INDEX({10,12,13,14,15,16,17,18,19,20,21,23,24,25,26,27,28,29,30,31,32,34,35,36,37,38},1,FIND(MID($B247,4,1),"ABCDEFGHIJKLMNOPQRSTUVWXYZ")),"")</f>
        <v/>
      </c>
      <c r="K247">
        <f>IF($F247=1,FIND(MID($B247,5,1),"0123456789")-1,"")</f>
        <v/>
      </c>
      <c r="L247">
        <f>IF($F247=1,FIND(MID($B247,6,1),"0123456789")-1,"")</f>
        <v/>
      </c>
      <c r="M247">
        <f>IF($F247=1,FIND(MID($B247,7,1),"0123456789")-1,"")</f>
        <v/>
      </c>
      <c r="N247">
        <f>IF($F247=1,FIND(MID($B247,8,1),"0123456789")-1,"")</f>
        <v/>
      </c>
      <c r="O247">
        <f>IF($F247=1,FIND(MID($B247,9,1),"0123456789")-1,"")</f>
        <v/>
      </c>
      <c r="P247">
        <f>IF($F247=1,FIND(MID($B247,10,1),"0123456789")-1,"")</f>
        <v/>
      </c>
      <c r="Q247">
        <f>IF($F247=1,SUMPRODUCT($G247:$P247,{1,2,4,8,16,32,64,128,256,512}),"")</f>
        <v/>
      </c>
      <c r="R247">
        <f>IF($F247=1,MOD(MOD($Q247,11),10),"")</f>
        <v/>
      </c>
    </row>
    <row r="248">
      <c r="A248" s="6" t="n"/>
      <c r="B248" s="7">
        <f>IF($A248="","",UPPER(SUBSTITUTE(SUBSTITUTE(SUBSTITUTE(SUBSTITUTE(SUBSTITUTE(SUBSTITUTE($A248," ",""),"-",""),".",""),"/",""),"i","I"),"ı","?")))</f>
        <v/>
      </c>
      <c r="C248" s="8">
        <f>IF($F248=1,$R248,"")</f>
        <v/>
      </c>
      <c r="D248" s="7">
        <f>IF($A248="","",IF($F248=0,"Biçim hatalı",IF(FIND(MID($B248,11,1),"0123456789")-1=$R248,"Geçerli","Kontrol hanesi hatalı (doğrusu: "&amp;$R248&amp;")")))</f>
        <v/>
      </c>
      <c r="F248">
        <f>IF($A248="","",IF(AND(LEN($B248)=11,SUMPRODUCT(--ISNUMBER(FIND(MID($B248,{1,2,3},1),"ABCDEFGHIJKLMNOPQRSTUVWXYZ")))=3,ISNUMBER(FIND(MID($B248,4,1),"UJZ")),SUMPRODUCT(--ISNUMBER(FIND(MID($B248,{5,6,7,8,9,10,11},1),"0123456789")))=7),1,0))</f>
        <v/>
      </c>
      <c r="G248">
        <f>IF($F248=1,INDEX({10,12,13,14,15,16,17,18,19,20,21,23,24,25,26,27,28,29,30,31,32,34,35,36,37,38},1,FIND(MID($B248,1,1),"ABCDEFGHIJKLMNOPQRSTUVWXYZ")),"")</f>
        <v/>
      </c>
      <c r="H248">
        <f>IF($F248=1,INDEX({10,12,13,14,15,16,17,18,19,20,21,23,24,25,26,27,28,29,30,31,32,34,35,36,37,38},1,FIND(MID($B248,2,1),"ABCDEFGHIJKLMNOPQRSTUVWXYZ")),"")</f>
        <v/>
      </c>
      <c r="I248">
        <f>IF($F248=1,INDEX({10,12,13,14,15,16,17,18,19,20,21,23,24,25,26,27,28,29,30,31,32,34,35,36,37,38},1,FIND(MID($B248,3,1),"ABCDEFGHIJKLMNOPQRSTUVWXYZ")),"")</f>
        <v/>
      </c>
      <c r="J248">
        <f>IF($F248=1,INDEX({10,12,13,14,15,16,17,18,19,20,21,23,24,25,26,27,28,29,30,31,32,34,35,36,37,38},1,FIND(MID($B248,4,1),"ABCDEFGHIJKLMNOPQRSTUVWXYZ")),"")</f>
        <v/>
      </c>
      <c r="K248">
        <f>IF($F248=1,FIND(MID($B248,5,1),"0123456789")-1,"")</f>
        <v/>
      </c>
      <c r="L248">
        <f>IF($F248=1,FIND(MID($B248,6,1),"0123456789")-1,"")</f>
        <v/>
      </c>
      <c r="M248">
        <f>IF($F248=1,FIND(MID($B248,7,1),"0123456789")-1,"")</f>
        <v/>
      </c>
      <c r="N248">
        <f>IF($F248=1,FIND(MID($B248,8,1),"0123456789")-1,"")</f>
        <v/>
      </c>
      <c r="O248">
        <f>IF($F248=1,FIND(MID($B248,9,1),"0123456789")-1,"")</f>
        <v/>
      </c>
      <c r="P248">
        <f>IF($F248=1,FIND(MID($B248,10,1),"0123456789")-1,"")</f>
        <v/>
      </c>
      <c r="Q248">
        <f>IF($F248=1,SUMPRODUCT($G248:$P248,{1,2,4,8,16,32,64,128,256,512}),"")</f>
        <v/>
      </c>
      <c r="R248">
        <f>IF($F248=1,MOD(MOD($Q248,11),10),"")</f>
        <v/>
      </c>
    </row>
    <row r="249">
      <c r="A249" s="6" t="n"/>
      <c r="B249" s="7">
        <f>IF($A249="","",UPPER(SUBSTITUTE(SUBSTITUTE(SUBSTITUTE(SUBSTITUTE(SUBSTITUTE(SUBSTITUTE($A249," ",""),"-",""),".",""),"/",""),"i","I"),"ı","?")))</f>
        <v/>
      </c>
      <c r="C249" s="8">
        <f>IF($F249=1,$R249,"")</f>
        <v/>
      </c>
      <c r="D249" s="7">
        <f>IF($A249="","",IF($F249=0,"Biçim hatalı",IF(FIND(MID($B249,11,1),"0123456789")-1=$R249,"Geçerli","Kontrol hanesi hatalı (doğrusu: "&amp;$R249&amp;")")))</f>
        <v/>
      </c>
      <c r="F249">
        <f>IF($A249="","",IF(AND(LEN($B249)=11,SUMPRODUCT(--ISNUMBER(FIND(MID($B249,{1,2,3},1),"ABCDEFGHIJKLMNOPQRSTUVWXYZ")))=3,ISNUMBER(FIND(MID($B249,4,1),"UJZ")),SUMPRODUCT(--ISNUMBER(FIND(MID($B249,{5,6,7,8,9,10,11},1),"0123456789")))=7),1,0))</f>
        <v/>
      </c>
      <c r="G249">
        <f>IF($F249=1,INDEX({10,12,13,14,15,16,17,18,19,20,21,23,24,25,26,27,28,29,30,31,32,34,35,36,37,38},1,FIND(MID($B249,1,1),"ABCDEFGHIJKLMNOPQRSTUVWXYZ")),"")</f>
        <v/>
      </c>
      <c r="H249">
        <f>IF($F249=1,INDEX({10,12,13,14,15,16,17,18,19,20,21,23,24,25,26,27,28,29,30,31,32,34,35,36,37,38},1,FIND(MID($B249,2,1),"ABCDEFGHIJKLMNOPQRSTUVWXYZ")),"")</f>
        <v/>
      </c>
      <c r="I249">
        <f>IF($F249=1,INDEX({10,12,13,14,15,16,17,18,19,20,21,23,24,25,26,27,28,29,30,31,32,34,35,36,37,38},1,FIND(MID($B249,3,1),"ABCDEFGHIJKLMNOPQRSTUVWXYZ")),"")</f>
        <v/>
      </c>
      <c r="J249">
        <f>IF($F249=1,INDEX({10,12,13,14,15,16,17,18,19,20,21,23,24,25,26,27,28,29,30,31,32,34,35,36,37,38},1,FIND(MID($B249,4,1),"ABCDEFGHIJKLMNOPQRSTUVWXYZ")),"")</f>
        <v/>
      </c>
      <c r="K249">
        <f>IF($F249=1,FIND(MID($B249,5,1),"0123456789")-1,"")</f>
        <v/>
      </c>
      <c r="L249">
        <f>IF($F249=1,FIND(MID($B249,6,1),"0123456789")-1,"")</f>
        <v/>
      </c>
      <c r="M249">
        <f>IF($F249=1,FIND(MID($B249,7,1),"0123456789")-1,"")</f>
        <v/>
      </c>
      <c r="N249">
        <f>IF($F249=1,FIND(MID($B249,8,1),"0123456789")-1,"")</f>
        <v/>
      </c>
      <c r="O249">
        <f>IF($F249=1,FIND(MID($B249,9,1),"0123456789")-1,"")</f>
        <v/>
      </c>
      <c r="P249">
        <f>IF($F249=1,FIND(MID($B249,10,1),"0123456789")-1,"")</f>
        <v/>
      </c>
      <c r="Q249">
        <f>IF($F249=1,SUMPRODUCT($G249:$P249,{1,2,4,8,16,32,64,128,256,512}),"")</f>
        <v/>
      </c>
      <c r="R249">
        <f>IF($F249=1,MOD(MOD($Q249,11),10),"")</f>
        <v/>
      </c>
    </row>
    <row r="250">
      <c r="A250" s="6" t="n"/>
      <c r="B250" s="7">
        <f>IF($A250="","",UPPER(SUBSTITUTE(SUBSTITUTE(SUBSTITUTE(SUBSTITUTE(SUBSTITUTE(SUBSTITUTE($A250," ",""),"-",""),".",""),"/",""),"i","I"),"ı","?")))</f>
        <v/>
      </c>
      <c r="C250" s="8">
        <f>IF($F250=1,$R250,"")</f>
        <v/>
      </c>
      <c r="D250" s="7">
        <f>IF($A250="","",IF($F250=0,"Biçim hatalı",IF(FIND(MID($B250,11,1),"0123456789")-1=$R250,"Geçerli","Kontrol hanesi hatalı (doğrusu: "&amp;$R250&amp;")")))</f>
        <v/>
      </c>
      <c r="F250">
        <f>IF($A250="","",IF(AND(LEN($B250)=11,SUMPRODUCT(--ISNUMBER(FIND(MID($B250,{1,2,3},1),"ABCDEFGHIJKLMNOPQRSTUVWXYZ")))=3,ISNUMBER(FIND(MID($B250,4,1),"UJZ")),SUMPRODUCT(--ISNUMBER(FIND(MID($B250,{5,6,7,8,9,10,11},1),"0123456789")))=7),1,0))</f>
        <v/>
      </c>
      <c r="G250">
        <f>IF($F250=1,INDEX({10,12,13,14,15,16,17,18,19,20,21,23,24,25,26,27,28,29,30,31,32,34,35,36,37,38},1,FIND(MID($B250,1,1),"ABCDEFGHIJKLMNOPQRSTUVWXYZ")),"")</f>
        <v/>
      </c>
      <c r="H250">
        <f>IF($F250=1,INDEX({10,12,13,14,15,16,17,18,19,20,21,23,24,25,26,27,28,29,30,31,32,34,35,36,37,38},1,FIND(MID($B250,2,1),"ABCDEFGHIJKLMNOPQRSTUVWXYZ")),"")</f>
        <v/>
      </c>
      <c r="I250">
        <f>IF($F250=1,INDEX({10,12,13,14,15,16,17,18,19,20,21,23,24,25,26,27,28,29,30,31,32,34,35,36,37,38},1,FIND(MID($B250,3,1),"ABCDEFGHIJKLMNOPQRSTUVWXYZ")),"")</f>
        <v/>
      </c>
      <c r="J250">
        <f>IF($F250=1,INDEX({10,12,13,14,15,16,17,18,19,20,21,23,24,25,26,27,28,29,30,31,32,34,35,36,37,38},1,FIND(MID($B250,4,1),"ABCDEFGHIJKLMNOPQRSTUVWXYZ")),"")</f>
        <v/>
      </c>
      <c r="K250">
        <f>IF($F250=1,FIND(MID($B250,5,1),"0123456789")-1,"")</f>
        <v/>
      </c>
      <c r="L250">
        <f>IF($F250=1,FIND(MID($B250,6,1),"0123456789")-1,"")</f>
        <v/>
      </c>
      <c r="M250">
        <f>IF($F250=1,FIND(MID($B250,7,1),"0123456789")-1,"")</f>
        <v/>
      </c>
      <c r="N250">
        <f>IF($F250=1,FIND(MID($B250,8,1),"0123456789")-1,"")</f>
        <v/>
      </c>
      <c r="O250">
        <f>IF($F250=1,FIND(MID($B250,9,1),"0123456789")-1,"")</f>
        <v/>
      </c>
      <c r="P250">
        <f>IF($F250=1,FIND(MID($B250,10,1),"0123456789")-1,"")</f>
        <v/>
      </c>
      <c r="Q250">
        <f>IF($F250=1,SUMPRODUCT($G250:$P250,{1,2,4,8,16,32,64,128,256,512}),"")</f>
        <v/>
      </c>
      <c r="R250">
        <f>IF($F250=1,MOD(MOD($Q250,11),10),"")</f>
        <v/>
      </c>
    </row>
    <row r="251">
      <c r="A251" s="6" t="n"/>
      <c r="B251" s="7">
        <f>IF($A251="","",UPPER(SUBSTITUTE(SUBSTITUTE(SUBSTITUTE(SUBSTITUTE(SUBSTITUTE(SUBSTITUTE($A251," ",""),"-",""),".",""),"/",""),"i","I"),"ı","?")))</f>
        <v/>
      </c>
      <c r="C251" s="8">
        <f>IF($F251=1,$R251,"")</f>
        <v/>
      </c>
      <c r="D251" s="7">
        <f>IF($A251="","",IF($F251=0,"Biçim hatalı",IF(FIND(MID($B251,11,1),"0123456789")-1=$R251,"Geçerli","Kontrol hanesi hatalı (doğrusu: "&amp;$R251&amp;")")))</f>
        <v/>
      </c>
      <c r="F251">
        <f>IF($A251="","",IF(AND(LEN($B251)=11,SUMPRODUCT(--ISNUMBER(FIND(MID($B251,{1,2,3},1),"ABCDEFGHIJKLMNOPQRSTUVWXYZ")))=3,ISNUMBER(FIND(MID($B251,4,1),"UJZ")),SUMPRODUCT(--ISNUMBER(FIND(MID($B251,{5,6,7,8,9,10,11},1),"0123456789")))=7),1,0))</f>
        <v/>
      </c>
      <c r="G251">
        <f>IF($F251=1,INDEX({10,12,13,14,15,16,17,18,19,20,21,23,24,25,26,27,28,29,30,31,32,34,35,36,37,38},1,FIND(MID($B251,1,1),"ABCDEFGHIJKLMNOPQRSTUVWXYZ")),"")</f>
        <v/>
      </c>
      <c r="H251">
        <f>IF($F251=1,INDEX({10,12,13,14,15,16,17,18,19,20,21,23,24,25,26,27,28,29,30,31,32,34,35,36,37,38},1,FIND(MID($B251,2,1),"ABCDEFGHIJKLMNOPQRSTUVWXYZ")),"")</f>
        <v/>
      </c>
      <c r="I251">
        <f>IF($F251=1,INDEX({10,12,13,14,15,16,17,18,19,20,21,23,24,25,26,27,28,29,30,31,32,34,35,36,37,38},1,FIND(MID($B251,3,1),"ABCDEFGHIJKLMNOPQRSTUVWXYZ")),"")</f>
        <v/>
      </c>
      <c r="J251">
        <f>IF($F251=1,INDEX({10,12,13,14,15,16,17,18,19,20,21,23,24,25,26,27,28,29,30,31,32,34,35,36,37,38},1,FIND(MID($B251,4,1),"ABCDEFGHIJKLMNOPQRSTUVWXYZ")),"")</f>
        <v/>
      </c>
      <c r="K251">
        <f>IF($F251=1,FIND(MID($B251,5,1),"0123456789")-1,"")</f>
        <v/>
      </c>
      <c r="L251">
        <f>IF($F251=1,FIND(MID($B251,6,1),"0123456789")-1,"")</f>
        <v/>
      </c>
      <c r="M251">
        <f>IF($F251=1,FIND(MID($B251,7,1),"0123456789")-1,"")</f>
        <v/>
      </c>
      <c r="N251">
        <f>IF($F251=1,FIND(MID($B251,8,1),"0123456789")-1,"")</f>
        <v/>
      </c>
      <c r="O251">
        <f>IF($F251=1,FIND(MID($B251,9,1),"0123456789")-1,"")</f>
        <v/>
      </c>
      <c r="P251">
        <f>IF($F251=1,FIND(MID($B251,10,1),"0123456789")-1,"")</f>
        <v/>
      </c>
      <c r="Q251">
        <f>IF($F251=1,SUMPRODUCT($G251:$P251,{1,2,4,8,16,32,64,128,256,512}),"")</f>
        <v/>
      </c>
      <c r="R251">
        <f>IF($F251=1,MOD(MOD($Q251,11),10),"")</f>
        <v/>
      </c>
    </row>
    <row r="252">
      <c r="A252" s="6" t="n"/>
      <c r="B252" s="7">
        <f>IF($A252="","",UPPER(SUBSTITUTE(SUBSTITUTE(SUBSTITUTE(SUBSTITUTE(SUBSTITUTE(SUBSTITUTE($A252," ",""),"-",""),".",""),"/",""),"i","I"),"ı","?")))</f>
        <v/>
      </c>
      <c r="C252" s="8">
        <f>IF($F252=1,$R252,"")</f>
        <v/>
      </c>
      <c r="D252" s="7">
        <f>IF($A252="","",IF($F252=0,"Biçim hatalı",IF(FIND(MID($B252,11,1),"0123456789")-1=$R252,"Geçerli","Kontrol hanesi hatalı (doğrusu: "&amp;$R252&amp;")")))</f>
        <v/>
      </c>
      <c r="F252">
        <f>IF($A252="","",IF(AND(LEN($B252)=11,SUMPRODUCT(--ISNUMBER(FIND(MID($B252,{1,2,3},1),"ABCDEFGHIJKLMNOPQRSTUVWXYZ")))=3,ISNUMBER(FIND(MID($B252,4,1),"UJZ")),SUMPRODUCT(--ISNUMBER(FIND(MID($B252,{5,6,7,8,9,10,11},1),"0123456789")))=7),1,0))</f>
        <v/>
      </c>
      <c r="G252">
        <f>IF($F252=1,INDEX({10,12,13,14,15,16,17,18,19,20,21,23,24,25,26,27,28,29,30,31,32,34,35,36,37,38},1,FIND(MID($B252,1,1),"ABCDEFGHIJKLMNOPQRSTUVWXYZ")),"")</f>
        <v/>
      </c>
      <c r="H252">
        <f>IF($F252=1,INDEX({10,12,13,14,15,16,17,18,19,20,21,23,24,25,26,27,28,29,30,31,32,34,35,36,37,38},1,FIND(MID($B252,2,1),"ABCDEFGHIJKLMNOPQRSTUVWXYZ")),"")</f>
        <v/>
      </c>
      <c r="I252">
        <f>IF($F252=1,INDEX({10,12,13,14,15,16,17,18,19,20,21,23,24,25,26,27,28,29,30,31,32,34,35,36,37,38},1,FIND(MID($B252,3,1),"ABCDEFGHIJKLMNOPQRSTUVWXYZ")),"")</f>
        <v/>
      </c>
      <c r="J252">
        <f>IF($F252=1,INDEX({10,12,13,14,15,16,17,18,19,20,21,23,24,25,26,27,28,29,30,31,32,34,35,36,37,38},1,FIND(MID($B252,4,1),"ABCDEFGHIJKLMNOPQRSTUVWXYZ")),"")</f>
        <v/>
      </c>
      <c r="K252">
        <f>IF($F252=1,FIND(MID($B252,5,1),"0123456789")-1,"")</f>
        <v/>
      </c>
      <c r="L252">
        <f>IF($F252=1,FIND(MID($B252,6,1),"0123456789")-1,"")</f>
        <v/>
      </c>
      <c r="M252">
        <f>IF($F252=1,FIND(MID($B252,7,1),"0123456789")-1,"")</f>
        <v/>
      </c>
      <c r="N252">
        <f>IF($F252=1,FIND(MID($B252,8,1),"0123456789")-1,"")</f>
        <v/>
      </c>
      <c r="O252">
        <f>IF($F252=1,FIND(MID($B252,9,1),"0123456789")-1,"")</f>
        <v/>
      </c>
      <c r="P252">
        <f>IF($F252=1,FIND(MID($B252,10,1),"0123456789")-1,"")</f>
        <v/>
      </c>
      <c r="Q252">
        <f>IF($F252=1,SUMPRODUCT($G252:$P252,{1,2,4,8,16,32,64,128,256,512}),"")</f>
        <v/>
      </c>
      <c r="R252">
        <f>IF($F252=1,MOD(MOD($Q252,11),10),"")</f>
        <v/>
      </c>
    </row>
    <row r="253">
      <c r="A253" s="6" t="n"/>
      <c r="B253" s="7">
        <f>IF($A253="","",UPPER(SUBSTITUTE(SUBSTITUTE(SUBSTITUTE(SUBSTITUTE(SUBSTITUTE(SUBSTITUTE($A253," ",""),"-",""),".",""),"/",""),"i","I"),"ı","?")))</f>
        <v/>
      </c>
      <c r="C253" s="8">
        <f>IF($F253=1,$R253,"")</f>
        <v/>
      </c>
      <c r="D253" s="7">
        <f>IF($A253="","",IF($F253=0,"Biçim hatalı",IF(FIND(MID($B253,11,1),"0123456789")-1=$R253,"Geçerli","Kontrol hanesi hatalı (doğrusu: "&amp;$R253&amp;")")))</f>
        <v/>
      </c>
      <c r="F253">
        <f>IF($A253="","",IF(AND(LEN($B253)=11,SUMPRODUCT(--ISNUMBER(FIND(MID($B253,{1,2,3},1),"ABCDEFGHIJKLMNOPQRSTUVWXYZ")))=3,ISNUMBER(FIND(MID($B253,4,1),"UJZ")),SUMPRODUCT(--ISNUMBER(FIND(MID($B253,{5,6,7,8,9,10,11},1),"0123456789")))=7),1,0))</f>
        <v/>
      </c>
      <c r="G253">
        <f>IF($F253=1,INDEX({10,12,13,14,15,16,17,18,19,20,21,23,24,25,26,27,28,29,30,31,32,34,35,36,37,38},1,FIND(MID($B253,1,1),"ABCDEFGHIJKLMNOPQRSTUVWXYZ")),"")</f>
        <v/>
      </c>
      <c r="H253">
        <f>IF($F253=1,INDEX({10,12,13,14,15,16,17,18,19,20,21,23,24,25,26,27,28,29,30,31,32,34,35,36,37,38},1,FIND(MID($B253,2,1),"ABCDEFGHIJKLMNOPQRSTUVWXYZ")),"")</f>
        <v/>
      </c>
      <c r="I253">
        <f>IF($F253=1,INDEX({10,12,13,14,15,16,17,18,19,20,21,23,24,25,26,27,28,29,30,31,32,34,35,36,37,38},1,FIND(MID($B253,3,1),"ABCDEFGHIJKLMNOPQRSTUVWXYZ")),"")</f>
        <v/>
      </c>
      <c r="J253">
        <f>IF($F253=1,INDEX({10,12,13,14,15,16,17,18,19,20,21,23,24,25,26,27,28,29,30,31,32,34,35,36,37,38},1,FIND(MID($B253,4,1),"ABCDEFGHIJKLMNOPQRSTUVWXYZ")),"")</f>
        <v/>
      </c>
      <c r="K253">
        <f>IF($F253=1,FIND(MID($B253,5,1),"0123456789")-1,"")</f>
        <v/>
      </c>
      <c r="L253">
        <f>IF($F253=1,FIND(MID($B253,6,1),"0123456789")-1,"")</f>
        <v/>
      </c>
      <c r="M253">
        <f>IF($F253=1,FIND(MID($B253,7,1),"0123456789")-1,"")</f>
        <v/>
      </c>
      <c r="N253">
        <f>IF($F253=1,FIND(MID($B253,8,1),"0123456789")-1,"")</f>
        <v/>
      </c>
      <c r="O253">
        <f>IF($F253=1,FIND(MID($B253,9,1),"0123456789")-1,"")</f>
        <v/>
      </c>
      <c r="P253">
        <f>IF($F253=1,FIND(MID($B253,10,1),"0123456789")-1,"")</f>
        <v/>
      </c>
      <c r="Q253">
        <f>IF($F253=1,SUMPRODUCT($G253:$P253,{1,2,4,8,16,32,64,128,256,512}),"")</f>
        <v/>
      </c>
      <c r="R253">
        <f>IF($F253=1,MOD(MOD($Q253,11),10),"")</f>
        <v/>
      </c>
    </row>
    <row r="254">
      <c r="A254" s="6" t="n"/>
      <c r="B254" s="7">
        <f>IF($A254="","",UPPER(SUBSTITUTE(SUBSTITUTE(SUBSTITUTE(SUBSTITUTE(SUBSTITUTE(SUBSTITUTE($A254," ",""),"-",""),".",""),"/",""),"i","I"),"ı","?")))</f>
        <v/>
      </c>
      <c r="C254" s="8">
        <f>IF($F254=1,$R254,"")</f>
        <v/>
      </c>
      <c r="D254" s="7">
        <f>IF($A254="","",IF($F254=0,"Biçim hatalı",IF(FIND(MID($B254,11,1),"0123456789")-1=$R254,"Geçerli","Kontrol hanesi hatalı (doğrusu: "&amp;$R254&amp;")")))</f>
        <v/>
      </c>
      <c r="F254">
        <f>IF($A254="","",IF(AND(LEN($B254)=11,SUMPRODUCT(--ISNUMBER(FIND(MID($B254,{1,2,3},1),"ABCDEFGHIJKLMNOPQRSTUVWXYZ")))=3,ISNUMBER(FIND(MID($B254,4,1),"UJZ")),SUMPRODUCT(--ISNUMBER(FIND(MID($B254,{5,6,7,8,9,10,11},1),"0123456789")))=7),1,0))</f>
        <v/>
      </c>
      <c r="G254">
        <f>IF($F254=1,INDEX({10,12,13,14,15,16,17,18,19,20,21,23,24,25,26,27,28,29,30,31,32,34,35,36,37,38},1,FIND(MID($B254,1,1),"ABCDEFGHIJKLMNOPQRSTUVWXYZ")),"")</f>
        <v/>
      </c>
      <c r="H254">
        <f>IF($F254=1,INDEX({10,12,13,14,15,16,17,18,19,20,21,23,24,25,26,27,28,29,30,31,32,34,35,36,37,38},1,FIND(MID($B254,2,1),"ABCDEFGHIJKLMNOPQRSTUVWXYZ")),"")</f>
        <v/>
      </c>
      <c r="I254">
        <f>IF($F254=1,INDEX({10,12,13,14,15,16,17,18,19,20,21,23,24,25,26,27,28,29,30,31,32,34,35,36,37,38},1,FIND(MID($B254,3,1),"ABCDEFGHIJKLMNOPQRSTUVWXYZ")),"")</f>
        <v/>
      </c>
      <c r="J254">
        <f>IF($F254=1,INDEX({10,12,13,14,15,16,17,18,19,20,21,23,24,25,26,27,28,29,30,31,32,34,35,36,37,38},1,FIND(MID($B254,4,1),"ABCDEFGHIJKLMNOPQRSTUVWXYZ")),"")</f>
        <v/>
      </c>
      <c r="K254">
        <f>IF($F254=1,FIND(MID($B254,5,1),"0123456789")-1,"")</f>
        <v/>
      </c>
      <c r="L254">
        <f>IF($F254=1,FIND(MID($B254,6,1),"0123456789")-1,"")</f>
        <v/>
      </c>
      <c r="M254">
        <f>IF($F254=1,FIND(MID($B254,7,1),"0123456789")-1,"")</f>
        <v/>
      </c>
      <c r="N254">
        <f>IF($F254=1,FIND(MID($B254,8,1),"0123456789")-1,"")</f>
        <v/>
      </c>
      <c r="O254">
        <f>IF($F254=1,FIND(MID($B254,9,1),"0123456789")-1,"")</f>
        <v/>
      </c>
      <c r="P254">
        <f>IF($F254=1,FIND(MID($B254,10,1),"0123456789")-1,"")</f>
        <v/>
      </c>
      <c r="Q254">
        <f>IF($F254=1,SUMPRODUCT($G254:$P254,{1,2,4,8,16,32,64,128,256,512}),"")</f>
        <v/>
      </c>
      <c r="R254">
        <f>IF($F254=1,MOD(MOD($Q254,11),10),"")</f>
        <v/>
      </c>
    </row>
    <row r="255">
      <c r="A255" s="6" t="n"/>
      <c r="B255" s="7">
        <f>IF($A255="","",UPPER(SUBSTITUTE(SUBSTITUTE(SUBSTITUTE(SUBSTITUTE(SUBSTITUTE(SUBSTITUTE($A255," ",""),"-",""),".",""),"/",""),"i","I"),"ı","?")))</f>
        <v/>
      </c>
      <c r="C255" s="8">
        <f>IF($F255=1,$R255,"")</f>
        <v/>
      </c>
      <c r="D255" s="7">
        <f>IF($A255="","",IF($F255=0,"Biçim hatalı",IF(FIND(MID($B255,11,1),"0123456789")-1=$R255,"Geçerli","Kontrol hanesi hatalı (doğrusu: "&amp;$R255&amp;")")))</f>
        <v/>
      </c>
      <c r="F255">
        <f>IF($A255="","",IF(AND(LEN($B255)=11,SUMPRODUCT(--ISNUMBER(FIND(MID($B255,{1,2,3},1),"ABCDEFGHIJKLMNOPQRSTUVWXYZ")))=3,ISNUMBER(FIND(MID($B255,4,1),"UJZ")),SUMPRODUCT(--ISNUMBER(FIND(MID($B255,{5,6,7,8,9,10,11},1),"0123456789")))=7),1,0))</f>
        <v/>
      </c>
      <c r="G255">
        <f>IF($F255=1,INDEX({10,12,13,14,15,16,17,18,19,20,21,23,24,25,26,27,28,29,30,31,32,34,35,36,37,38},1,FIND(MID($B255,1,1),"ABCDEFGHIJKLMNOPQRSTUVWXYZ")),"")</f>
        <v/>
      </c>
      <c r="H255">
        <f>IF($F255=1,INDEX({10,12,13,14,15,16,17,18,19,20,21,23,24,25,26,27,28,29,30,31,32,34,35,36,37,38},1,FIND(MID($B255,2,1),"ABCDEFGHIJKLMNOPQRSTUVWXYZ")),"")</f>
        <v/>
      </c>
      <c r="I255">
        <f>IF($F255=1,INDEX({10,12,13,14,15,16,17,18,19,20,21,23,24,25,26,27,28,29,30,31,32,34,35,36,37,38},1,FIND(MID($B255,3,1),"ABCDEFGHIJKLMNOPQRSTUVWXYZ")),"")</f>
        <v/>
      </c>
      <c r="J255">
        <f>IF($F255=1,INDEX({10,12,13,14,15,16,17,18,19,20,21,23,24,25,26,27,28,29,30,31,32,34,35,36,37,38},1,FIND(MID($B255,4,1),"ABCDEFGHIJKLMNOPQRSTUVWXYZ")),"")</f>
        <v/>
      </c>
      <c r="K255">
        <f>IF($F255=1,FIND(MID($B255,5,1),"0123456789")-1,"")</f>
        <v/>
      </c>
      <c r="L255">
        <f>IF($F255=1,FIND(MID($B255,6,1),"0123456789")-1,"")</f>
        <v/>
      </c>
      <c r="M255">
        <f>IF($F255=1,FIND(MID($B255,7,1),"0123456789")-1,"")</f>
        <v/>
      </c>
      <c r="N255">
        <f>IF($F255=1,FIND(MID($B255,8,1),"0123456789")-1,"")</f>
        <v/>
      </c>
      <c r="O255">
        <f>IF($F255=1,FIND(MID($B255,9,1),"0123456789")-1,"")</f>
        <v/>
      </c>
      <c r="P255">
        <f>IF($F255=1,FIND(MID($B255,10,1),"0123456789")-1,"")</f>
        <v/>
      </c>
      <c r="Q255">
        <f>IF($F255=1,SUMPRODUCT($G255:$P255,{1,2,4,8,16,32,64,128,256,512}),"")</f>
        <v/>
      </c>
      <c r="R255">
        <f>IF($F255=1,MOD(MOD($Q255,11),10),"")</f>
        <v/>
      </c>
    </row>
    <row r="256">
      <c r="A256" s="6" t="n"/>
      <c r="B256" s="7">
        <f>IF($A256="","",UPPER(SUBSTITUTE(SUBSTITUTE(SUBSTITUTE(SUBSTITUTE(SUBSTITUTE(SUBSTITUTE($A256," ",""),"-",""),".",""),"/",""),"i","I"),"ı","?")))</f>
        <v/>
      </c>
      <c r="C256" s="8">
        <f>IF($F256=1,$R256,"")</f>
        <v/>
      </c>
      <c r="D256" s="7">
        <f>IF($A256="","",IF($F256=0,"Biçim hatalı",IF(FIND(MID($B256,11,1),"0123456789")-1=$R256,"Geçerli","Kontrol hanesi hatalı (doğrusu: "&amp;$R256&amp;")")))</f>
        <v/>
      </c>
      <c r="F256">
        <f>IF($A256="","",IF(AND(LEN($B256)=11,SUMPRODUCT(--ISNUMBER(FIND(MID($B256,{1,2,3},1),"ABCDEFGHIJKLMNOPQRSTUVWXYZ")))=3,ISNUMBER(FIND(MID($B256,4,1),"UJZ")),SUMPRODUCT(--ISNUMBER(FIND(MID($B256,{5,6,7,8,9,10,11},1),"0123456789")))=7),1,0))</f>
        <v/>
      </c>
      <c r="G256">
        <f>IF($F256=1,INDEX({10,12,13,14,15,16,17,18,19,20,21,23,24,25,26,27,28,29,30,31,32,34,35,36,37,38},1,FIND(MID($B256,1,1),"ABCDEFGHIJKLMNOPQRSTUVWXYZ")),"")</f>
        <v/>
      </c>
      <c r="H256">
        <f>IF($F256=1,INDEX({10,12,13,14,15,16,17,18,19,20,21,23,24,25,26,27,28,29,30,31,32,34,35,36,37,38},1,FIND(MID($B256,2,1),"ABCDEFGHIJKLMNOPQRSTUVWXYZ")),"")</f>
        <v/>
      </c>
      <c r="I256">
        <f>IF($F256=1,INDEX({10,12,13,14,15,16,17,18,19,20,21,23,24,25,26,27,28,29,30,31,32,34,35,36,37,38},1,FIND(MID($B256,3,1),"ABCDEFGHIJKLMNOPQRSTUVWXYZ")),"")</f>
        <v/>
      </c>
      <c r="J256">
        <f>IF($F256=1,INDEX({10,12,13,14,15,16,17,18,19,20,21,23,24,25,26,27,28,29,30,31,32,34,35,36,37,38},1,FIND(MID($B256,4,1),"ABCDEFGHIJKLMNOPQRSTUVWXYZ")),"")</f>
        <v/>
      </c>
      <c r="K256">
        <f>IF($F256=1,FIND(MID($B256,5,1),"0123456789")-1,"")</f>
        <v/>
      </c>
      <c r="L256">
        <f>IF($F256=1,FIND(MID($B256,6,1),"0123456789")-1,"")</f>
        <v/>
      </c>
      <c r="M256">
        <f>IF($F256=1,FIND(MID($B256,7,1),"0123456789")-1,"")</f>
        <v/>
      </c>
      <c r="N256">
        <f>IF($F256=1,FIND(MID($B256,8,1),"0123456789")-1,"")</f>
        <v/>
      </c>
      <c r="O256">
        <f>IF($F256=1,FIND(MID($B256,9,1),"0123456789")-1,"")</f>
        <v/>
      </c>
      <c r="P256">
        <f>IF($F256=1,FIND(MID($B256,10,1),"0123456789")-1,"")</f>
        <v/>
      </c>
      <c r="Q256">
        <f>IF($F256=1,SUMPRODUCT($G256:$P256,{1,2,4,8,16,32,64,128,256,512}),"")</f>
        <v/>
      </c>
      <c r="R256">
        <f>IF($F256=1,MOD(MOD($Q256,11),10),"")</f>
        <v/>
      </c>
    </row>
    <row r="257">
      <c r="A257" s="6" t="n"/>
      <c r="B257" s="7">
        <f>IF($A257="","",UPPER(SUBSTITUTE(SUBSTITUTE(SUBSTITUTE(SUBSTITUTE(SUBSTITUTE(SUBSTITUTE($A257," ",""),"-",""),".",""),"/",""),"i","I"),"ı","?")))</f>
        <v/>
      </c>
      <c r="C257" s="8">
        <f>IF($F257=1,$R257,"")</f>
        <v/>
      </c>
      <c r="D257" s="7">
        <f>IF($A257="","",IF($F257=0,"Biçim hatalı",IF(FIND(MID($B257,11,1),"0123456789")-1=$R257,"Geçerli","Kontrol hanesi hatalı (doğrusu: "&amp;$R257&amp;")")))</f>
        <v/>
      </c>
      <c r="F257">
        <f>IF($A257="","",IF(AND(LEN($B257)=11,SUMPRODUCT(--ISNUMBER(FIND(MID($B257,{1,2,3},1),"ABCDEFGHIJKLMNOPQRSTUVWXYZ")))=3,ISNUMBER(FIND(MID($B257,4,1),"UJZ")),SUMPRODUCT(--ISNUMBER(FIND(MID($B257,{5,6,7,8,9,10,11},1),"0123456789")))=7),1,0))</f>
        <v/>
      </c>
      <c r="G257">
        <f>IF($F257=1,INDEX({10,12,13,14,15,16,17,18,19,20,21,23,24,25,26,27,28,29,30,31,32,34,35,36,37,38},1,FIND(MID($B257,1,1),"ABCDEFGHIJKLMNOPQRSTUVWXYZ")),"")</f>
        <v/>
      </c>
      <c r="H257">
        <f>IF($F257=1,INDEX({10,12,13,14,15,16,17,18,19,20,21,23,24,25,26,27,28,29,30,31,32,34,35,36,37,38},1,FIND(MID($B257,2,1),"ABCDEFGHIJKLMNOPQRSTUVWXYZ")),"")</f>
        <v/>
      </c>
      <c r="I257">
        <f>IF($F257=1,INDEX({10,12,13,14,15,16,17,18,19,20,21,23,24,25,26,27,28,29,30,31,32,34,35,36,37,38},1,FIND(MID($B257,3,1),"ABCDEFGHIJKLMNOPQRSTUVWXYZ")),"")</f>
        <v/>
      </c>
      <c r="J257">
        <f>IF($F257=1,INDEX({10,12,13,14,15,16,17,18,19,20,21,23,24,25,26,27,28,29,30,31,32,34,35,36,37,38},1,FIND(MID($B257,4,1),"ABCDEFGHIJKLMNOPQRSTUVWXYZ")),"")</f>
        <v/>
      </c>
      <c r="K257">
        <f>IF($F257=1,FIND(MID($B257,5,1),"0123456789")-1,"")</f>
        <v/>
      </c>
      <c r="L257">
        <f>IF($F257=1,FIND(MID($B257,6,1),"0123456789")-1,"")</f>
        <v/>
      </c>
      <c r="M257">
        <f>IF($F257=1,FIND(MID($B257,7,1),"0123456789")-1,"")</f>
        <v/>
      </c>
      <c r="N257">
        <f>IF($F257=1,FIND(MID($B257,8,1),"0123456789")-1,"")</f>
        <v/>
      </c>
      <c r="O257">
        <f>IF($F257=1,FIND(MID($B257,9,1),"0123456789")-1,"")</f>
        <v/>
      </c>
      <c r="P257">
        <f>IF($F257=1,FIND(MID($B257,10,1),"0123456789")-1,"")</f>
        <v/>
      </c>
      <c r="Q257">
        <f>IF($F257=1,SUMPRODUCT($G257:$P257,{1,2,4,8,16,32,64,128,256,512}),"")</f>
        <v/>
      </c>
      <c r="R257">
        <f>IF($F257=1,MOD(MOD($Q257,11),10),"")</f>
        <v/>
      </c>
    </row>
    <row r="258">
      <c r="A258" s="6" t="n"/>
      <c r="B258" s="7">
        <f>IF($A258="","",UPPER(SUBSTITUTE(SUBSTITUTE(SUBSTITUTE(SUBSTITUTE(SUBSTITUTE(SUBSTITUTE($A258," ",""),"-",""),".",""),"/",""),"i","I"),"ı","?")))</f>
        <v/>
      </c>
      <c r="C258" s="8">
        <f>IF($F258=1,$R258,"")</f>
        <v/>
      </c>
      <c r="D258" s="7">
        <f>IF($A258="","",IF($F258=0,"Biçim hatalı",IF(FIND(MID($B258,11,1),"0123456789")-1=$R258,"Geçerli","Kontrol hanesi hatalı (doğrusu: "&amp;$R258&amp;")")))</f>
        <v/>
      </c>
      <c r="F258">
        <f>IF($A258="","",IF(AND(LEN($B258)=11,SUMPRODUCT(--ISNUMBER(FIND(MID($B258,{1,2,3},1),"ABCDEFGHIJKLMNOPQRSTUVWXYZ")))=3,ISNUMBER(FIND(MID($B258,4,1),"UJZ")),SUMPRODUCT(--ISNUMBER(FIND(MID($B258,{5,6,7,8,9,10,11},1),"0123456789")))=7),1,0))</f>
        <v/>
      </c>
      <c r="G258">
        <f>IF($F258=1,INDEX({10,12,13,14,15,16,17,18,19,20,21,23,24,25,26,27,28,29,30,31,32,34,35,36,37,38},1,FIND(MID($B258,1,1),"ABCDEFGHIJKLMNOPQRSTUVWXYZ")),"")</f>
        <v/>
      </c>
      <c r="H258">
        <f>IF($F258=1,INDEX({10,12,13,14,15,16,17,18,19,20,21,23,24,25,26,27,28,29,30,31,32,34,35,36,37,38},1,FIND(MID($B258,2,1),"ABCDEFGHIJKLMNOPQRSTUVWXYZ")),"")</f>
        <v/>
      </c>
      <c r="I258">
        <f>IF($F258=1,INDEX({10,12,13,14,15,16,17,18,19,20,21,23,24,25,26,27,28,29,30,31,32,34,35,36,37,38},1,FIND(MID($B258,3,1),"ABCDEFGHIJKLMNOPQRSTUVWXYZ")),"")</f>
        <v/>
      </c>
      <c r="J258">
        <f>IF($F258=1,INDEX({10,12,13,14,15,16,17,18,19,20,21,23,24,25,26,27,28,29,30,31,32,34,35,36,37,38},1,FIND(MID($B258,4,1),"ABCDEFGHIJKLMNOPQRSTUVWXYZ")),"")</f>
        <v/>
      </c>
      <c r="K258">
        <f>IF($F258=1,FIND(MID($B258,5,1),"0123456789")-1,"")</f>
        <v/>
      </c>
      <c r="L258">
        <f>IF($F258=1,FIND(MID($B258,6,1),"0123456789")-1,"")</f>
        <v/>
      </c>
      <c r="M258">
        <f>IF($F258=1,FIND(MID($B258,7,1),"0123456789")-1,"")</f>
        <v/>
      </c>
      <c r="N258">
        <f>IF($F258=1,FIND(MID($B258,8,1),"0123456789")-1,"")</f>
        <v/>
      </c>
      <c r="O258">
        <f>IF($F258=1,FIND(MID($B258,9,1),"0123456789")-1,"")</f>
        <v/>
      </c>
      <c r="P258">
        <f>IF($F258=1,FIND(MID($B258,10,1),"0123456789")-1,"")</f>
        <v/>
      </c>
      <c r="Q258">
        <f>IF($F258=1,SUMPRODUCT($G258:$P258,{1,2,4,8,16,32,64,128,256,512}),"")</f>
        <v/>
      </c>
      <c r="R258">
        <f>IF($F258=1,MOD(MOD($Q258,11),10),"")</f>
        <v/>
      </c>
    </row>
    <row r="259">
      <c r="A259" s="6" t="n"/>
      <c r="B259" s="7">
        <f>IF($A259="","",UPPER(SUBSTITUTE(SUBSTITUTE(SUBSTITUTE(SUBSTITUTE(SUBSTITUTE(SUBSTITUTE($A259," ",""),"-",""),".",""),"/",""),"i","I"),"ı","?")))</f>
        <v/>
      </c>
      <c r="C259" s="8">
        <f>IF($F259=1,$R259,"")</f>
        <v/>
      </c>
      <c r="D259" s="7">
        <f>IF($A259="","",IF($F259=0,"Biçim hatalı",IF(FIND(MID($B259,11,1),"0123456789")-1=$R259,"Geçerli","Kontrol hanesi hatalı (doğrusu: "&amp;$R259&amp;")")))</f>
        <v/>
      </c>
      <c r="F259">
        <f>IF($A259="","",IF(AND(LEN($B259)=11,SUMPRODUCT(--ISNUMBER(FIND(MID($B259,{1,2,3},1),"ABCDEFGHIJKLMNOPQRSTUVWXYZ")))=3,ISNUMBER(FIND(MID($B259,4,1),"UJZ")),SUMPRODUCT(--ISNUMBER(FIND(MID($B259,{5,6,7,8,9,10,11},1),"0123456789")))=7),1,0))</f>
        <v/>
      </c>
      <c r="G259">
        <f>IF($F259=1,INDEX({10,12,13,14,15,16,17,18,19,20,21,23,24,25,26,27,28,29,30,31,32,34,35,36,37,38},1,FIND(MID($B259,1,1),"ABCDEFGHIJKLMNOPQRSTUVWXYZ")),"")</f>
        <v/>
      </c>
      <c r="H259">
        <f>IF($F259=1,INDEX({10,12,13,14,15,16,17,18,19,20,21,23,24,25,26,27,28,29,30,31,32,34,35,36,37,38},1,FIND(MID($B259,2,1),"ABCDEFGHIJKLMNOPQRSTUVWXYZ")),"")</f>
        <v/>
      </c>
      <c r="I259">
        <f>IF($F259=1,INDEX({10,12,13,14,15,16,17,18,19,20,21,23,24,25,26,27,28,29,30,31,32,34,35,36,37,38},1,FIND(MID($B259,3,1),"ABCDEFGHIJKLMNOPQRSTUVWXYZ")),"")</f>
        <v/>
      </c>
      <c r="J259">
        <f>IF($F259=1,INDEX({10,12,13,14,15,16,17,18,19,20,21,23,24,25,26,27,28,29,30,31,32,34,35,36,37,38},1,FIND(MID($B259,4,1),"ABCDEFGHIJKLMNOPQRSTUVWXYZ")),"")</f>
        <v/>
      </c>
      <c r="K259">
        <f>IF($F259=1,FIND(MID($B259,5,1),"0123456789")-1,"")</f>
        <v/>
      </c>
      <c r="L259">
        <f>IF($F259=1,FIND(MID($B259,6,1),"0123456789")-1,"")</f>
        <v/>
      </c>
      <c r="M259">
        <f>IF($F259=1,FIND(MID($B259,7,1),"0123456789")-1,"")</f>
        <v/>
      </c>
      <c r="N259">
        <f>IF($F259=1,FIND(MID($B259,8,1),"0123456789")-1,"")</f>
        <v/>
      </c>
      <c r="O259">
        <f>IF($F259=1,FIND(MID($B259,9,1),"0123456789")-1,"")</f>
        <v/>
      </c>
      <c r="P259">
        <f>IF($F259=1,FIND(MID($B259,10,1),"0123456789")-1,"")</f>
        <v/>
      </c>
      <c r="Q259">
        <f>IF($F259=1,SUMPRODUCT($G259:$P259,{1,2,4,8,16,32,64,128,256,512}),"")</f>
        <v/>
      </c>
      <c r="R259">
        <f>IF($F259=1,MOD(MOD($Q259,11),10),"")</f>
        <v/>
      </c>
    </row>
    <row r="260">
      <c r="A260" s="6" t="n"/>
      <c r="B260" s="7">
        <f>IF($A260="","",UPPER(SUBSTITUTE(SUBSTITUTE(SUBSTITUTE(SUBSTITUTE(SUBSTITUTE(SUBSTITUTE($A260," ",""),"-",""),".",""),"/",""),"i","I"),"ı","?")))</f>
        <v/>
      </c>
      <c r="C260" s="8">
        <f>IF($F260=1,$R260,"")</f>
        <v/>
      </c>
      <c r="D260" s="7">
        <f>IF($A260="","",IF($F260=0,"Biçim hatalı",IF(FIND(MID($B260,11,1),"0123456789")-1=$R260,"Geçerli","Kontrol hanesi hatalı (doğrusu: "&amp;$R260&amp;")")))</f>
        <v/>
      </c>
      <c r="F260">
        <f>IF($A260="","",IF(AND(LEN($B260)=11,SUMPRODUCT(--ISNUMBER(FIND(MID($B260,{1,2,3},1),"ABCDEFGHIJKLMNOPQRSTUVWXYZ")))=3,ISNUMBER(FIND(MID($B260,4,1),"UJZ")),SUMPRODUCT(--ISNUMBER(FIND(MID($B260,{5,6,7,8,9,10,11},1),"0123456789")))=7),1,0))</f>
        <v/>
      </c>
      <c r="G260">
        <f>IF($F260=1,INDEX({10,12,13,14,15,16,17,18,19,20,21,23,24,25,26,27,28,29,30,31,32,34,35,36,37,38},1,FIND(MID($B260,1,1),"ABCDEFGHIJKLMNOPQRSTUVWXYZ")),"")</f>
        <v/>
      </c>
      <c r="H260">
        <f>IF($F260=1,INDEX({10,12,13,14,15,16,17,18,19,20,21,23,24,25,26,27,28,29,30,31,32,34,35,36,37,38},1,FIND(MID($B260,2,1),"ABCDEFGHIJKLMNOPQRSTUVWXYZ")),"")</f>
        <v/>
      </c>
      <c r="I260">
        <f>IF($F260=1,INDEX({10,12,13,14,15,16,17,18,19,20,21,23,24,25,26,27,28,29,30,31,32,34,35,36,37,38},1,FIND(MID($B260,3,1),"ABCDEFGHIJKLMNOPQRSTUVWXYZ")),"")</f>
        <v/>
      </c>
      <c r="J260">
        <f>IF($F260=1,INDEX({10,12,13,14,15,16,17,18,19,20,21,23,24,25,26,27,28,29,30,31,32,34,35,36,37,38},1,FIND(MID($B260,4,1),"ABCDEFGHIJKLMNOPQRSTUVWXYZ")),"")</f>
        <v/>
      </c>
      <c r="K260">
        <f>IF($F260=1,FIND(MID($B260,5,1),"0123456789")-1,"")</f>
        <v/>
      </c>
      <c r="L260">
        <f>IF($F260=1,FIND(MID($B260,6,1),"0123456789")-1,"")</f>
        <v/>
      </c>
      <c r="M260">
        <f>IF($F260=1,FIND(MID($B260,7,1),"0123456789")-1,"")</f>
        <v/>
      </c>
      <c r="N260">
        <f>IF($F260=1,FIND(MID($B260,8,1),"0123456789")-1,"")</f>
        <v/>
      </c>
      <c r="O260">
        <f>IF($F260=1,FIND(MID($B260,9,1),"0123456789")-1,"")</f>
        <v/>
      </c>
      <c r="P260">
        <f>IF($F260=1,FIND(MID($B260,10,1),"0123456789")-1,"")</f>
        <v/>
      </c>
      <c r="Q260">
        <f>IF($F260=1,SUMPRODUCT($G260:$P260,{1,2,4,8,16,32,64,128,256,512}),"")</f>
        <v/>
      </c>
      <c r="R260">
        <f>IF($F260=1,MOD(MOD($Q260,11),10),"")</f>
        <v/>
      </c>
    </row>
    <row r="261">
      <c r="A261" s="6" t="n"/>
      <c r="B261" s="7">
        <f>IF($A261="","",UPPER(SUBSTITUTE(SUBSTITUTE(SUBSTITUTE(SUBSTITUTE(SUBSTITUTE(SUBSTITUTE($A261," ",""),"-",""),".",""),"/",""),"i","I"),"ı","?")))</f>
        <v/>
      </c>
      <c r="C261" s="8">
        <f>IF($F261=1,$R261,"")</f>
        <v/>
      </c>
      <c r="D261" s="7">
        <f>IF($A261="","",IF($F261=0,"Biçim hatalı",IF(FIND(MID($B261,11,1),"0123456789")-1=$R261,"Geçerli","Kontrol hanesi hatalı (doğrusu: "&amp;$R261&amp;")")))</f>
        <v/>
      </c>
      <c r="F261">
        <f>IF($A261="","",IF(AND(LEN($B261)=11,SUMPRODUCT(--ISNUMBER(FIND(MID($B261,{1,2,3},1),"ABCDEFGHIJKLMNOPQRSTUVWXYZ")))=3,ISNUMBER(FIND(MID($B261,4,1),"UJZ")),SUMPRODUCT(--ISNUMBER(FIND(MID($B261,{5,6,7,8,9,10,11},1),"0123456789")))=7),1,0))</f>
        <v/>
      </c>
      <c r="G261">
        <f>IF($F261=1,INDEX({10,12,13,14,15,16,17,18,19,20,21,23,24,25,26,27,28,29,30,31,32,34,35,36,37,38},1,FIND(MID($B261,1,1),"ABCDEFGHIJKLMNOPQRSTUVWXYZ")),"")</f>
        <v/>
      </c>
      <c r="H261">
        <f>IF($F261=1,INDEX({10,12,13,14,15,16,17,18,19,20,21,23,24,25,26,27,28,29,30,31,32,34,35,36,37,38},1,FIND(MID($B261,2,1),"ABCDEFGHIJKLMNOPQRSTUVWXYZ")),"")</f>
        <v/>
      </c>
      <c r="I261">
        <f>IF($F261=1,INDEX({10,12,13,14,15,16,17,18,19,20,21,23,24,25,26,27,28,29,30,31,32,34,35,36,37,38},1,FIND(MID($B261,3,1),"ABCDEFGHIJKLMNOPQRSTUVWXYZ")),"")</f>
        <v/>
      </c>
      <c r="J261">
        <f>IF($F261=1,INDEX({10,12,13,14,15,16,17,18,19,20,21,23,24,25,26,27,28,29,30,31,32,34,35,36,37,38},1,FIND(MID($B261,4,1),"ABCDEFGHIJKLMNOPQRSTUVWXYZ")),"")</f>
        <v/>
      </c>
      <c r="K261">
        <f>IF($F261=1,FIND(MID($B261,5,1),"0123456789")-1,"")</f>
        <v/>
      </c>
      <c r="L261">
        <f>IF($F261=1,FIND(MID($B261,6,1),"0123456789")-1,"")</f>
        <v/>
      </c>
      <c r="M261">
        <f>IF($F261=1,FIND(MID($B261,7,1),"0123456789")-1,"")</f>
        <v/>
      </c>
      <c r="N261">
        <f>IF($F261=1,FIND(MID($B261,8,1),"0123456789")-1,"")</f>
        <v/>
      </c>
      <c r="O261">
        <f>IF($F261=1,FIND(MID($B261,9,1),"0123456789")-1,"")</f>
        <v/>
      </c>
      <c r="P261">
        <f>IF($F261=1,FIND(MID($B261,10,1),"0123456789")-1,"")</f>
        <v/>
      </c>
      <c r="Q261">
        <f>IF($F261=1,SUMPRODUCT($G261:$P261,{1,2,4,8,16,32,64,128,256,512}),"")</f>
        <v/>
      </c>
      <c r="R261">
        <f>IF($F261=1,MOD(MOD($Q261,11),10),"")</f>
        <v/>
      </c>
    </row>
    <row r="262">
      <c r="A262" s="6" t="n"/>
      <c r="B262" s="7">
        <f>IF($A262="","",UPPER(SUBSTITUTE(SUBSTITUTE(SUBSTITUTE(SUBSTITUTE(SUBSTITUTE(SUBSTITUTE($A262," ",""),"-",""),".",""),"/",""),"i","I"),"ı","?")))</f>
        <v/>
      </c>
      <c r="C262" s="8">
        <f>IF($F262=1,$R262,"")</f>
        <v/>
      </c>
      <c r="D262" s="7">
        <f>IF($A262="","",IF($F262=0,"Biçim hatalı",IF(FIND(MID($B262,11,1),"0123456789")-1=$R262,"Geçerli","Kontrol hanesi hatalı (doğrusu: "&amp;$R262&amp;")")))</f>
        <v/>
      </c>
      <c r="F262">
        <f>IF($A262="","",IF(AND(LEN($B262)=11,SUMPRODUCT(--ISNUMBER(FIND(MID($B262,{1,2,3},1),"ABCDEFGHIJKLMNOPQRSTUVWXYZ")))=3,ISNUMBER(FIND(MID($B262,4,1),"UJZ")),SUMPRODUCT(--ISNUMBER(FIND(MID($B262,{5,6,7,8,9,10,11},1),"0123456789")))=7),1,0))</f>
        <v/>
      </c>
      <c r="G262">
        <f>IF($F262=1,INDEX({10,12,13,14,15,16,17,18,19,20,21,23,24,25,26,27,28,29,30,31,32,34,35,36,37,38},1,FIND(MID($B262,1,1),"ABCDEFGHIJKLMNOPQRSTUVWXYZ")),"")</f>
        <v/>
      </c>
      <c r="H262">
        <f>IF($F262=1,INDEX({10,12,13,14,15,16,17,18,19,20,21,23,24,25,26,27,28,29,30,31,32,34,35,36,37,38},1,FIND(MID($B262,2,1),"ABCDEFGHIJKLMNOPQRSTUVWXYZ")),"")</f>
        <v/>
      </c>
      <c r="I262">
        <f>IF($F262=1,INDEX({10,12,13,14,15,16,17,18,19,20,21,23,24,25,26,27,28,29,30,31,32,34,35,36,37,38},1,FIND(MID($B262,3,1),"ABCDEFGHIJKLMNOPQRSTUVWXYZ")),"")</f>
        <v/>
      </c>
      <c r="J262">
        <f>IF($F262=1,INDEX({10,12,13,14,15,16,17,18,19,20,21,23,24,25,26,27,28,29,30,31,32,34,35,36,37,38},1,FIND(MID($B262,4,1),"ABCDEFGHIJKLMNOPQRSTUVWXYZ")),"")</f>
        <v/>
      </c>
      <c r="K262">
        <f>IF($F262=1,FIND(MID($B262,5,1),"0123456789")-1,"")</f>
        <v/>
      </c>
      <c r="L262">
        <f>IF($F262=1,FIND(MID($B262,6,1),"0123456789")-1,"")</f>
        <v/>
      </c>
      <c r="M262">
        <f>IF($F262=1,FIND(MID($B262,7,1),"0123456789")-1,"")</f>
        <v/>
      </c>
      <c r="N262">
        <f>IF($F262=1,FIND(MID($B262,8,1),"0123456789")-1,"")</f>
        <v/>
      </c>
      <c r="O262">
        <f>IF($F262=1,FIND(MID($B262,9,1),"0123456789")-1,"")</f>
        <v/>
      </c>
      <c r="P262">
        <f>IF($F262=1,FIND(MID($B262,10,1),"0123456789")-1,"")</f>
        <v/>
      </c>
      <c r="Q262">
        <f>IF($F262=1,SUMPRODUCT($G262:$P262,{1,2,4,8,16,32,64,128,256,512}),"")</f>
        <v/>
      </c>
      <c r="R262">
        <f>IF($F262=1,MOD(MOD($Q262,11),10),"")</f>
        <v/>
      </c>
    </row>
    <row r="263">
      <c r="A263" s="6" t="n"/>
      <c r="B263" s="7">
        <f>IF($A263="","",UPPER(SUBSTITUTE(SUBSTITUTE(SUBSTITUTE(SUBSTITUTE(SUBSTITUTE(SUBSTITUTE($A263," ",""),"-",""),".",""),"/",""),"i","I"),"ı","?")))</f>
        <v/>
      </c>
      <c r="C263" s="8">
        <f>IF($F263=1,$R263,"")</f>
        <v/>
      </c>
      <c r="D263" s="7">
        <f>IF($A263="","",IF($F263=0,"Biçim hatalı",IF(FIND(MID($B263,11,1),"0123456789")-1=$R263,"Geçerli","Kontrol hanesi hatalı (doğrusu: "&amp;$R263&amp;")")))</f>
        <v/>
      </c>
      <c r="F263">
        <f>IF($A263="","",IF(AND(LEN($B263)=11,SUMPRODUCT(--ISNUMBER(FIND(MID($B263,{1,2,3},1),"ABCDEFGHIJKLMNOPQRSTUVWXYZ")))=3,ISNUMBER(FIND(MID($B263,4,1),"UJZ")),SUMPRODUCT(--ISNUMBER(FIND(MID($B263,{5,6,7,8,9,10,11},1),"0123456789")))=7),1,0))</f>
        <v/>
      </c>
      <c r="G263">
        <f>IF($F263=1,INDEX({10,12,13,14,15,16,17,18,19,20,21,23,24,25,26,27,28,29,30,31,32,34,35,36,37,38},1,FIND(MID($B263,1,1),"ABCDEFGHIJKLMNOPQRSTUVWXYZ")),"")</f>
        <v/>
      </c>
      <c r="H263">
        <f>IF($F263=1,INDEX({10,12,13,14,15,16,17,18,19,20,21,23,24,25,26,27,28,29,30,31,32,34,35,36,37,38},1,FIND(MID($B263,2,1),"ABCDEFGHIJKLMNOPQRSTUVWXYZ")),"")</f>
        <v/>
      </c>
      <c r="I263">
        <f>IF($F263=1,INDEX({10,12,13,14,15,16,17,18,19,20,21,23,24,25,26,27,28,29,30,31,32,34,35,36,37,38},1,FIND(MID($B263,3,1),"ABCDEFGHIJKLMNOPQRSTUVWXYZ")),"")</f>
        <v/>
      </c>
      <c r="J263">
        <f>IF($F263=1,INDEX({10,12,13,14,15,16,17,18,19,20,21,23,24,25,26,27,28,29,30,31,32,34,35,36,37,38},1,FIND(MID($B263,4,1),"ABCDEFGHIJKLMNOPQRSTUVWXYZ")),"")</f>
        <v/>
      </c>
      <c r="K263">
        <f>IF($F263=1,FIND(MID($B263,5,1),"0123456789")-1,"")</f>
        <v/>
      </c>
      <c r="L263">
        <f>IF($F263=1,FIND(MID($B263,6,1),"0123456789")-1,"")</f>
        <v/>
      </c>
      <c r="M263">
        <f>IF($F263=1,FIND(MID($B263,7,1),"0123456789")-1,"")</f>
        <v/>
      </c>
      <c r="N263">
        <f>IF($F263=1,FIND(MID($B263,8,1),"0123456789")-1,"")</f>
        <v/>
      </c>
      <c r="O263">
        <f>IF($F263=1,FIND(MID($B263,9,1),"0123456789")-1,"")</f>
        <v/>
      </c>
      <c r="P263">
        <f>IF($F263=1,FIND(MID($B263,10,1),"0123456789")-1,"")</f>
        <v/>
      </c>
      <c r="Q263">
        <f>IF($F263=1,SUMPRODUCT($G263:$P263,{1,2,4,8,16,32,64,128,256,512}),"")</f>
        <v/>
      </c>
      <c r="R263">
        <f>IF($F263=1,MOD(MOD($Q263,11),10),"")</f>
        <v/>
      </c>
    </row>
    <row r="264">
      <c r="A264" s="6" t="n"/>
      <c r="B264" s="7">
        <f>IF($A264="","",UPPER(SUBSTITUTE(SUBSTITUTE(SUBSTITUTE(SUBSTITUTE(SUBSTITUTE(SUBSTITUTE($A264," ",""),"-",""),".",""),"/",""),"i","I"),"ı","?")))</f>
        <v/>
      </c>
      <c r="C264" s="8">
        <f>IF($F264=1,$R264,"")</f>
        <v/>
      </c>
      <c r="D264" s="7">
        <f>IF($A264="","",IF($F264=0,"Biçim hatalı",IF(FIND(MID($B264,11,1),"0123456789")-1=$R264,"Geçerli","Kontrol hanesi hatalı (doğrusu: "&amp;$R264&amp;")")))</f>
        <v/>
      </c>
      <c r="F264">
        <f>IF($A264="","",IF(AND(LEN($B264)=11,SUMPRODUCT(--ISNUMBER(FIND(MID($B264,{1,2,3},1),"ABCDEFGHIJKLMNOPQRSTUVWXYZ")))=3,ISNUMBER(FIND(MID($B264,4,1),"UJZ")),SUMPRODUCT(--ISNUMBER(FIND(MID($B264,{5,6,7,8,9,10,11},1),"0123456789")))=7),1,0))</f>
        <v/>
      </c>
      <c r="G264">
        <f>IF($F264=1,INDEX({10,12,13,14,15,16,17,18,19,20,21,23,24,25,26,27,28,29,30,31,32,34,35,36,37,38},1,FIND(MID($B264,1,1),"ABCDEFGHIJKLMNOPQRSTUVWXYZ")),"")</f>
        <v/>
      </c>
      <c r="H264">
        <f>IF($F264=1,INDEX({10,12,13,14,15,16,17,18,19,20,21,23,24,25,26,27,28,29,30,31,32,34,35,36,37,38},1,FIND(MID($B264,2,1),"ABCDEFGHIJKLMNOPQRSTUVWXYZ")),"")</f>
        <v/>
      </c>
      <c r="I264">
        <f>IF($F264=1,INDEX({10,12,13,14,15,16,17,18,19,20,21,23,24,25,26,27,28,29,30,31,32,34,35,36,37,38},1,FIND(MID($B264,3,1),"ABCDEFGHIJKLMNOPQRSTUVWXYZ")),"")</f>
        <v/>
      </c>
      <c r="J264">
        <f>IF($F264=1,INDEX({10,12,13,14,15,16,17,18,19,20,21,23,24,25,26,27,28,29,30,31,32,34,35,36,37,38},1,FIND(MID($B264,4,1),"ABCDEFGHIJKLMNOPQRSTUVWXYZ")),"")</f>
        <v/>
      </c>
      <c r="K264">
        <f>IF($F264=1,FIND(MID($B264,5,1),"0123456789")-1,"")</f>
        <v/>
      </c>
      <c r="L264">
        <f>IF($F264=1,FIND(MID($B264,6,1),"0123456789")-1,"")</f>
        <v/>
      </c>
      <c r="M264">
        <f>IF($F264=1,FIND(MID($B264,7,1),"0123456789")-1,"")</f>
        <v/>
      </c>
      <c r="N264">
        <f>IF($F264=1,FIND(MID($B264,8,1),"0123456789")-1,"")</f>
        <v/>
      </c>
      <c r="O264">
        <f>IF($F264=1,FIND(MID($B264,9,1),"0123456789")-1,"")</f>
        <v/>
      </c>
      <c r="P264">
        <f>IF($F264=1,FIND(MID($B264,10,1),"0123456789")-1,"")</f>
        <v/>
      </c>
      <c r="Q264">
        <f>IF($F264=1,SUMPRODUCT($G264:$P264,{1,2,4,8,16,32,64,128,256,512}),"")</f>
        <v/>
      </c>
      <c r="R264">
        <f>IF($F264=1,MOD(MOD($Q264,11),10),"")</f>
        <v/>
      </c>
    </row>
    <row r="265">
      <c r="A265" s="6" t="n"/>
      <c r="B265" s="7">
        <f>IF($A265="","",UPPER(SUBSTITUTE(SUBSTITUTE(SUBSTITUTE(SUBSTITUTE(SUBSTITUTE(SUBSTITUTE($A265," ",""),"-",""),".",""),"/",""),"i","I"),"ı","?")))</f>
        <v/>
      </c>
      <c r="C265" s="8">
        <f>IF($F265=1,$R265,"")</f>
        <v/>
      </c>
      <c r="D265" s="7">
        <f>IF($A265="","",IF($F265=0,"Biçim hatalı",IF(FIND(MID($B265,11,1),"0123456789")-1=$R265,"Geçerli","Kontrol hanesi hatalı (doğrusu: "&amp;$R265&amp;")")))</f>
        <v/>
      </c>
      <c r="F265">
        <f>IF($A265="","",IF(AND(LEN($B265)=11,SUMPRODUCT(--ISNUMBER(FIND(MID($B265,{1,2,3},1),"ABCDEFGHIJKLMNOPQRSTUVWXYZ")))=3,ISNUMBER(FIND(MID($B265,4,1),"UJZ")),SUMPRODUCT(--ISNUMBER(FIND(MID($B265,{5,6,7,8,9,10,11},1),"0123456789")))=7),1,0))</f>
        <v/>
      </c>
      <c r="G265">
        <f>IF($F265=1,INDEX({10,12,13,14,15,16,17,18,19,20,21,23,24,25,26,27,28,29,30,31,32,34,35,36,37,38},1,FIND(MID($B265,1,1),"ABCDEFGHIJKLMNOPQRSTUVWXYZ")),"")</f>
        <v/>
      </c>
      <c r="H265">
        <f>IF($F265=1,INDEX({10,12,13,14,15,16,17,18,19,20,21,23,24,25,26,27,28,29,30,31,32,34,35,36,37,38},1,FIND(MID($B265,2,1),"ABCDEFGHIJKLMNOPQRSTUVWXYZ")),"")</f>
        <v/>
      </c>
      <c r="I265">
        <f>IF($F265=1,INDEX({10,12,13,14,15,16,17,18,19,20,21,23,24,25,26,27,28,29,30,31,32,34,35,36,37,38},1,FIND(MID($B265,3,1),"ABCDEFGHIJKLMNOPQRSTUVWXYZ")),"")</f>
        <v/>
      </c>
      <c r="J265">
        <f>IF($F265=1,INDEX({10,12,13,14,15,16,17,18,19,20,21,23,24,25,26,27,28,29,30,31,32,34,35,36,37,38},1,FIND(MID($B265,4,1),"ABCDEFGHIJKLMNOPQRSTUVWXYZ")),"")</f>
        <v/>
      </c>
      <c r="K265">
        <f>IF($F265=1,FIND(MID($B265,5,1),"0123456789")-1,"")</f>
        <v/>
      </c>
      <c r="L265">
        <f>IF($F265=1,FIND(MID($B265,6,1),"0123456789")-1,"")</f>
        <v/>
      </c>
      <c r="M265">
        <f>IF($F265=1,FIND(MID($B265,7,1),"0123456789")-1,"")</f>
        <v/>
      </c>
      <c r="N265">
        <f>IF($F265=1,FIND(MID($B265,8,1),"0123456789")-1,"")</f>
        <v/>
      </c>
      <c r="O265">
        <f>IF($F265=1,FIND(MID($B265,9,1),"0123456789")-1,"")</f>
        <v/>
      </c>
      <c r="P265">
        <f>IF($F265=1,FIND(MID($B265,10,1),"0123456789")-1,"")</f>
        <v/>
      </c>
      <c r="Q265">
        <f>IF($F265=1,SUMPRODUCT($G265:$P265,{1,2,4,8,16,32,64,128,256,512}),"")</f>
        <v/>
      </c>
      <c r="R265">
        <f>IF($F265=1,MOD(MOD($Q265,11),10),"")</f>
        <v/>
      </c>
    </row>
    <row r="266">
      <c r="A266" s="6" t="n"/>
      <c r="B266" s="7">
        <f>IF($A266="","",UPPER(SUBSTITUTE(SUBSTITUTE(SUBSTITUTE(SUBSTITUTE(SUBSTITUTE(SUBSTITUTE($A266," ",""),"-",""),".",""),"/",""),"i","I"),"ı","?")))</f>
        <v/>
      </c>
      <c r="C266" s="8">
        <f>IF($F266=1,$R266,"")</f>
        <v/>
      </c>
      <c r="D266" s="7">
        <f>IF($A266="","",IF($F266=0,"Biçim hatalı",IF(FIND(MID($B266,11,1),"0123456789")-1=$R266,"Geçerli","Kontrol hanesi hatalı (doğrusu: "&amp;$R266&amp;")")))</f>
        <v/>
      </c>
      <c r="F266">
        <f>IF($A266="","",IF(AND(LEN($B266)=11,SUMPRODUCT(--ISNUMBER(FIND(MID($B266,{1,2,3},1),"ABCDEFGHIJKLMNOPQRSTUVWXYZ")))=3,ISNUMBER(FIND(MID($B266,4,1),"UJZ")),SUMPRODUCT(--ISNUMBER(FIND(MID($B266,{5,6,7,8,9,10,11},1),"0123456789")))=7),1,0))</f>
        <v/>
      </c>
      <c r="G266">
        <f>IF($F266=1,INDEX({10,12,13,14,15,16,17,18,19,20,21,23,24,25,26,27,28,29,30,31,32,34,35,36,37,38},1,FIND(MID($B266,1,1),"ABCDEFGHIJKLMNOPQRSTUVWXYZ")),"")</f>
        <v/>
      </c>
      <c r="H266">
        <f>IF($F266=1,INDEX({10,12,13,14,15,16,17,18,19,20,21,23,24,25,26,27,28,29,30,31,32,34,35,36,37,38},1,FIND(MID($B266,2,1),"ABCDEFGHIJKLMNOPQRSTUVWXYZ")),"")</f>
        <v/>
      </c>
      <c r="I266">
        <f>IF($F266=1,INDEX({10,12,13,14,15,16,17,18,19,20,21,23,24,25,26,27,28,29,30,31,32,34,35,36,37,38},1,FIND(MID($B266,3,1),"ABCDEFGHIJKLMNOPQRSTUVWXYZ")),"")</f>
        <v/>
      </c>
      <c r="J266">
        <f>IF($F266=1,INDEX({10,12,13,14,15,16,17,18,19,20,21,23,24,25,26,27,28,29,30,31,32,34,35,36,37,38},1,FIND(MID($B266,4,1),"ABCDEFGHIJKLMNOPQRSTUVWXYZ")),"")</f>
        <v/>
      </c>
      <c r="K266">
        <f>IF($F266=1,FIND(MID($B266,5,1),"0123456789")-1,"")</f>
        <v/>
      </c>
      <c r="L266">
        <f>IF($F266=1,FIND(MID($B266,6,1),"0123456789")-1,"")</f>
        <v/>
      </c>
      <c r="M266">
        <f>IF($F266=1,FIND(MID($B266,7,1),"0123456789")-1,"")</f>
        <v/>
      </c>
      <c r="N266">
        <f>IF($F266=1,FIND(MID($B266,8,1),"0123456789")-1,"")</f>
        <v/>
      </c>
      <c r="O266">
        <f>IF($F266=1,FIND(MID($B266,9,1),"0123456789")-1,"")</f>
        <v/>
      </c>
      <c r="P266">
        <f>IF($F266=1,FIND(MID($B266,10,1),"0123456789")-1,"")</f>
        <v/>
      </c>
      <c r="Q266">
        <f>IF($F266=1,SUMPRODUCT($G266:$P266,{1,2,4,8,16,32,64,128,256,512}),"")</f>
        <v/>
      </c>
      <c r="R266">
        <f>IF($F266=1,MOD(MOD($Q266,11),10),"")</f>
        <v/>
      </c>
    </row>
    <row r="267">
      <c r="A267" s="6" t="n"/>
      <c r="B267" s="7">
        <f>IF($A267="","",UPPER(SUBSTITUTE(SUBSTITUTE(SUBSTITUTE(SUBSTITUTE(SUBSTITUTE(SUBSTITUTE($A267," ",""),"-",""),".",""),"/",""),"i","I"),"ı","?")))</f>
        <v/>
      </c>
      <c r="C267" s="8">
        <f>IF($F267=1,$R267,"")</f>
        <v/>
      </c>
      <c r="D267" s="7">
        <f>IF($A267="","",IF($F267=0,"Biçim hatalı",IF(FIND(MID($B267,11,1),"0123456789")-1=$R267,"Geçerli","Kontrol hanesi hatalı (doğrusu: "&amp;$R267&amp;")")))</f>
        <v/>
      </c>
      <c r="F267">
        <f>IF($A267="","",IF(AND(LEN($B267)=11,SUMPRODUCT(--ISNUMBER(FIND(MID($B267,{1,2,3},1),"ABCDEFGHIJKLMNOPQRSTUVWXYZ")))=3,ISNUMBER(FIND(MID($B267,4,1),"UJZ")),SUMPRODUCT(--ISNUMBER(FIND(MID($B267,{5,6,7,8,9,10,11},1),"0123456789")))=7),1,0))</f>
        <v/>
      </c>
      <c r="G267">
        <f>IF($F267=1,INDEX({10,12,13,14,15,16,17,18,19,20,21,23,24,25,26,27,28,29,30,31,32,34,35,36,37,38},1,FIND(MID($B267,1,1),"ABCDEFGHIJKLMNOPQRSTUVWXYZ")),"")</f>
        <v/>
      </c>
      <c r="H267">
        <f>IF($F267=1,INDEX({10,12,13,14,15,16,17,18,19,20,21,23,24,25,26,27,28,29,30,31,32,34,35,36,37,38},1,FIND(MID($B267,2,1),"ABCDEFGHIJKLMNOPQRSTUVWXYZ")),"")</f>
        <v/>
      </c>
      <c r="I267">
        <f>IF($F267=1,INDEX({10,12,13,14,15,16,17,18,19,20,21,23,24,25,26,27,28,29,30,31,32,34,35,36,37,38},1,FIND(MID($B267,3,1),"ABCDEFGHIJKLMNOPQRSTUVWXYZ")),"")</f>
        <v/>
      </c>
      <c r="J267">
        <f>IF($F267=1,INDEX({10,12,13,14,15,16,17,18,19,20,21,23,24,25,26,27,28,29,30,31,32,34,35,36,37,38},1,FIND(MID($B267,4,1),"ABCDEFGHIJKLMNOPQRSTUVWXYZ")),"")</f>
        <v/>
      </c>
      <c r="K267">
        <f>IF($F267=1,FIND(MID($B267,5,1),"0123456789")-1,"")</f>
        <v/>
      </c>
      <c r="L267">
        <f>IF($F267=1,FIND(MID($B267,6,1),"0123456789")-1,"")</f>
        <v/>
      </c>
      <c r="M267">
        <f>IF($F267=1,FIND(MID($B267,7,1),"0123456789")-1,"")</f>
        <v/>
      </c>
      <c r="N267">
        <f>IF($F267=1,FIND(MID($B267,8,1),"0123456789")-1,"")</f>
        <v/>
      </c>
      <c r="O267">
        <f>IF($F267=1,FIND(MID($B267,9,1),"0123456789")-1,"")</f>
        <v/>
      </c>
      <c r="P267">
        <f>IF($F267=1,FIND(MID($B267,10,1),"0123456789")-1,"")</f>
        <v/>
      </c>
      <c r="Q267">
        <f>IF($F267=1,SUMPRODUCT($G267:$P267,{1,2,4,8,16,32,64,128,256,512}),"")</f>
        <v/>
      </c>
      <c r="R267">
        <f>IF($F267=1,MOD(MOD($Q267,11),10),"")</f>
        <v/>
      </c>
    </row>
    <row r="268">
      <c r="A268" s="6" t="n"/>
      <c r="B268" s="7">
        <f>IF($A268="","",UPPER(SUBSTITUTE(SUBSTITUTE(SUBSTITUTE(SUBSTITUTE(SUBSTITUTE(SUBSTITUTE($A268," ",""),"-",""),".",""),"/",""),"i","I"),"ı","?")))</f>
        <v/>
      </c>
      <c r="C268" s="8">
        <f>IF($F268=1,$R268,"")</f>
        <v/>
      </c>
      <c r="D268" s="7">
        <f>IF($A268="","",IF($F268=0,"Biçim hatalı",IF(FIND(MID($B268,11,1),"0123456789")-1=$R268,"Geçerli","Kontrol hanesi hatalı (doğrusu: "&amp;$R268&amp;")")))</f>
        <v/>
      </c>
      <c r="F268">
        <f>IF($A268="","",IF(AND(LEN($B268)=11,SUMPRODUCT(--ISNUMBER(FIND(MID($B268,{1,2,3},1),"ABCDEFGHIJKLMNOPQRSTUVWXYZ")))=3,ISNUMBER(FIND(MID($B268,4,1),"UJZ")),SUMPRODUCT(--ISNUMBER(FIND(MID($B268,{5,6,7,8,9,10,11},1),"0123456789")))=7),1,0))</f>
        <v/>
      </c>
      <c r="G268">
        <f>IF($F268=1,INDEX({10,12,13,14,15,16,17,18,19,20,21,23,24,25,26,27,28,29,30,31,32,34,35,36,37,38},1,FIND(MID($B268,1,1),"ABCDEFGHIJKLMNOPQRSTUVWXYZ")),"")</f>
        <v/>
      </c>
      <c r="H268">
        <f>IF($F268=1,INDEX({10,12,13,14,15,16,17,18,19,20,21,23,24,25,26,27,28,29,30,31,32,34,35,36,37,38},1,FIND(MID($B268,2,1),"ABCDEFGHIJKLMNOPQRSTUVWXYZ")),"")</f>
        <v/>
      </c>
      <c r="I268">
        <f>IF($F268=1,INDEX({10,12,13,14,15,16,17,18,19,20,21,23,24,25,26,27,28,29,30,31,32,34,35,36,37,38},1,FIND(MID($B268,3,1),"ABCDEFGHIJKLMNOPQRSTUVWXYZ")),"")</f>
        <v/>
      </c>
      <c r="J268">
        <f>IF($F268=1,INDEX({10,12,13,14,15,16,17,18,19,20,21,23,24,25,26,27,28,29,30,31,32,34,35,36,37,38},1,FIND(MID($B268,4,1),"ABCDEFGHIJKLMNOPQRSTUVWXYZ")),"")</f>
        <v/>
      </c>
      <c r="K268">
        <f>IF($F268=1,FIND(MID($B268,5,1),"0123456789")-1,"")</f>
        <v/>
      </c>
      <c r="L268">
        <f>IF($F268=1,FIND(MID($B268,6,1),"0123456789")-1,"")</f>
        <v/>
      </c>
      <c r="M268">
        <f>IF($F268=1,FIND(MID($B268,7,1),"0123456789")-1,"")</f>
        <v/>
      </c>
      <c r="N268">
        <f>IF($F268=1,FIND(MID($B268,8,1),"0123456789")-1,"")</f>
        <v/>
      </c>
      <c r="O268">
        <f>IF($F268=1,FIND(MID($B268,9,1),"0123456789")-1,"")</f>
        <v/>
      </c>
      <c r="P268">
        <f>IF($F268=1,FIND(MID($B268,10,1),"0123456789")-1,"")</f>
        <v/>
      </c>
      <c r="Q268">
        <f>IF($F268=1,SUMPRODUCT($G268:$P268,{1,2,4,8,16,32,64,128,256,512}),"")</f>
        <v/>
      </c>
      <c r="R268">
        <f>IF($F268=1,MOD(MOD($Q268,11),10),"")</f>
        <v/>
      </c>
    </row>
    <row r="269">
      <c r="A269" s="6" t="n"/>
      <c r="B269" s="7">
        <f>IF($A269="","",UPPER(SUBSTITUTE(SUBSTITUTE(SUBSTITUTE(SUBSTITUTE(SUBSTITUTE(SUBSTITUTE($A269," ",""),"-",""),".",""),"/",""),"i","I"),"ı","?")))</f>
        <v/>
      </c>
      <c r="C269" s="8">
        <f>IF($F269=1,$R269,"")</f>
        <v/>
      </c>
      <c r="D269" s="7">
        <f>IF($A269="","",IF($F269=0,"Biçim hatalı",IF(FIND(MID($B269,11,1),"0123456789")-1=$R269,"Geçerli","Kontrol hanesi hatalı (doğrusu: "&amp;$R269&amp;")")))</f>
        <v/>
      </c>
      <c r="F269">
        <f>IF($A269="","",IF(AND(LEN($B269)=11,SUMPRODUCT(--ISNUMBER(FIND(MID($B269,{1,2,3},1),"ABCDEFGHIJKLMNOPQRSTUVWXYZ")))=3,ISNUMBER(FIND(MID($B269,4,1),"UJZ")),SUMPRODUCT(--ISNUMBER(FIND(MID($B269,{5,6,7,8,9,10,11},1),"0123456789")))=7),1,0))</f>
        <v/>
      </c>
      <c r="G269">
        <f>IF($F269=1,INDEX({10,12,13,14,15,16,17,18,19,20,21,23,24,25,26,27,28,29,30,31,32,34,35,36,37,38},1,FIND(MID($B269,1,1),"ABCDEFGHIJKLMNOPQRSTUVWXYZ")),"")</f>
        <v/>
      </c>
      <c r="H269">
        <f>IF($F269=1,INDEX({10,12,13,14,15,16,17,18,19,20,21,23,24,25,26,27,28,29,30,31,32,34,35,36,37,38},1,FIND(MID($B269,2,1),"ABCDEFGHIJKLMNOPQRSTUVWXYZ")),"")</f>
        <v/>
      </c>
      <c r="I269">
        <f>IF($F269=1,INDEX({10,12,13,14,15,16,17,18,19,20,21,23,24,25,26,27,28,29,30,31,32,34,35,36,37,38},1,FIND(MID($B269,3,1),"ABCDEFGHIJKLMNOPQRSTUVWXYZ")),"")</f>
        <v/>
      </c>
      <c r="J269">
        <f>IF($F269=1,INDEX({10,12,13,14,15,16,17,18,19,20,21,23,24,25,26,27,28,29,30,31,32,34,35,36,37,38},1,FIND(MID($B269,4,1),"ABCDEFGHIJKLMNOPQRSTUVWXYZ")),"")</f>
        <v/>
      </c>
      <c r="K269">
        <f>IF($F269=1,FIND(MID($B269,5,1),"0123456789")-1,"")</f>
        <v/>
      </c>
      <c r="L269">
        <f>IF($F269=1,FIND(MID($B269,6,1),"0123456789")-1,"")</f>
        <v/>
      </c>
      <c r="M269">
        <f>IF($F269=1,FIND(MID($B269,7,1),"0123456789")-1,"")</f>
        <v/>
      </c>
      <c r="N269">
        <f>IF($F269=1,FIND(MID($B269,8,1),"0123456789")-1,"")</f>
        <v/>
      </c>
      <c r="O269">
        <f>IF($F269=1,FIND(MID($B269,9,1),"0123456789")-1,"")</f>
        <v/>
      </c>
      <c r="P269">
        <f>IF($F269=1,FIND(MID($B269,10,1),"0123456789")-1,"")</f>
        <v/>
      </c>
      <c r="Q269">
        <f>IF($F269=1,SUMPRODUCT($G269:$P269,{1,2,4,8,16,32,64,128,256,512}),"")</f>
        <v/>
      </c>
      <c r="R269">
        <f>IF($F269=1,MOD(MOD($Q269,11),10),"")</f>
        <v/>
      </c>
    </row>
    <row r="270">
      <c r="A270" s="6" t="n"/>
      <c r="B270" s="7">
        <f>IF($A270="","",UPPER(SUBSTITUTE(SUBSTITUTE(SUBSTITUTE(SUBSTITUTE(SUBSTITUTE(SUBSTITUTE($A270," ",""),"-",""),".",""),"/",""),"i","I"),"ı","?")))</f>
        <v/>
      </c>
      <c r="C270" s="8">
        <f>IF($F270=1,$R270,"")</f>
        <v/>
      </c>
      <c r="D270" s="7">
        <f>IF($A270="","",IF($F270=0,"Biçim hatalı",IF(FIND(MID($B270,11,1),"0123456789")-1=$R270,"Geçerli","Kontrol hanesi hatalı (doğrusu: "&amp;$R270&amp;")")))</f>
        <v/>
      </c>
      <c r="F270">
        <f>IF($A270="","",IF(AND(LEN($B270)=11,SUMPRODUCT(--ISNUMBER(FIND(MID($B270,{1,2,3},1),"ABCDEFGHIJKLMNOPQRSTUVWXYZ")))=3,ISNUMBER(FIND(MID($B270,4,1),"UJZ")),SUMPRODUCT(--ISNUMBER(FIND(MID($B270,{5,6,7,8,9,10,11},1),"0123456789")))=7),1,0))</f>
        <v/>
      </c>
      <c r="G270">
        <f>IF($F270=1,INDEX({10,12,13,14,15,16,17,18,19,20,21,23,24,25,26,27,28,29,30,31,32,34,35,36,37,38},1,FIND(MID($B270,1,1),"ABCDEFGHIJKLMNOPQRSTUVWXYZ")),"")</f>
        <v/>
      </c>
      <c r="H270">
        <f>IF($F270=1,INDEX({10,12,13,14,15,16,17,18,19,20,21,23,24,25,26,27,28,29,30,31,32,34,35,36,37,38},1,FIND(MID($B270,2,1),"ABCDEFGHIJKLMNOPQRSTUVWXYZ")),"")</f>
        <v/>
      </c>
      <c r="I270">
        <f>IF($F270=1,INDEX({10,12,13,14,15,16,17,18,19,20,21,23,24,25,26,27,28,29,30,31,32,34,35,36,37,38},1,FIND(MID($B270,3,1),"ABCDEFGHIJKLMNOPQRSTUVWXYZ")),"")</f>
        <v/>
      </c>
      <c r="J270">
        <f>IF($F270=1,INDEX({10,12,13,14,15,16,17,18,19,20,21,23,24,25,26,27,28,29,30,31,32,34,35,36,37,38},1,FIND(MID($B270,4,1),"ABCDEFGHIJKLMNOPQRSTUVWXYZ")),"")</f>
        <v/>
      </c>
      <c r="K270">
        <f>IF($F270=1,FIND(MID($B270,5,1),"0123456789")-1,"")</f>
        <v/>
      </c>
      <c r="L270">
        <f>IF($F270=1,FIND(MID($B270,6,1),"0123456789")-1,"")</f>
        <v/>
      </c>
      <c r="M270">
        <f>IF($F270=1,FIND(MID($B270,7,1),"0123456789")-1,"")</f>
        <v/>
      </c>
      <c r="N270">
        <f>IF($F270=1,FIND(MID($B270,8,1),"0123456789")-1,"")</f>
        <v/>
      </c>
      <c r="O270">
        <f>IF($F270=1,FIND(MID($B270,9,1),"0123456789")-1,"")</f>
        <v/>
      </c>
      <c r="P270">
        <f>IF($F270=1,FIND(MID($B270,10,1),"0123456789")-1,"")</f>
        <v/>
      </c>
      <c r="Q270">
        <f>IF($F270=1,SUMPRODUCT($G270:$P270,{1,2,4,8,16,32,64,128,256,512}),"")</f>
        <v/>
      </c>
      <c r="R270">
        <f>IF($F270=1,MOD(MOD($Q270,11),10),"")</f>
        <v/>
      </c>
    </row>
    <row r="271">
      <c r="A271" s="6" t="n"/>
      <c r="B271" s="7">
        <f>IF($A271="","",UPPER(SUBSTITUTE(SUBSTITUTE(SUBSTITUTE(SUBSTITUTE(SUBSTITUTE(SUBSTITUTE($A271," ",""),"-",""),".",""),"/",""),"i","I"),"ı","?")))</f>
        <v/>
      </c>
      <c r="C271" s="8">
        <f>IF($F271=1,$R271,"")</f>
        <v/>
      </c>
      <c r="D271" s="7">
        <f>IF($A271="","",IF($F271=0,"Biçim hatalı",IF(FIND(MID($B271,11,1),"0123456789")-1=$R271,"Geçerli","Kontrol hanesi hatalı (doğrusu: "&amp;$R271&amp;")")))</f>
        <v/>
      </c>
      <c r="F271">
        <f>IF($A271="","",IF(AND(LEN($B271)=11,SUMPRODUCT(--ISNUMBER(FIND(MID($B271,{1,2,3},1),"ABCDEFGHIJKLMNOPQRSTUVWXYZ")))=3,ISNUMBER(FIND(MID($B271,4,1),"UJZ")),SUMPRODUCT(--ISNUMBER(FIND(MID($B271,{5,6,7,8,9,10,11},1),"0123456789")))=7),1,0))</f>
        <v/>
      </c>
      <c r="G271">
        <f>IF($F271=1,INDEX({10,12,13,14,15,16,17,18,19,20,21,23,24,25,26,27,28,29,30,31,32,34,35,36,37,38},1,FIND(MID($B271,1,1),"ABCDEFGHIJKLMNOPQRSTUVWXYZ")),"")</f>
        <v/>
      </c>
      <c r="H271">
        <f>IF($F271=1,INDEX({10,12,13,14,15,16,17,18,19,20,21,23,24,25,26,27,28,29,30,31,32,34,35,36,37,38},1,FIND(MID($B271,2,1),"ABCDEFGHIJKLMNOPQRSTUVWXYZ")),"")</f>
        <v/>
      </c>
      <c r="I271">
        <f>IF($F271=1,INDEX({10,12,13,14,15,16,17,18,19,20,21,23,24,25,26,27,28,29,30,31,32,34,35,36,37,38},1,FIND(MID($B271,3,1),"ABCDEFGHIJKLMNOPQRSTUVWXYZ")),"")</f>
        <v/>
      </c>
      <c r="J271">
        <f>IF($F271=1,INDEX({10,12,13,14,15,16,17,18,19,20,21,23,24,25,26,27,28,29,30,31,32,34,35,36,37,38},1,FIND(MID($B271,4,1),"ABCDEFGHIJKLMNOPQRSTUVWXYZ")),"")</f>
        <v/>
      </c>
      <c r="K271">
        <f>IF($F271=1,FIND(MID($B271,5,1),"0123456789")-1,"")</f>
        <v/>
      </c>
      <c r="L271">
        <f>IF($F271=1,FIND(MID($B271,6,1),"0123456789")-1,"")</f>
        <v/>
      </c>
      <c r="M271">
        <f>IF($F271=1,FIND(MID($B271,7,1),"0123456789")-1,"")</f>
        <v/>
      </c>
      <c r="N271">
        <f>IF($F271=1,FIND(MID($B271,8,1),"0123456789")-1,"")</f>
        <v/>
      </c>
      <c r="O271">
        <f>IF($F271=1,FIND(MID($B271,9,1),"0123456789")-1,"")</f>
        <v/>
      </c>
      <c r="P271">
        <f>IF($F271=1,FIND(MID($B271,10,1),"0123456789")-1,"")</f>
        <v/>
      </c>
      <c r="Q271">
        <f>IF($F271=1,SUMPRODUCT($G271:$P271,{1,2,4,8,16,32,64,128,256,512}),"")</f>
        <v/>
      </c>
      <c r="R271">
        <f>IF($F271=1,MOD(MOD($Q271,11),10),"")</f>
        <v/>
      </c>
    </row>
    <row r="272">
      <c r="A272" s="6" t="n"/>
      <c r="B272" s="7">
        <f>IF($A272="","",UPPER(SUBSTITUTE(SUBSTITUTE(SUBSTITUTE(SUBSTITUTE(SUBSTITUTE(SUBSTITUTE($A272," ",""),"-",""),".",""),"/",""),"i","I"),"ı","?")))</f>
        <v/>
      </c>
      <c r="C272" s="8">
        <f>IF($F272=1,$R272,"")</f>
        <v/>
      </c>
      <c r="D272" s="7">
        <f>IF($A272="","",IF($F272=0,"Biçim hatalı",IF(FIND(MID($B272,11,1),"0123456789")-1=$R272,"Geçerli","Kontrol hanesi hatalı (doğrusu: "&amp;$R272&amp;")")))</f>
        <v/>
      </c>
      <c r="F272">
        <f>IF($A272="","",IF(AND(LEN($B272)=11,SUMPRODUCT(--ISNUMBER(FIND(MID($B272,{1,2,3},1),"ABCDEFGHIJKLMNOPQRSTUVWXYZ")))=3,ISNUMBER(FIND(MID($B272,4,1),"UJZ")),SUMPRODUCT(--ISNUMBER(FIND(MID($B272,{5,6,7,8,9,10,11},1),"0123456789")))=7),1,0))</f>
        <v/>
      </c>
      <c r="G272">
        <f>IF($F272=1,INDEX({10,12,13,14,15,16,17,18,19,20,21,23,24,25,26,27,28,29,30,31,32,34,35,36,37,38},1,FIND(MID($B272,1,1),"ABCDEFGHIJKLMNOPQRSTUVWXYZ")),"")</f>
        <v/>
      </c>
      <c r="H272">
        <f>IF($F272=1,INDEX({10,12,13,14,15,16,17,18,19,20,21,23,24,25,26,27,28,29,30,31,32,34,35,36,37,38},1,FIND(MID($B272,2,1),"ABCDEFGHIJKLMNOPQRSTUVWXYZ")),"")</f>
        <v/>
      </c>
      <c r="I272">
        <f>IF($F272=1,INDEX({10,12,13,14,15,16,17,18,19,20,21,23,24,25,26,27,28,29,30,31,32,34,35,36,37,38},1,FIND(MID($B272,3,1),"ABCDEFGHIJKLMNOPQRSTUVWXYZ")),"")</f>
        <v/>
      </c>
      <c r="J272">
        <f>IF($F272=1,INDEX({10,12,13,14,15,16,17,18,19,20,21,23,24,25,26,27,28,29,30,31,32,34,35,36,37,38},1,FIND(MID($B272,4,1),"ABCDEFGHIJKLMNOPQRSTUVWXYZ")),"")</f>
        <v/>
      </c>
      <c r="K272">
        <f>IF($F272=1,FIND(MID($B272,5,1),"0123456789")-1,"")</f>
        <v/>
      </c>
      <c r="L272">
        <f>IF($F272=1,FIND(MID($B272,6,1),"0123456789")-1,"")</f>
        <v/>
      </c>
      <c r="M272">
        <f>IF($F272=1,FIND(MID($B272,7,1),"0123456789")-1,"")</f>
        <v/>
      </c>
      <c r="N272">
        <f>IF($F272=1,FIND(MID($B272,8,1),"0123456789")-1,"")</f>
        <v/>
      </c>
      <c r="O272">
        <f>IF($F272=1,FIND(MID($B272,9,1),"0123456789")-1,"")</f>
        <v/>
      </c>
      <c r="P272">
        <f>IF($F272=1,FIND(MID($B272,10,1),"0123456789")-1,"")</f>
        <v/>
      </c>
      <c r="Q272">
        <f>IF($F272=1,SUMPRODUCT($G272:$P272,{1,2,4,8,16,32,64,128,256,512}),"")</f>
        <v/>
      </c>
      <c r="R272">
        <f>IF($F272=1,MOD(MOD($Q272,11),10),"")</f>
        <v/>
      </c>
    </row>
    <row r="273">
      <c r="A273" s="6" t="n"/>
      <c r="B273" s="7">
        <f>IF($A273="","",UPPER(SUBSTITUTE(SUBSTITUTE(SUBSTITUTE(SUBSTITUTE(SUBSTITUTE(SUBSTITUTE($A273," ",""),"-",""),".",""),"/",""),"i","I"),"ı","?")))</f>
        <v/>
      </c>
      <c r="C273" s="8">
        <f>IF($F273=1,$R273,"")</f>
        <v/>
      </c>
      <c r="D273" s="7">
        <f>IF($A273="","",IF($F273=0,"Biçim hatalı",IF(FIND(MID($B273,11,1),"0123456789")-1=$R273,"Geçerli","Kontrol hanesi hatalı (doğrusu: "&amp;$R273&amp;")")))</f>
        <v/>
      </c>
      <c r="F273">
        <f>IF($A273="","",IF(AND(LEN($B273)=11,SUMPRODUCT(--ISNUMBER(FIND(MID($B273,{1,2,3},1),"ABCDEFGHIJKLMNOPQRSTUVWXYZ")))=3,ISNUMBER(FIND(MID($B273,4,1),"UJZ")),SUMPRODUCT(--ISNUMBER(FIND(MID($B273,{5,6,7,8,9,10,11},1),"0123456789")))=7),1,0))</f>
        <v/>
      </c>
      <c r="G273">
        <f>IF($F273=1,INDEX({10,12,13,14,15,16,17,18,19,20,21,23,24,25,26,27,28,29,30,31,32,34,35,36,37,38},1,FIND(MID($B273,1,1),"ABCDEFGHIJKLMNOPQRSTUVWXYZ")),"")</f>
        <v/>
      </c>
      <c r="H273">
        <f>IF($F273=1,INDEX({10,12,13,14,15,16,17,18,19,20,21,23,24,25,26,27,28,29,30,31,32,34,35,36,37,38},1,FIND(MID($B273,2,1),"ABCDEFGHIJKLMNOPQRSTUVWXYZ")),"")</f>
        <v/>
      </c>
      <c r="I273">
        <f>IF($F273=1,INDEX({10,12,13,14,15,16,17,18,19,20,21,23,24,25,26,27,28,29,30,31,32,34,35,36,37,38},1,FIND(MID($B273,3,1),"ABCDEFGHIJKLMNOPQRSTUVWXYZ")),"")</f>
        <v/>
      </c>
      <c r="J273">
        <f>IF($F273=1,INDEX({10,12,13,14,15,16,17,18,19,20,21,23,24,25,26,27,28,29,30,31,32,34,35,36,37,38},1,FIND(MID($B273,4,1),"ABCDEFGHIJKLMNOPQRSTUVWXYZ")),"")</f>
        <v/>
      </c>
      <c r="K273">
        <f>IF($F273=1,FIND(MID($B273,5,1),"0123456789")-1,"")</f>
        <v/>
      </c>
      <c r="L273">
        <f>IF($F273=1,FIND(MID($B273,6,1),"0123456789")-1,"")</f>
        <v/>
      </c>
      <c r="M273">
        <f>IF($F273=1,FIND(MID($B273,7,1),"0123456789")-1,"")</f>
        <v/>
      </c>
      <c r="N273">
        <f>IF($F273=1,FIND(MID($B273,8,1),"0123456789")-1,"")</f>
        <v/>
      </c>
      <c r="O273">
        <f>IF($F273=1,FIND(MID($B273,9,1),"0123456789")-1,"")</f>
        <v/>
      </c>
      <c r="P273">
        <f>IF($F273=1,FIND(MID($B273,10,1),"0123456789")-1,"")</f>
        <v/>
      </c>
      <c r="Q273">
        <f>IF($F273=1,SUMPRODUCT($G273:$P273,{1,2,4,8,16,32,64,128,256,512}),"")</f>
        <v/>
      </c>
      <c r="R273">
        <f>IF($F273=1,MOD(MOD($Q273,11),10),"")</f>
        <v/>
      </c>
    </row>
    <row r="274">
      <c r="A274" s="6" t="n"/>
      <c r="B274" s="7">
        <f>IF($A274="","",UPPER(SUBSTITUTE(SUBSTITUTE(SUBSTITUTE(SUBSTITUTE(SUBSTITUTE(SUBSTITUTE($A274," ",""),"-",""),".",""),"/",""),"i","I"),"ı","?")))</f>
        <v/>
      </c>
      <c r="C274" s="8">
        <f>IF($F274=1,$R274,"")</f>
        <v/>
      </c>
      <c r="D274" s="7">
        <f>IF($A274="","",IF($F274=0,"Biçim hatalı",IF(FIND(MID($B274,11,1),"0123456789")-1=$R274,"Geçerli","Kontrol hanesi hatalı (doğrusu: "&amp;$R274&amp;")")))</f>
        <v/>
      </c>
      <c r="F274">
        <f>IF($A274="","",IF(AND(LEN($B274)=11,SUMPRODUCT(--ISNUMBER(FIND(MID($B274,{1,2,3},1),"ABCDEFGHIJKLMNOPQRSTUVWXYZ")))=3,ISNUMBER(FIND(MID($B274,4,1),"UJZ")),SUMPRODUCT(--ISNUMBER(FIND(MID($B274,{5,6,7,8,9,10,11},1),"0123456789")))=7),1,0))</f>
        <v/>
      </c>
      <c r="G274">
        <f>IF($F274=1,INDEX({10,12,13,14,15,16,17,18,19,20,21,23,24,25,26,27,28,29,30,31,32,34,35,36,37,38},1,FIND(MID($B274,1,1),"ABCDEFGHIJKLMNOPQRSTUVWXYZ")),"")</f>
        <v/>
      </c>
      <c r="H274">
        <f>IF($F274=1,INDEX({10,12,13,14,15,16,17,18,19,20,21,23,24,25,26,27,28,29,30,31,32,34,35,36,37,38},1,FIND(MID($B274,2,1),"ABCDEFGHIJKLMNOPQRSTUVWXYZ")),"")</f>
        <v/>
      </c>
      <c r="I274">
        <f>IF($F274=1,INDEX({10,12,13,14,15,16,17,18,19,20,21,23,24,25,26,27,28,29,30,31,32,34,35,36,37,38},1,FIND(MID($B274,3,1),"ABCDEFGHIJKLMNOPQRSTUVWXYZ")),"")</f>
        <v/>
      </c>
      <c r="J274">
        <f>IF($F274=1,INDEX({10,12,13,14,15,16,17,18,19,20,21,23,24,25,26,27,28,29,30,31,32,34,35,36,37,38},1,FIND(MID($B274,4,1),"ABCDEFGHIJKLMNOPQRSTUVWXYZ")),"")</f>
        <v/>
      </c>
      <c r="K274">
        <f>IF($F274=1,FIND(MID($B274,5,1),"0123456789")-1,"")</f>
        <v/>
      </c>
      <c r="L274">
        <f>IF($F274=1,FIND(MID($B274,6,1),"0123456789")-1,"")</f>
        <v/>
      </c>
      <c r="M274">
        <f>IF($F274=1,FIND(MID($B274,7,1),"0123456789")-1,"")</f>
        <v/>
      </c>
      <c r="N274">
        <f>IF($F274=1,FIND(MID($B274,8,1),"0123456789")-1,"")</f>
        <v/>
      </c>
      <c r="O274">
        <f>IF($F274=1,FIND(MID($B274,9,1),"0123456789")-1,"")</f>
        <v/>
      </c>
      <c r="P274">
        <f>IF($F274=1,FIND(MID($B274,10,1),"0123456789")-1,"")</f>
        <v/>
      </c>
      <c r="Q274">
        <f>IF($F274=1,SUMPRODUCT($G274:$P274,{1,2,4,8,16,32,64,128,256,512}),"")</f>
        <v/>
      </c>
      <c r="R274">
        <f>IF($F274=1,MOD(MOD($Q274,11),10),"")</f>
        <v/>
      </c>
    </row>
    <row r="275">
      <c r="A275" s="6" t="n"/>
      <c r="B275" s="7">
        <f>IF($A275="","",UPPER(SUBSTITUTE(SUBSTITUTE(SUBSTITUTE(SUBSTITUTE(SUBSTITUTE(SUBSTITUTE($A275," ",""),"-",""),".",""),"/",""),"i","I"),"ı","?")))</f>
        <v/>
      </c>
      <c r="C275" s="8">
        <f>IF($F275=1,$R275,"")</f>
        <v/>
      </c>
      <c r="D275" s="7">
        <f>IF($A275="","",IF($F275=0,"Biçim hatalı",IF(FIND(MID($B275,11,1),"0123456789")-1=$R275,"Geçerli","Kontrol hanesi hatalı (doğrusu: "&amp;$R275&amp;")")))</f>
        <v/>
      </c>
      <c r="F275">
        <f>IF($A275="","",IF(AND(LEN($B275)=11,SUMPRODUCT(--ISNUMBER(FIND(MID($B275,{1,2,3},1),"ABCDEFGHIJKLMNOPQRSTUVWXYZ")))=3,ISNUMBER(FIND(MID($B275,4,1),"UJZ")),SUMPRODUCT(--ISNUMBER(FIND(MID($B275,{5,6,7,8,9,10,11},1),"0123456789")))=7),1,0))</f>
        <v/>
      </c>
      <c r="G275">
        <f>IF($F275=1,INDEX({10,12,13,14,15,16,17,18,19,20,21,23,24,25,26,27,28,29,30,31,32,34,35,36,37,38},1,FIND(MID($B275,1,1),"ABCDEFGHIJKLMNOPQRSTUVWXYZ")),"")</f>
        <v/>
      </c>
      <c r="H275">
        <f>IF($F275=1,INDEX({10,12,13,14,15,16,17,18,19,20,21,23,24,25,26,27,28,29,30,31,32,34,35,36,37,38},1,FIND(MID($B275,2,1),"ABCDEFGHIJKLMNOPQRSTUVWXYZ")),"")</f>
        <v/>
      </c>
      <c r="I275">
        <f>IF($F275=1,INDEX({10,12,13,14,15,16,17,18,19,20,21,23,24,25,26,27,28,29,30,31,32,34,35,36,37,38},1,FIND(MID($B275,3,1),"ABCDEFGHIJKLMNOPQRSTUVWXYZ")),"")</f>
        <v/>
      </c>
      <c r="J275">
        <f>IF($F275=1,INDEX({10,12,13,14,15,16,17,18,19,20,21,23,24,25,26,27,28,29,30,31,32,34,35,36,37,38},1,FIND(MID($B275,4,1),"ABCDEFGHIJKLMNOPQRSTUVWXYZ")),"")</f>
        <v/>
      </c>
      <c r="K275">
        <f>IF($F275=1,FIND(MID($B275,5,1),"0123456789")-1,"")</f>
        <v/>
      </c>
      <c r="L275">
        <f>IF($F275=1,FIND(MID($B275,6,1),"0123456789")-1,"")</f>
        <v/>
      </c>
      <c r="M275">
        <f>IF($F275=1,FIND(MID($B275,7,1),"0123456789")-1,"")</f>
        <v/>
      </c>
      <c r="N275">
        <f>IF($F275=1,FIND(MID($B275,8,1),"0123456789")-1,"")</f>
        <v/>
      </c>
      <c r="O275">
        <f>IF($F275=1,FIND(MID($B275,9,1),"0123456789")-1,"")</f>
        <v/>
      </c>
      <c r="P275">
        <f>IF($F275=1,FIND(MID($B275,10,1),"0123456789")-1,"")</f>
        <v/>
      </c>
      <c r="Q275">
        <f>IF($F275=1,SUMPRODUCT($G275:$P275,{1,2,4,8,16,32,64,128,256,512}),"")</f>
        <v/>
      </c>
      <c r="R275">
        <f>IF($F275=1,MOD(MOD($Q275,11),10),"")</f>
        <v/>
      </c>
    </row>
    <row r="276">
      <c r="A276" s="6" t="n"/>
      <c r="B276" s="7">
        <f>IF($A276="","",UPPER(SUBSTITUTE(SUBSTITUTE(SUBSTITUTE(SUBSTITUTE(SUBSTITUTE(SUBSTITUTE($A276," ",""),"-",""),".",""),"/",""),"i","I"),"ı","?")))</f>
        <v/>
      </c>
      <c r="C276" s="8">
        <f>IF($F276=1,$R276,"")</f>
        <v/>
      </c>
      <c r="D276" s="7">
        <f>IF($A276="","",IF($F276=0,"Biçim hatalı",IF(FIND(MID($B276,11,1),"0123456789")-1=$R276,"Geçerli","Kontrol hanesi hatalı (doğrusu: "&amp;$R276&amp;")")))</f>
        <v/>
      </c>
      <c r="F276">
        <f>IF($A276="","",IF(AND(LEN($B276)=11,SUMPRODUCT(--ISNUMBER(FIND(MID($B276,{1,2,3},1),"ABCDEFGHIJKLMNOPQRSTUVWXYZ")))=3,ISNUMBER(FIND(MID($B276,4,1),"UJZ")),SUMPRODUCT(--ISNUMBER(FIND(MID($B276,{5,6,7,8,9,10,11},1),"0123456789")))=7),1,0))</f>
        <v/>
      </c>
      <c r="G276">
        <f>IF($F276=1,INDEX({10,12,13,14,15,16,17,18,19,20,21,23,24,25,26,27,28,29,30,31,32,34,35,36,37,38},1,FIND(MID($B276,1,1),"ABCDEFGHIJKLMNOPQRSTUVWXYZ")),"")</f>
        <v/>
      </c>
      <c r="H276">
        <f>IF($F276=1,INDEX({10,12,13,14,15,16,17,18,19,20,21,23,24,25,26,27,28,29,30,31,32,34,35,36,37,38},1,FIND(MID($B276,2,1),"ABCDEFGHIJKLMNOPQRSTUVWXYZ")),"")</f>
        <v/>
      </c>
      <c r="I276">
        <f>IF($F276=1,INDEX({10,12,13,14,15,16,17,18,19,20,21,23,24,25,26,27,28,29,30,31,32,34,35,36,37,38},1,FIND(MID($B276,3,1),"ABCDEFGHIJKLMNOPQRSTUVWXYZ")),"")</f>
        <v/>
      </c>
      <c r="J276">
        <f>IF($F276=1,INDEX({10,12,13,14,15,16,17,18,19,20,21,23,24,25,26,27,28,29,30,31,32,34,35,36,37,38},1,FIND(MID($B276,4,1),"ABCDEFGHIJKLMNOPQRSTUVWXYZ")),"")</f>
        <v/>
      </c>
      <c r="K276">
        <f>IF($F276=1,FIND(MID($B276,5,1),"0123456789")-1,"")</f>
        <v/>
      </c>
      <c r="L276">
        <f>IF($F276=1,FIND(MID($B276,6,1),"0123456789")-1,"")</f>
        <v/>
      </c>
      <c r="M276">
        <f>IF($F276=1,FIND(MID($B276,7,1),"0123456789")-1,"")</f>
        <v/>
      </c>
      <c r="N276">
        <f>IF($F276=1,FIND(MID($B276,8,1),"0123456789")-1,"")</f>
        <v/>
      </c>
      <c r="O276">
        <f>IF($F276=1,FIND(MID($B276,9,1),"0123456789")-1,"")</f>
        <v/>
      </c>
      <c r="P276">
        <f>IF($F276=1,FIND(MID($B276,10,1),"0123456789")-1,"")</f>
        <v/>
      </c>
      <c r="Q276">
        <f>IF($F276=1,SUMPRODUCT($G276:$P276,{1,2,4,8,16,32,64,128,256,512}),"")</f>
        <v/>
      </c>
      <c r="R276">
        <f>IF($F276=1,MOD(MOD($Q276,11),10),"")</f>
        <v/>
      </c>
    </row>
    <row r="277">
      <c r="A277" s="6" t="n"/>
      <c r="B277" s="7">
        <f>IF($A277="","",UPPER(SUBSTITUTE(SUBSTITUTE(SUBSTITUTE(SUBSTITUTE(SUBSTITUTE(SUBSTITUTE($A277," ",""),"-",""),".",""),"/",""),"i","I"),"ı","?")))</f>
        <v/>
      </c>
      <c r="C277" s="8">
        <f>IF($F277=1,$R277,"")</f>
        <v/>
      </c>
      <c r="D277" s="7">
        <f>IF($A277="","",IF($F277=0,"Biçim hatalı",IF(FIND(MID($B277,11,1),"0123456789")-1=$R277,"Geçerli","Kontrol hanesi hatalı (doğrusu: "&amp;$R277&amp;")")))</f>
        <v/>
      </c>
      <c r="F277">
        <f>IF($A277="","",IF(AND(LEN($B277)=11,SUMPRODUCT(--ISNUMBER(FIND(MID($B277,{1,2,3},1),"ABCDEFGHIJKLMNOPQRSTUVWXYZ")))=3,ISNUMBER(FIND(MID($B277,4,1),"UJZ")),SUMPRODUCT(--ISNUMBER(FIND(MID($B277,{5,6,7,8,9,10,11},1),"0123456789")))=7),1,0))</f>
        <v/>
      </c>
      <c r="G277">
        <f>IF($F277=1,INDEX({10,12,13,14,15,16,17,18,19,20,21,23,24,25,26,27,28,29,30,31,32,34,35,36,37,38},1,FIND(MID($B277,1,1),"ABCDEFGHIJKLMNOPQRSTUVWXYZ")),"")</f>
        <v/>
      </c>
      <c r="H277">
        <f>IF($F277=1,INDEX({10,12,13,14,15,16,17,18,19,20,21,23,24,25,26,27,28,29,30,31,32,34,35,36,37,38},1,FIND(MID($B277,2,1),"ABCDEFGHIJKLMNOPQRSTUVWXYZ")),"")</f>
        <v/>
      </c>
      <c r="I277">
        <f>IF($F277=1,INDEX({10,12,13,14,15,16,17,18,19,20,21,23,24,25,26,27,28,29,30,31,32,34,35,36,37,38},1,FIND(MID($B277,3,1),"ABCDEFGHIJKLMNOPQRSTUVWXYZ")),"")</f>
        <v/>
      </c>
      <c r="J277">
        <f>IF($F277=1,INDEX({10,12,13,14,15,16,17,18,19,20,21,23,24,25,26,27,28,29,30,31,32,34,35,36,37,38},1,FIND(MID($B277,4,1),"ABCDEFGHIJKLMNOPQRSTUVWXYZ")),"")</f>
        <v/>
      </c>
      <c r="K277">
        <f>IF($F277=1,FIND(MID($B277,5,1),"0123456789")-1,"")</f>
        <v/>
      </c>
      <c r="L277">
        <f>IF($F277=1,FIND(MID($B277,6,1),"0123456789")-1,"")</f>
        <v/>
      </c>
      <c r="M277">
        <f>IF($F277=1,FIND(MID($B277,7,1),"0123456789")-1,"")</f>
        <v/>
      </c>
      <c r="N277">
        <f>IF($F277=1,FIND(MID($B277,8,1),"0123456789")-1,"")</f>
        <v/>
      </c>
      <c r="O277">
        <f>IF($F277=1,FIND(MID($B277,9,1),"0123456789")-1,"")</f>
        <v/>
      </c>
      <c r="P277">
        <f>IF($F277=1,FIND(MID($B277,10,1),"0123456789")-1,"")</f>
        <v/>
      </c>
      <c r="Q277">
        <f>IF($F277=1,SUMPRODUCT($G277:$P277,{1,2,4,8,16,32,64,128,256,512}),"")</f>
        <v/>
      </c>
      <c r="R277">
        <f>IF($F277=1,MOD(MOD($Q277,11),10),"")</f>
        <v/>
      </c>
    </row>
    <row r="278">
      <c r="A278" s="6" t="n"/>
      <c r="B278" s="7">
        <f>IF($A278="","",UPPER(SUBSTITUTE(SUBSTITUTE(SUBSTITUTE(SUBSTITUTE(SUBSTITUTE(SUBSTITUTE($A278," ",""),"-",""),".",""),"/",""),"i","I"),"ı","?")))</f>
        <v/>
      </c>
      <c r="C278" s="8">
        <f>IF($F278=1,$R278,"")</f>
        <v/>
      </c>
      <c r="D278" s="7">
        <f>IF($A278="","",IF($F278=0,"Biçim hatalı",IF(FIND(MID($B278,11,1),"0123456789")-1=$R278,"Geçerli","Kontrol hanesi hatalı (doğrusu: "&amp;$R278&amp;")")))</f>
        <v/>
      </c>
      <c r="F278">
        <f>IF($A278="","",IF(AND(LEN($B278)=11,SUMPRODUCT(--ISNUMBER(FIND(MID($B278,{1,2,3},1),"ABCDEFGHIJKLMNOPQRSTUVWXYZ")))=3,ISNUMBER(FIND(MID($B278,4,1),"UJZ")),SUMPRODUCT(--ISNUMBER(FIND(MID($B278,{5,6,7,8,9,10,11},1),"0123456789")))=7),1,0))</f>
        <v/>
      </c>
      <c r="G278">
        <f>IF($F278=1,INDEX({10,12,13,14,15,16,17,18,19,20,21,23,24,25,26,27,28,29,30,31,32,34,35,36,37,38},1,FIND(MID($B278,1,1),"ABCDEFGHIJKLMNOPQRSTUVWXYZ")),"")</f>
        <v/>
      </c>
      <c r="H278">
        <f>IF($F278=1,INDEX({10,12,13,14,15,16,17,18,19,20,21,23,24,25,26,27,28,29,30,31,32,34,35,36,37,38},1,FIND(MID($B278,2,1),"ABCDEFGHIJKLMNOPQRSTUVWXYZ")),"")</f>
        <v/>
      </c>
      <c r="I278">
        <f>IF($F278=1,INDEX({10,12,13,14,15,16,17,18,19,20,21,23,24,25,26,27,28,29,30,31,32,34,35,36,37,38},1,FIND(MID($B278,3,1),"ABCDEFGHIJKLMNOPQRSTUVWXYZ")),"")</f>
        <v/>
      </c>
      <c r="J278">
        <f>IF($F278=1,INDEX({10,12,13,14,15,16,17,18,19,20,21,23,24,25,26,27,28,29,30,31,32,34,35,36,37,38},1,FIND(MID($B278,4,1),"ABCDEFGHIJKLMNOPQRSTUVWXYZ")),"")</f>
        <v/>
      </c>
      <c r="K278">
        <f>IF($F278=1,FIND(MID($B278,5,1),"0123456789")-1,"")</f>
        <v/>
      </c>
      <c r="L278">
        <f>IF($F278=1,FIND(MID($B278,6,1),"0123456789")-1,"")</f>
        <v/>
      </c>
      <c r="M278">
        <f>IF($F278=1,FIND(MID($B278,7,1),"0123456789")-1,"")</f>
        <v/>
      </c>
      <c r="N278">
        <f>IF($F278=1,FIND(MID($B278,8,1),"0123456789")-1,"")</f>
        <v/>
      </c>
      <c r="O278">
        <f>IF($F278=1,FIND(MID($B278,9,1),"0123456789")-1,"")</f>
        <v/>
      </c>
      <c r="P278">
        <f>IF($F278=1,FIND(MID($B278,10,1),"0123456789")-1,"")</f>
        <v/>
      </c>
      <c r="Q278">
        <f>IF($F278=1,SUMPRODUCT($G278:$P278,{1,2,4,8,16,32,64,128,256,512}),"")</f>
        <v/>
      </c>
      <c r="R278">
        <f>IF($F278=1,MOD(MOD($Q278,11),10),"")</f>
        <v/>
      </c>
    </row>
    <row r="279">
      <c r="A279" s="6" t="n"/>
      <c r="B279" s="7">
        <f>IF($A279="","",UPPER(SUBSTITUTE(SUBSTITUTE(SUBSTITUTE(SUBSTITUTE(SUBSTITUTE(SUBSTITUTE($A279," ",""),"-",""),".",""),"/",""),"i","I"),"ı","?")))</f>
        <v/>
      </c>
      <c r="C279" s="8">
        <f>IF($F279=1,$R279,"")</f>
        <v/>
      </c>
      <c r="D279" s="7">
        <f>IF($A279="","",IF($F279=0,"Biçim hatalı",IF(FIND(MID($B279,11,1),"0123456789")-1=$R279,"Geçerli","Kontrol hanesi hatalı (doğrusu: "&amp;$R279&amp;")")))</f>
        <v/>
      </c>
      <c r="F279">
        <f>IF($A279="","",IF(AND(LEN($B279)=11,SUMPRODUCT(--ISNUMBER(FIND(MID($B279,{1,2,3},1),"ABCDEFGHIJKLMNOPQRSTUVWXYZ")))=3,ISNUMBER(FIND(MID($B279,4,1),"UJZ")),SUMPRODUCT(--ISNUMBER(FIND(MID($B279,{5,6,7,8,9,10,11},1),"0123456789")))=7),1,0))</f>
        <v/>
      </c>
      <c r="G279">
        <f>IF($F279=1,INDEX({10,12,13,14,15,16,17,18,19,20,21,23,24,25,26,27,28,29,30,31,32,34,35,36,37,38},1,FIND(MID($B279,1,1),"ABCDEFGHIJKLMNOPQRSTUVWXYZ")),"")</f>
        <v/>
      </c>
      <c r="H279">
        <f>IF($F279=1,INDEX({10,12,13,14,15,16,17,18,19,20,21,23,24,25,26,27,28,29,30,31,32,34,35,36,37,38},1,FIND(MID($B279,2,1),"ABCDEFGHIJKLMNOPQRSTUVWXYZ")),"")</f>
        <v/>
      </c>
      <c r="I279">
        <f>IF($F279=1,INDEX({10,12,13,14,15,16,17,18,19,20,21,23,24,25,26,27,28,29,30,31,32,34,35,36,37,38},1,FIND(MID($B279,3,1),"ABCDEFGHIJKLMNOPQRSTUVWXYZ")),"")</f>
        <v/>
      </c>
      <c r="J279">
        <f>IF($F279=1,INDEX({10,12,13,14,15,16,17,18,19,20,21,23,24,25,26,27,28,29,30,31,32,34,35,36,37,38},1,FIND(MID($B279,4,1),"ABCDEFGHIJKLMNOPQRSTUVWXYZ")),"")</f>
        <v/>
      </c>
      <c r="K279">
        <f>IF($F279=1,FIND(MID($B279,5,1),"0123456789")-1,"")</f>
        <v/>
      </c>
      <c r="L279">
        <f>IF($F279=1,FIND(MID($B279,6,1),"0123456789")-1,"")</f>
        <v/>
      </c>
      <c r="M279">
        <f>IF($F279=1,FIND(MID($B279,7,1),"0123456789")-1,"")</f>
        <v/>
      </c>
      <c r="N279">
        <f>IF($F279=1,FIND(MID($B279,8,1),"0123456789")-1,"")</f>
        <v/>
      </c>
      <c r="O279">
        <f>IF($F279=1,FIND(MID($B279,9,1),"0123456789")-1,"")</f>
        <v/>
      </c>
      <c r="P279">
        <f>IF($F279=1,FIND(MID($B279,10,1),"0123456789")-1,"")</f>
        <v/>
      </c>
      <c r="Q279">
        <f>IF($F279=1,SUMPRODUCT($G279:$P279,{1,2,4,8,16,32,64,128,256,512}),"")</f>
        <v/>
      </c>
      <c r="R279">
        <f>IF($F279=1,MOD(MOD($Q279,11),10),"")</f>
        <v/>
      </c>
    </row>
    <row r="280">
      <c r="A280" s="6" t="n"/>
      <c r="B280" s="7">
        <f>IF($A280="","",UPPER(SUBSTITUTE(SUBSTITUTE(SUBSTITUTE(SUBSTITUTE(SUBSTITUTE(SUBSTITUTE($A280," ",""),"-",""),".",""),"/",""),"i","I"),"ı","?")))</f>
        <v/>
      </c>
      <c r="C280" s="8">
        <f>IF($F280=1,$R280,"")</f>
        <v/>
      </c>
      <c r="D280" s="7">
        <f>IF($A280="","",IF($F280=0,"Biçim hatalı",IF(FIND(MID($B280,11,1),"0123456789")-1=$R280,"Geçerli","Kontrol hanesi hatalı (doğrusu: "&amp;$R280&amp;")")))</f>
        <v/>
      </c>
      <c r="F280">
        <f>IF($A280="","",IF(AND(LEN($B280)=11,SUMPRODUCT(--ISNUMBER(FIND(MID($B280,{1,2,3},1),"ABCDEFGHIJKLMNOPQRSTUVWXYZ")))=3,ISNUMBER(FIND(MID($B280,4,1),"UJZ")),SUMPRODUCT(--ISNUMBER(FIND(MID($B280,{5,6,7,8,9,10,11},1),"0123456789")))=7),1,0))</f>
        <v/>
      </c>
      <c r="G280">
        <f>IF($F280=1,INDEX({10,12,13,14,15,16,17,18,19,20,21,23,24,25,26,27,28,29,30,31,32,34,35,36,37,38},1,FIND(MID($B280,1,1),"ABCDEFGHIJKLMNOPQRSTUVWXYZ")),"")</f>
        <v/>
      </c>
      <c r="H280">
        <f>IF($F280=1,INDEX({10,12,13,14,15,16,17,18,19,20,21,23,24,25,26,27,28,29,30,31,32,34,35,36,37,38},1,FIND(MID($B280,2,1),"ABCDEFGHIJKLMNOPQRSTUVWXYZ")),"")</f>
        <v/>
      </c>
      <c r="I280">
        <f>IF($F280=1,INDEX({10,12,13,14,15,16,17,18,19,20,21,23,24,25,26,27,28,29,30,31,32,34,35,36,37,38},1,FIND(MID($B280,3,1),"ABCDEFGHIJKLMNOPQRSTUVWXYZ")),"")</f>
        <v/>
      </c>
      <c r="J280">
        <f>IF($F280=1,INDEX({10,12,13,14,15,16,17,18,19,20,21,23,24,25,26,27,28,29,30,31,32,34,35,36,37,38},1,FIND(MID($B280,4,1),"ABCDEFGHIJKLMNOPQRSTUVWXYZ")),"")</f>
        <v/>
      </c>
      <c r="K280">
        <f>IF($F280=1,FIND(MID($B280,5,1),"0123456789")-1,"")</f>
        <v/>
      </c>
      <c r="L280">
        <f>IF($F280=1,FIND(MID($B280,6,1),"0123456789")-1,"")</f>
        <v/>
      </c>
      <c r="M280">
        <f>IF($F280=1,FIND(MID($B280,7,1),"0123456789")-1,"")</f>
        <v/>
      </c>
      <c r="N280">
        <f>IF($F280=1,FIND(MID($B280,8,1),"0123456789")-1,"")</f>
        <v/>
      </c>
      <c r="O280">
        <f>IF($F280=1,FIND(MID($B280,9,1),"0123456789")-1,"")</f>
        <v/>
      </c>
      <c r="P280">
        <f>IF($F280=1,FIND(MID($B280,10,1),"0123456789")-1,"")</f>
        <v/>
      </c>
      <c r="Q280">
        <f>IF($F280=1,SUMPRODUCT($G280:$P280,{1,2,4,8,16,32,64,128,256,512}),"")</f>
        <v/>
      </c>
      <c r="R280">
        <f>IF($F280=1,MOD(MOD($Q280,11),10),"")</f>
        <v/>
      </c>
    </row>
    <row r="281">
      <c r="A281" s="6" t="n"/>
      <c r="B281" s="7">
        <f>IF($A281="","",UPPER(SUBSTITUTE(SUBSTITUTE(SUBSTITUTE(SUBSTITUTE(SUBSTITUTE(SUBSTITUTE($A281," ",""),"-",""),".",""),"/",""),"i","I"),"ı","?")))</f>
        <v/>
      </c>
      <c r="C281" s="8">
        <f>IF($F281=1,$R281,"")</f>
        <v/>
      </c>
      <c r="D281" s="7">
        <f>IF($A281="","",IF($F281=0,"Biçim hatalı",IF(FIND(MID($B281,11,1),"0123456789")-1=$R281,"Geçerli","Kontrol hanesi hatalı (doğrusu: "&amp;$R281&amp;")")))</f>
        <v/>
      </c>
      <c r="F281">
        <f>IF($A281="","",IF(AND(LEN($B281)=11,SUMPRODUCT(--ISNUMBER(FIND(MID($B281,{1,2,3},1),"ABCDEFGHIJKLMNOPQRSTUVWXYZ")))=3,ISNUMBER(FIND(MID($B281,4,1),"UJZ")),SUMPRODUCT(--ISNUMBER(FIND(MID($B281,{5,6,7,8,9,10,11},1),"0123456789")))=7),1,0))</f>
        <v/>
      </c>
      <c r="G281">
        <f>IF($F281=1,INDEX({10,12,13,14,15,16,17,18,19,20,21,23,24,25,26,27,28,29,30,31,32,34,35,36,37,38},1,FIND(MID($B281,1,1),"ABCDEFGHIJKLMNOPQRSTUVWXYZ")),"")</f>
        <v/>
      </c>
      <c r="H281">
        <f>IF($F281=1,INDEX({10,12,13,14,15,16,17,18,19,20,21,23,24,25,26,27,28,29,30,31,32,34,35,36,37,38},1,FIND(MID($B281,2,1),"ABCDEFGHIJKLMNOPQRSTUVWXYZ")),"")</f>
        <v/>
      </c>
      <c r="I281">
        <f>IF($F281=1,INDEX({10,12,13,14,15,16,17,18,19,20,21,23,24,25,26,27,28,29,30,31,32,34,35,36,37,38},1,FIND(MID($B281,3,1),"ABCDEFGHIJKLMNOPQRSTUVWXYZ")),"")</f>
        <v/>
      </c>
      <c r="J281">
        <f>IF($F281=1,INDEX({10,12,13,14,15,16,17,18,19,20,21,23,24,25,26,27,28,29,30,31,32,34,35,36,37,38},1,FIND(MID($B281,4,1),"ABCDEFGHIJKLMNOPQRSTUVWXYZ")),"")</f>
        <v/>
      </c>
      <c r="K281">
        <f>IF($F281=1,FIND(MID($B281,5,1),"0123456789")-1,"")</f>
        <v/>
      </c>
      <c r="L281">
        <f>IF($F281=1,FIND(MID($B281,6,1),"0123456789")-1,"")</f>
        <v/>
      </c>
      <c r="M281">
        <f>IF($F281=1,FIND(MID($B281,7,1),"0123456789")-1,"")</f>
        <v/>
      </c>
      <c r="N281">
        <f>IF($F281=1,FIND(MID($B281,8,1),"0123456789")-1,"")</f>
        <v/>
      </c>
      <c r="O281">
        <f>IF($F281=1,FIND(MID($B281,9,1),"0123456789")-1,"")</f>
        <v/>
      </c>
      <c r="P281">
        <f>IF($F281=1,FIND(MID($B281,10,1),"0123456789")-1,"")</f>
        <v/>
      </c>
      <c r="Q281">
        <f>IF($F281=1,SUMPRODUCT($G281:$P281,{1,2,4,8,16,32,64,128,256,512}),"")</f>
        <v/>
      </c>
      <c r="R281">
        <f>IF($F281=1,MOD(MOD($Q281,11),10),"")</f>
        <v/>
      </c>
    </row>
    <row r="282">
      <c r="A282" s="6" t="n"/>
      <c r="B282" s="7">
        <f>IF($A282="","",UPPER(SUBSTITUTE(SUBSTITUTE(SUBSTITUTE(SUBSTITUTE(SUBSTITUTE(SUBSTITUTE($A282," ",""),"-",""),".",""),"/",""),"i","I"),"ı","?")))</f>
        <v/>
      </c>
      <c r="C282" s="8">
        <f>IF($F282=1,$R282,"")</f>
        <v/>
      </c>
      <c r="D282" s="7">
        <f>IF($A282="","",IF($F282=0,"Biçim hatalı",IF(FIND(MID($B282,11,1),"0123456789")-1=$R282,"Geçerli","Kontrol hanesi hatalı (doğrusu: "&amp;$R282&amp;")")))</f>
        <v/>
      </c>
      <c r="F282">
        <f>IF($A282="","",IF(AND(LEN($B282)=11,SUMPRODUCT(--ISNUMBER(FIND(MID($B282,{1,2,3},1),"ABCDEFGHIJKLMNOPQRSTUVWXYZ")))=3,ISNUMBER(FIND(MID($B282,4,1),"UJZ")),SUMPRODUCT(--ISNUMBER(FIND(MID($B282,{5,6,7,8,9,10,11},1),"0123456789")))=7),1,0))</f>
        <v/>
      </c>
      <c r="G282">
        <f>IF($F282=1,INDEX({10,12,13,14,15,16,17,18,19,20,21,23,24,25,26,27,28,29,30,31,32,34,35,36,37,38},1,FIND(MID($B282,1,1),"ABCDEFGHIJKLMNOPQRSTUVWXYZ")),"")</f>
        <v/>
      </c>
      <c r="H282">
        <f>IF($F282=1,INDEX({10,12,13,14,15,16,17,18,19,20,21,23,24,25,26,27,28,29,30,31,32,34,35,36,37,38},1,FIND(MID($B282,2,1),"ABCDEFGHIJKLMNOPQRSTUVWXYZ")),"")</f>
        <v/>
      </c>
      <c r="I282">
        <f>IF($F282=1,INDEX({10,12,13,14,15,16,17,18,19,20,21,23,24,25,26,27,28,29,30,31,32,34,35,36,37,38},1,FIND(MID($B282,3,1),"ABCDEFGHIJKLMNOPQRSTUVWXYZ")),"")</f>
        <v/>
      </c>
      <c r="J282">
        <f>IF($F282=1,INDEX({10,12,13,14,15,16,17,18,19,20,21,23,24,25,26,27,28,29,30,31,32,34,35,36,37,38},1,FIND(MID($B282,4,1),"ABCDEFGHIJKLMNOPQRSTUVWXYZ")),"")</f>
        <v/>
      </c>
      <c r="K282">
        <f>IF($F282=1,FIND(MID($B282,5,1),"0123456789")-1,"")</f>
        <v/>
      </c>
      <c r="L282">
        <f>IF($F282=1,FIND(MID($B282,6,1),"0123456789")-1,"")</f>
        <v/>
      </c>
      <c r="M282">
        <f>IF($F282=1,FIND(MID($B282,7,1),"0123456789")-1,"")</f>
        <v/>
      </c>
      <c r="N282">
        <f>IF($F282=1,FIND(MID($B282,8,1),"0123456789")-1,"")</f>
        <v/>
      </c>
      <c r="O282">
        <f>IF($F282=1,FIND(MID($B282,9,1),"0123456789")-1,"")</f>
        <v/>
      </c>
      <c r="P282">
        <f>IF($F282=1,FIND(MID($B282,10,1),"0123456789")-1,"")</f>
        <v/>
      </c>
      <c r="Q282">
        <f>IF($F282=1,SUMPRODUCT($G282:$P282,{1,2,4,8,16,32,64,128,256,512}),"")</f>
        <v/>
      </c>
      <c r="R282">
        <f>IF($F282=1,MOD(MOD($Q282,11),10),"")</f>
        <v/>
      </c>
    </row>
    <row r="283">
      <c r="A283" s="6" t="n"/>
      <c r="B283" s="7">
        <f>IF($A283="","",UPPER(SUBSTITUTE(SUBSTITUTE(SUBSTITUTE(SUBSTITUTE(SUBSTITUTE(SUBSTITUTE($A283," ",""),"-",""),".",""),"/",""),"i","I"),"ı","?")))</f>
        <v/>
      </c>
      <c r="C283" s="8">
        <f>IF($F283=1,$R283,"")</f>
        <v/>
      </c>
      <c r="D283" s="7">
        <f>IF($A283="","",IF($F283=0,"Biçim hatalı",IF(FIND(MID($B283,11,1),"0123456789")-1=$R283,"Geçerli","Kontrol hanesi hatalı (doğrusu: "&amp;$R283&amp;")")))</f>
        <v/>
      </c>
      <c r="F283">
        <f>IF($A283="","",IF(AND(LEN($B283)=11,SUMPRODUCT(--ISNUMBER(FIND(MID($B283,{1,2,3},1),"ABCDEFGHIJKLMNOPQRSTUVWXYZ")))=3,ISNUMBER(FIND(MID($B283,4,1),"UJZ")),SUMPRODUCT(--ISNUMBER(FIND(MID($B283,{5,6,7,8,9,10,11},1),"0123456789")))=7),1,0))</f>
        <v/>
      </c>
      <c r="G283">
        <f>IF($F283=1,INDEX({10,12,13,14,15,16,17,18,19,20,21,23,24,25,26,27,28,29,30,31,32,34,35,36,37,38},1,FIND(MID($B283,1,1),"ABCDEFGHIJKLMNOPQRSTUVWXYZ")),"")</f>
        <v/>
      </c>
      <c r="H283">
        <f>IF($F283=1,INDEX({10,12,13,14,15,16,17,18,19,20,21,23,24,25,26,27,28,29,30,31,32,34,35,36,37,38},1,FIND(MID($B283,2,1),"ABCDEFGHIJKLMNOPQRSTUVWXYZ")),"")</f>
        <v/>
      </c>
      <c r="I283">
        <f>IF($F283=1,INDEX({10,12,13,14,15,16,17,18,19,20,21,23,24,25,26,27,28,29,30,31,32,34,35,36,37,38},1,FIND(MID($B283,3,1),"ABCDEFGHIJKLMNOPQRSTUVWXYZ")),"")</f>
        <v/>
      </c>
      <c r="J283">
        <f>IF($F283=1,INDEX({10,12,13,14,15,16,17,18,19,20,21,23,24,25,26,27,28,29,30,31,32,34,35,36,37,38},1,FIND(MID($B283,4,1),"ABCDEFGHIJKLMNOPQRSTUVWXYZ")),"")</f>
        <v/>
      </c>
      <c r="K283">
        <f>IF($F283=1,FIND(MID($B283,5,1),"0123456789")-1,"")</f>
        <v/>
      </c>
      <c r="L283">
        <f>IF($F283=1,FIND(MID($B283,6,1),"0123456789")-1,"")</f>
        <v/>
      </c>
      <c r="M283">
        <f>IF($F283=1,FIND(MID($B283,7,1),"0123456789")-1,"")</f>
        <v/>
      </c>
      <c r="N283">
        <f>IF($F283=1,FIND(MID($B283,8,1),"0123456789")-1,"")</f>
        <v/>
      </c>
      <c r="O283">
        <f>IF($F283=1,FIND(MID($B283,9,1),"0123456789")-1,"")</f>
        <v/>
      </c>
      <c r="P283">
        <f>IF($F283=1,FIND(MID($B283,10,1),"0123456789")-1,"")</f>
        <v/>
      </c>
      <c r="Q283">
        <f>IF($F283=1,SUMPRODUCT($G283:$P283,{1,2,4,8,16,32,64,128,256,512}),"")</f>
        <v/>
      </c>
      <c r="R283">
        <f>IF($F283=1,MOD(MOD($Q283,11),10),"")</f>
        <v/>
      </c>
    </row>
    <row r="284">
      <c r="A284" s="6" t="n"/>
      <c r="B284" s="7">
        <f>IF($A284="","",UPPER(SUBSTITUTE(SUBSTITUTE(SUBSTITUTE(SUBSTITUTE(SUBSTITUTE(SUBSTITUTE($A284," ",""),"-",""),".",""),"/",""),"i","I"),"ı","?")))</f>
        <v/>
      </c>
      <c r="C284" s="8">
        <f>IF($F284=1,$R284,"")</f>
        <v/>
      </c>
      <c r="D284" s="7">
        <f>IF($A284="","",IF($F284=0,"Biçim hatalı",IF(FIND(MID($B284,11,1),"0123456789")-1=$R284,"Geçerli","Kontrol hanesi hatalı (doğrusu: "&amp;$R284&amp;")")))</f>
        <v/>
      </c>
      <c r="F284">
        <f>IF($A284="","",IF(AND(LEN($B284)=11,SUMPRODUCT(--ISNUMBER(FIND(MID($B284,{1,2,3},1),"ABCDEFGHIJKLMNOPQRSTUVWXYZ")))=3,ISNUMBER(FIND(MID($B284,4,1),"UJZ")),SUMPRODUCT(--ISNUMBER(FIND(MID($B284,{5,6,7,8,9,10,11},1),"0123456789")))=7),1,0))</f>
        <v/>
      </c>
      <c r="G284">
        <f>IF($F284=1,INDEX({10,12,13,14,15,16,17,18,19,20,21,23,24,25,26,27,28,29,30,31,32,34,35,36,37,38},1,FIND(MID($B284,1,1),"ABCDEFGHIJKLMNOPQRSTUVWXYZ")),"")</f>
        <v/>
      </c>
      <c r="H284">
        <f>IF($F284=1,INDEX({10,12,13,14,15,16,17,18,19,20,21,23,24,25,26,27,28,29,30,31,32,34,35,36,37,38},1,FIND(MID($B284,2,1),"ABCDEFGHIJKLMNOPQRSTUVWXYZ")),"")</f>
        <v/>
      </c>
      <c r="I284">
        <f>IF($F284=1,INDEX({10,12,13,14,15,16,17,18,19,20,21,23,24,25,26,27,28,29,30,31,32,34,35,36,37,38},1,FIND(MID($B284,3,1),"ABCDEFGHIJKLMNOPQRSTUVWXYZ")),"")</f>
        <v/>
      </c>
      <c r="J284">
        <f>IF($F284=1,INDEX({10,12,13,14,15,16,17,18,19,20,21,23,24,25,26,27,28,29,30,31,32,34,35,36,37,38},1,FIND(MID($B284,4,1),"ABCDEFGHIJKLMNOPQRSTUVWXYZ")),"")</f>
        <v/>
      </c>
      <c r="K284">
        <f>IF($F284=1,FIND(MID($B284,5,1),"0123456789")-1,"")</f>
        <v/>
      </c>
      <c r="L284">
        <f>IF($F284=1,FIND(MID($B284,6,1),"0123456789")-1,"")</f>
        <v/>
      </c>
      <c r="M284">
        <f>IF($F284=1,FIND(MID($B284,7,1),"0123456789")-1,"")</f>
        <v/>
      </c>
      <c r="N284">
        <f>IF($F284=1,FIND(MID($B284,8,1),"0123456789")-1,"")</f>
        <v/>
      </c>
      <c r="O284">
        <f>IF($F284=1,FIND(MID($B284,9,1),"0123456789")-1,"")</f>
        <v/>
      </c>
      <c r="P284">
        <f>IF($F284=1,FIND(MID($B284,10,1),"0123456789")-1,"")</f>
        <v/>
      </c>
      <c r="Q284">
        <f>IF($F284=1,SUMPRODUCT($G284:$P284,{1,2,4,8,16,32,64,128,256,512}),"")</f>
        <v/>
      </c>
      <c r="R284">
        <f>IF($F284=1,MOD(MOD($Q284,11),10),"")</f>
        <v/>
      </c>
    </row>
    <row r="285">
      <c r="A285" s="6" t="n"/>
      <c r="B285" s="7">
        <f>IF($A285="","",UPPER(SUBSTITUTE(SUBSTITUTE(SUBSTITUTE(SUBSTITUTE(SUBSTITUTE(SUBSTITUTE($A285," ",""),"-",""),".",""),"/",""),"i","I"),"ı","?")))</f>
        <v/>
      </c>
      <c r="C285" s="8">
        <f>IF($F285=1,$R285,"")</f>
        <v/>
      </c>
      <c r="D285" s="7">
        <f>IF($A285="","",IF($F285=0,"Biçim hatalı",IF(FIND(MID($B285,11,1),"0123456789")-1=$R285,"Geçerli","Kontrol hanesi hatalı (doğrusu: "&amp;$R285&amp;")")))</f>
        <v/>
      </c>
      <c r="F285">
        <f>IF($A285="","",IF(AND(LEN($B285)=11,SUMPRODUCT(--ISNUMBER(FIND(MID($B285,{1,2,3},1),"ABCDEFGHIJKLMNOPQRSTUVWXYZ")))=3,ISNUMBER(FIND(MID($B285,4,1),"UJZ")),SUMPRODUCT(--ISNUMBER(FIND(MID($B285,{5,6,7,8,9,10,11},1),"0123456789")))=7),1,0))</f>
        <v/>
      </c>
      <c r="G285">
        <f>IF($F285=1,INDEX({10,12,13,14,15,16,17,18,19,20,21,23,24,25,26,27,28,29,30,31,32,34,35,36,37,38},1,FIND(MID($B285,1,1),"ABCDEFGHIJKLMNOPQRSTUVWXYZ")),"")</f>
        <v/>
      </c>
      <c r="H285">
        <f>IF($F285=1,INDEX({10,12,13,14,15,16,17,18,19,20,21,23,24,25,26,27,28,29,30,31,32,34,35,36,37,38},1,FIND(MID($B285,2,1),"ABCDEFGHIJKLMNOPQRSTUVWXYZ")),"")</f>
        <v/>
      </c>
      <c r="I285">
        <f>IF($F285=1,INDEX({10,12,13,14,15,16,17,18,19,20,21,23,24,25,26,27,28,29,30,31,32,34,35,36,37,38},1,FIND(MID($B285,3,1),"ABCDEFGHIJKLMNOPQRSTUVWXYZ")),"")</f>
        <v/>
      </c>
      <c r="J285">
        <f>IF($F285=1,INDEX({10,12,13,14,15,16,17,18,19,20,21,23,24,25,26,27,28,29,30,31,32,34,35,36,37,38},1,FIND(MID($B285,4,1),"ABCDEFGHIJKLMNOPQRSTUVWXYZ")),"")</f>
        <v/>
      </c>
      <c r="K285">
        <f>IF($F285=1,FIND(MID($B285,5,1),"0123456789")-1,"")</f>
        <v/>
      </c>
      <c r="L285">
        <f>IF($F285=1,FIND(MID($B285,6,1),"0123456789")-1,"")</f>
        <v/>
      </c>
      <c r="M285">
        <f>IF($F285=1,FIND(MID($B285,7,1),"0123456789")-1,"")</f>
        <v/>
      </c>
      <c r="N285">
        <f>IF($F285=1,FIND(MID($B285,8,1),"0123456789")-1,"")</f>
        <v/>
      </c>
      <c r="O285">
        <f>IF($F285=1,FIND(MID($B285,9,1),"0123456789")-1,"")</f>
        <v/>
      </c>
      <c r="P285">
        <f>IF($F285=1,FIND(MID($B285,10,1),"0123456789")-1,"")</f>
        <v/>
      </c>
      <c r="Q285">
        <f>IF($F285=1,SUMPRODUCT($G285:$P285,{1,2,4,8,16,32,64,128,256,512}),"")</f>
        <v/>
      </c>
      <c r="R285">
        <f>IF($F285=1,MOD(MOD($Q285,11),10),"")</f>
        <v/>
      </c>
    </row>
    <row r="286">
      <c r="A286" s="6" t="n"/>
      <c r="B286" s="7">
        <f>IF($A286="","",UPPER(SUBSTITUTE(SUBSTITUTE(SUBSTITUTE(SUBSTITUTE(SUBSTITUTE(SUBSTITUTE($A286," ",""),"-",""),".",""),"/",""),"i","I"),"ı","?")))</f>
        <v/>
      </c>
      <c r="C286" s="8">
        <f>IF($F286=1,$R286,"")</f>
        <v/>
      </c>
      <c r="D286" s="7">
        <f>IF($A286="","",IF($F286=0,"Biçim hatalı",IF(FIND(MID($B286,11,1),"0123456789")-1=$R286,"Geçerli","Kontrol hanesi hatalı (doğrusu: "&amp;$R286&amp;")")))</f>
        <v/>
      </c>
      <c r="F286">
        <f>IF($A286="","",IF(AND(LEN($B286)=11,SUMPRODUCT(--ISNUMBER(FIND(MID($B286,{1,2,3},1),"ABCDEFGHIJKLMNOPQRSTUVWXYZ")))=3,ISNUMBER(FIND(MID($B286,4,1),"UJZ")),SUMPRODUCT(--ISNUMBER(FIND(MID($B286,{5,6,7,8,9,10,11},1),"0123456789")))=7),1,0))</f>
        <v/>
      </c>
      <c r="G286">
        <f>IF($F286=1,INDEX({10,12,13,14,15,16,17,18,19,20,21,23,24,25,26,27,28,29,30,31,32,34,35,36,37,38},1,FIND(MID($B286,1,1),"ABCDEFGHIJKLMNOPQRSTUVWXYZ")),"")</f>
        <v/>
      </c>
      <c r="H286">
        <f>IF($F286=1,INDEX({10,12,13,14,15,16,17,18,19,20,21,23,24,25,26,27,28,29,30,31,32,34,35,36,37,38},1,FIND(MID($B286,2,1),"ABCDEFGHIJKLMNOPQRSTUVWXYZ")),"")</f>
        <v/>
      </c>
      <c r="I286">
        <f>IF($F286=1,INDEX({10,12,13,14,15,16,17,18,19,20,21,23,24,25,26,27,28,29,30,31,32,34,35,36,37,38},1,FIND(MID($B286,3,1),"ABCDEFGHIJKLMNOPQRSTUVWXYZ")),"")</f>
        <v/>
      </c>
      <c r="J286">
        <f>IF($F286=1,INDEX({10,12,13,14,15,16,17,18,19,20,21,23,24,25,26,27,28,29,30,31,32,34,35,36,37,38},1,FIND(MID($B286,4,1),"ABCDEFGHIJKLMNOPQRSTUVWXYZ")),"")</f>
        <v/>
      </c>
      <c r="K286">
        <f>IF($F286=1,FIND(MID($B286,5,1),"0123456789")-1,"")</f>
        <v/>
      </c>
      <c r="L286">
        <f>IF($F286=1,FIND(MID($B286,6,1),"0123456789")-1,"")</f>
        <v/>
      </c>
      <c r="M286">
        <f>IF($F286=1,FIND(MID($B286,7,1),"0123456789")-1,"")</f>
        <v/>
      </c>
      <c r="N286">
        <f>IF($F286=1,FIND(MID($B286,8,1),"0123456789")-1,"")</f>
        <v/>
      </c>
      <c r="O286">
        <f>IF($F286=1,FIND(MID($B286,9,1),"0123456789")-1,"")</f>
        <v/>
      </c>
      <c r="P286">
        <f>IF($F286=1,FIND(MID($B286,10,1),"0123456789")-1,"")</f>
        <v/>
      </c>
      <c r="Q286">
        <f>IF($F286=1,SUMPRODUCT($G286:$P286,{1,2,4,8,16,32,64,128,256,512}),"")</f>
        <v/>
      </c>
      <c r="R286">
        <f>IF($F286=1,MOD(MOD($Q286,11),10),"")</f>
        <v/>
      </c>
    </row>
    <row r="287">
      <c r="A287" s="6" t="n"/>
      <c r="B287" s="7">
        <f>IF($A287="","",UPPER(SUBSTITUTE(SUBSTITUTE(SUBSTITUTE(SUBSTITUTE(SUBSTITUTE(SUBSTITUTE($A287," ",""),"-",""),".",""),"/",""),"i","I"),"ı","?")))</f>
        <v/>
      </c>
      <c r="C287" s="8">
        <f>IF($F287=1,$R287,"")</f>
        <v/>
      </c>
      <c r="D287" s="7">
        <f>IF($A287="","",IF($F287=0,"Biçim hatalı",IF(FIND(MID($B287,11,1),"0123456789")-1=$R287,"Geçerli","Kontrol hanesi hatalı (doğrusu: "&amp;$R287&amp;")")))</f>
        <v/>
      </c>
      <c r="F287">
        <f>IF($A287="","",IF(AND(LEN($B287)=11,SUMPRODUCT(--ISNUMBER(FIND(MID($B287,{1,2,3},1),"ABCDEFGHIJKLMNOPQRSTUVWXYZ")))=3,ISNUMBER(FIND(MID($B287,4,1),"UJZ")),SUMPRODUCT(--ISNUMBER(FIND(MID($B287,{5,6,7,8,9,10,11},1),"0123456789")))=7),1,0))</f>
        <v/>
      </c>
      <c r="G287">
        <f>IF($F287=1,INDEX({10,12,13,14,15,16,17,18,19,20,21,23,24,25,26,27,28,29,30,31,32,34,35,36,37,38},1,FIND(MID($B287,1,1),"ABCDEFGHIJKLMNOPQRSTUVWXYZ")),"")</f>
        <v/>
      </c>
      <c r="H287">
        <f>IF($F287=1,INDEX({10,12,13,14,15,16,17,18,19,20,21,23,24,25,26,27,28,29,30,31,32,34,35,36,37,38},1,FIND(MID($B287,2,1),"ABCDEFGHIJKLMNOPQRSTUVWXYZ")),"")</f>
        <v/>
      </c>
      <c r="I287">
        <f>IF($F287=1,INDEX({10,12,13,14,15,16,17,18,19,20,21,23,24,25,26,27,28,29,30,31,32,34,35,36,37,38},1,FIND(MID($B287,3,1),"ABCDEFGHIJKLMNOPQRSTUVWXYZ")),"")</f>
        <v/>
      </c>
      <c r="J287">
        <f>IF($F287=1,INDEX({10,12,13,14,15,16,17,18,19,20,21,23,24,25,26,27,28,29,30,31,32,34,35,36,37,38},1,FIND(MID($B287,4,1),"ABCDEFGHIJKLMNOPQRSTUVWXYZ")),"")</f>
        <v/>
      </c>
      <c r="K287">
        <f>IF($F287=1,FIND(MID($B287,5,1),"0123456789")-1,"")</f>
        <v/>
      </c>
      <c r="L287">
        <f>IF($F287=1,FIND(MID($B287,6,1),"0123456789")-1,"")</f>
        <v/>
      </c>
      <c r="M287">
        <f>IF($F287=1,FIND(MID($B287,7,1),"0123456789")-1,"")</f>
        <v/>
      </c>
      <c r="N287">
        <f>IF($F287=1,FIND(MID($B287,8,1),"0123456789")-1,"")</f>
        <v/>
      </c>
      <c r="O287">
        <f>IF($F287=1,FIND(MID($B287,9,1),"0123456789")-1,"")</f>
        <v/>
      </c>
      <c r="P287">
        <f>IF($F287=1,FIND(MID($B287,10,1),"0123456789")-1,"")</f>
        <v/>
      </c>
      <c r="Q287">
        <f>IF($F287=1,SUMPRODUCT($G287:$P287,{1,2,4,8,16,32,64,128,256,512}),"")</f>
        <v/>
      </c>
      <c r="R287">
        <f>IF($F287=1,MOD(MOD($Q287,11),10),"")</f>
        <v/>
      </c>
    </row>
    <row r="288">
      <c r="A288" s="6" t="n"/>
      <c r="B288" s="7">
        <f>IF($A288="","",UPPER(SUBSTITUTE(SUBSTITUTE(SUBSTITUTE(SUBSTITUTE(SUBSTITUTE(SUBSTITUTE($A288," ",""),"-",""),".",""),"/",""),"i","I"),"ı","?")))</f>
        <v/>
      </c>
      <c r="C288" s="8">
        <f>IF($F288=1,$R288,"")</f>
        <v/>
      </c>
      <c r="D288" s="7">
        <f>IF($A288="","",IF($F288=0,"Biçim hatalı",IF(FIND(MID($B288,11,1),"0123456789")-1=$R288,"Geçerli","Kontrol hanesi hatalı (doğrusu: "&amp;$R288&amp;")")))</f>
        <v/>
      </c>
      <c r="F288">
        <f>IF($A288="","",IF(AND(LEN($B288)=11,SUMPRODUCT(--ISNUMBER(FIND(MID($B288,{1,2,3},1),"ABCDEFGHIJKLMNOPQRSTUVWXYZ")))=3,ISNUMBER(FIND(MID($B288,4,1),"UJZ")),SUMPRODUCT(--ISNUMBER(FIND(MID($B288,{5,6,7,8,9,10,11},1),"0123456789")))=7),1,0))</f>
        <v/>
      </c>
      <c r="G288">
        <f>IF($F288=1,INDEX({10,12,13,14,15,16,17,18,19,20,21,23,24,25,26,27,28,29,30,31,32,34,35,36,37,38},1,FIND(MID($B288,1,1),"ABCDEFGHIJKLMNOPQRSTUVWXYZ")),"")</f>
        <v/>
      </c>
      <c r="H288">
        <f>IF($F288=1,INDEX({10,12,13,14,15,16,17,18,19,20,21,23,24,25,26,27,28,29,30,31,32,34,35,36,37,38},1,FIND(MID($B288,2,1),"ABCDEFGHIJKLMNOPQRSTUVWXYZ")),"")</f>
        <v/>
      </c>
      <c r="I288">
        <f>IF($F288=1,INDEX({10,12,13,14,15,16,17,18,19,20,21,23,24,25,26,27,28,29,30,31,32,34,35,36,37,38},1,FIND(MID($B288,3,1),"ABCDEFGHIJKLMNOPQRSTUVWXYZ")),"")</f>
        <v/>
      </c>
      <c r="J288">
        <f>IF($F288=1,INDEX({10,12,13,14,15,16,17,18,19,20,21,23,24,25,26,27,28,29,30,31,32,34,35,36,37,38},1,FIND(MID($B288,4,1),"ABCDEFGHIJKLMNOPQRSTUVWXYZ")),"")</f>
        <v/>
      </c>
      <c r="K288">
        <f>IF($F288=1,FIND(MID($B288,5,1),"0123456789")-1,"")</f>
        <v/>
      </c>
      <c r="L288">
        <f>IF($F288=1,FIND(MID($B288,6,1),"0123456789")-1,"")</f>
        <v/>
      </c>
      <c r="M288">
        <f>IF($F288=1,FIND(MID($B288,7,1),"0123456789")-1,"")</f>
        <v/>
      </c>
      <c r="N288">
        <f>IF($F288=1,FIND(MID($B288,8,1),"0123456789")-1,"")</f>
        <v/>
      </c>
      <c r="O288">
        <f>IF($F288=1,FIND(MID($B288,9,1),"0123456789")-1,"")</f>
        <v/>
      </c>
      <c r="P288">
        <f>IF($F288=1,FIND(MID($B288,10,1),"0123456789")-1,"")</f>
        <v/>
      </c>
      <c r="Q288">
        <f>IF($F288=1,SUMPRODUCT($G288:$P288,{1,2,4,8,16,32,64,128,256,512}),"")</f>
        <v/>
      </c>
      <c r="R288">
        <f>IF($F288=1,MOD(MOD($Q288,11),10),"")</f>
        <v/>
      </c>
    </row>
    <row r="289">
      <c r="A289" s="6" t="n"/>
      <c r="B289" s="7">
        <f>IF($A289="","",UPPER(SUBSTITUTE(SUBSTITUTE(SUBSTITUTE(SUBSTITUTE(SUBSTITUTE(SUBSTITUTE($A289," ",""),"-",""),".",""),"/",""),"i","I"),"ı","?")))</f>
        <v/>
      </c>
      <c r="C289" s="8">
        <f>IF($F289=1,$R289,"")</f>
        <v/>
      </c>
      <c r="D289" s="7">
        <f>IF($A289="","",IF($F289=0,"Biçim hatalı",IF(FIND(MID($B289,11,1),"0123456789")-1=$R289,"Geçerli","Kontrol hanesi hatalı (doğrusu: "&amp;$R289&amp;")")))</f>
        <v/>
      </c>
      <c r="F289">
        <f>IF($A289="","",IF(AND(LEN($B289)=11,SUMPRODUCT(--ISNUMBER(FIND(MID($B289,{1,2,3},1),"ABCDEFGHIJKLMNOPQRSTUVWXYZ")))=3,ISNUMBER(FIND(MID($B289,4,1),"UJZ")),SUMPRODUCT(--ISNUMBER(FIND(MID($B289,{5,6,7,8,9,10,11},1),"0123456789")))=7),1,0))</f>
        <v/>
      </c>
      <c r="G289">
        <f>IF($F289=1,INDEX({10,12,13,14,15,16,17,18,19,20,21,23,24,25,26,27,28,29,30,31,32,34,35,36,37,38},1,FIND(MID($B289,1,1),"ABCDEFGHIJKLMNOPQRSTUVWXYZ")),"")</f>
        <v/>
      </c>
      <c r="H289">
        <f>IF($F289=1,INDEX({10,12,13,14,15,16,17,18,19,20,21,23,24,25,26,27,28,29,30,31,32,34,35,36,37,38},1,FIND(MID($B289,2,1),"ABCDEFGHIJKLMNOPQRSTUVWXYZ")),"")</f>
        <v/>
      </c>
      <c r="I289">
        <f>IF($F289=1,INDEX({10,12,13,14,15,16,17,18,19,20,21,23,24,25,26,27,28,29,30,31,32,34,35,36,37,38},1,FIND(MID($B289,3,1),"ABCDEFGHIJKLMNOPQRSTUVWXYZ")),"")</f>
        <v/>
      </c>
      <c r="J289">
        <f>IF($F289=1,INDEX({10,12,13,14,15,16,17,18,19,20,21,23,24,25,26,27,28,29,30,31,32,34,35,36,37,38},1,FIND(MID($B289,4,1),"ABCDEFGHIJKLMNOPQRSTUVWXYZ")),"")</f>
        <v/>
      </c>
      <c r="K289">
        <f>IF($F289=1,FIND(MID($B289,5,1),"0123456789")-1,"")</f>
        <v/>
      </c>
      <c r="L289">
        <f>IF($F289=1,FIND(MID($B289,6,1),"0123456789")-1,"")</f>
        <v/>
      </c>
      <c r="M289">
        <f>IF($F289=1,FIND(MID($B289,7,1),"0123456789")-1,"")</f>
        <v/>
      </c>
      <c r="N289">
        <f>IF($F289=1,FIND(MID($B289,8,1),"0123456789")-1,"")</f>
        <v/>
      </c>
      <c r="O289">
        <f>IF($F289=1,FIND(MID($B289,9,1),"0123456789")-1,"")</f>
        <v/>
      </c>
      <c r="P289">
        <f>IF($F289=1,FIND(MID($B289,10,1),"0123456789")-1,"")</f>
        <v/>
      </c>
      <c r="Q289">
        <f>IF($F289=1,SUMPRODUCT($G289:$P289,{1,2,4,8,16,32,64,128,256,512}),"")</f>
        <v/>
      </c>
      <c r="R289">
        <f>IF($F289=1,MOD(MOD($Q289,11),10),"")</f>
        <v/>
      </c>
    </row>
    <row r="290">
      <c r="A290" s="6" t="n"/>
      <c r="B290" s="7">
        <f>IF($A290="","",UPPER(SUBSTITUTE(SUBSTITUTE(SUBSTITUTE(SUBSTITUTE(SUBSTITUTE(SUBSTITUTE($A290," ",""),"-",""),".",""),"/",""),"i","I"),"ı","?")))</f>
        <v/>
      </c>
      <c r="C290" s="8">
        <f>IF($F290=1,$R290,"")</f>
        <v/>
      </c>
      <c r="D290" s="7">
        <f>IF($A290="","",IF($F290=0,"Biçim hatalı",IF(FIND(MID($B290,11,1),"0123456789")-1=$R290,"Geçerli","Kontrol hanesi hatalı (doğrusu: "&amp;$R290&amp;")")))</f>
        <v/>
      </c>
      <c r="F290">
        <f>IF($A290="","",IF(AND(LEN($B290)=11,SUMPRODUCT(--ISNUMBER(FIND(MID($B290,{1,2,3},1),"ABCDEFGHIJKLMNOPQRSTUVWXYZ")))=3,ISNUMBER(FIND(MID($B290,4,1),"UJZ")),SUMPRODUCT(--ISNUMBER(FIND(MID($B290,{5,6,7,8,9,10,11},1),"0123456789")))=7),1,0))</f>
        <v/>
      </c>
      <c r="G290">
        <f>IF($F290=1,INDEX({10,12,13,14,15,16,17,18,19,20,21,23,24,25,26,27,28,29,30,31,32,34,35,36,37,38},1,FIND(MID($B290,1,1),"ABCDEFGHIJKLMNOPQRSTUVWXYZ")),"")</f>
        <v/>
      </c>
      <c r="H290">
        <f>IF($F290=1,INDEX({10,12,13,14,15,16,17,18,19,20,21,23,24,25,26,27,28,29,30,31,32,34,35,36,37,38},1,FIND(MID($B290,2,1),"ABCDEFGHIJKLMNOPQRSTUVWXYZ")),"")</f>
        <v/>
      </c>
      <c r="I290">
        <f>IF($F290=1,INDEX({10,12,13,14,15,16,17,18,19,20,21,23,24,25,26,27,28,29,30,31,32,34,35,36,37,38},1,FIND(MID($B290,3,1),"ABCDEFGHIJKLMNOPQRSTUVWXYZ")),"")</f>
        <v/>
      </c>
      <c r="J290">
        <f>IF($F290=1,INDEX({10,12,13,14,15,16,17,18,19,20,21,23,24,25,26,27,28,29,30,31,32,34,35,36,37,38},1,FIND(MID($B290,4,1),"ABCDEFGHIJKLMNOPQRSTUVWXYZ")),"")</f>
        <v/>
      </c>
      <c r="K290">
        <f>IF($F290=1,FIND(MID($B290,5,1),"0123456789")-1,"")</f>
        <v/>
      </c>
      <c r="L290">
        <f>IF($F290=1,FIND(MID($B290,6,1),"0123456789")-1,"")</f>
        <v/>
      </c>
      <c r="M290">
        <f>IF($F290=1,FIND(MID($B290,7,1),"0123456789")-1,"")</f>
        <v/>
      </c>
      <c r="N290">
        <f>IF($F290=1,FIND(MID($B290,8,1),"0123456789")-1,"")</f>
        <v/>
      </c>
      <c r="O290">
        <f>IF($F290=1,FIND(MID($B290,9,1),"0123456789")-1,"")</f>
        <v/>
      </c>
      <c r="P290">
        <f>IF($F290=1,FIND(MID($B290,10,1),"0123456789")-1,"")</f>
        <v/>
      </c>
      <c r="Q290">
        <f>IF($F290=1,SUMPRODUCT($G290:$P290,{1,2,4,8,16,32,64,128,256,512}),"")</f>
        <v/>
      </c>
      <c r="R290">
        <f>IF($F290=1,MOD(MOD($Q290,11),10),"")</f>
        <v/>
      </c>
    </row>
    <row r="291">
      <c r="A291" s="6" t="n"/>
      <c r="B291" s="7">
        <f>IF($A291="","",UPPER(SUBSTITUTE(SUBSTITUTE(SUBSTITUTE(SUBSTITUTE(SUBSTITUTE(SUBSTITUTE($A291," ",""),"-",""),".",""),"/",""),"i","I"),"ı","?")))</f>
        <v/>
      </c>
      <c r="C291" s="8">
        <f>IF($F291=1,$R291,"")</f>
        <v/>
      </c>
      <c r="D291" s="7">
        <f>IF($A291="","",IF($F291=0,"Biçim hatalı",IF(FIND(MID($B291,11,1),"0123456789")-1=$R291,"Geçerli","Kontrol hanesi hatalı (doğrusu: "&amp;$R291&amp;")")))</f>
        <v/>
      </c>
      <c r="F291">
        <f>IF($A291="","",IF(AND(LEN($B291)=11,SUMPRODUCT(--ISNUMBER(FIND(MID($B291,{1,2,3},1),"ABCDEFGHIJKLMNOPQRSTUVWXYZ")))=3,ISNUMBER(FIND(MID($B291,4,1),"UJZ")),SUMPRODUCT(--ISNUMBER(FIND(MID($B291,{5,6,7,8,9,10,11},1),"0123456789")))=7),1,0))</f>
        <v/>
      </c>
      <c r="G291">
        <f>IF($F291=1,INDEX({10,12,13,14,15,16,17,18,19,20,21,23,24,25,26,27,28,29,30,31,32,34,35,36,37,38},1,FIND(MID($B291,1,1),"ABCDEFGHIJKLMNOPQRSTUVWXYZ")),"")</f>
        <v/>
      </c>
      <c r="H291">
        <f>IF($F291=1,INDEX({10,12,13,14,15,16,17,18,19,20,21,23,24,25,26,27,28,29,30,31,32,34,35,36,37,38},1,FIND(MID($B291,2,1),"ABCDEFGHIJKLMNOPQRSTUVWXYZ")),"")</f>
        <v/>
      </c>
      <c r="I291">
        <f>IF($F291=1,INDEX({10,12,13,14,15,16,17,18,19,20,21,23,24,25,26,27,28,29,30,31,32,34,35,36,37,38},1,FIND(MID($B291,3,1),"ABCDEFGHIJKLMNOPQRSTUVWXYZ")),"")</f>
        <v/>
      </c>
      <c r="J291">
        <f>IF($F291=1,INDEX({10,12,13,14,15,16,17,18,19,20,21,23,24,25,26,27,28,29,30,31,32,34,35,36,37,38},1,FIND(MID($B291,4,1),"ABCDEFGHIJKLMNOPQRSTUVWXYZ")),"")</f>
        <v/>
      </c>
      <c r="K291">
        <f>IF($F291=1,FIND(MID($B291,5,1),"0123456789")-1,"")</f>
        <v/>
      </c>
      <c r="L291">
        <f>IF($F291=1,FIND(MID($B291,6,1),"0123456789")-1,"")</f>
        <v/>
      </c>
      <c r="M291">
        <f>IF($F291=1,FIND(MID($B291,7,1),"0123456789")-1,"")</f>
        <v/>
      </c>
      <c r="N291">
        <f>IF($F291=1,FIND(MID($B291,8,1),"0123456789")-1,"")</f>
        <v/>
      </c>
      <c r="O291">
        <f>IF($F291=1,FIND(MID($B291,9,1),"0123456789")-1,"")</f>
        <v/>
      </c>
      <c r="P291">
        <f>IF($F291=1,FIND(MID($B291,10,1),"0123456789")-1,"")</f>
        <v/>
      </c>
      <c r="Q291">
        <f>IF($F291=1,SUMPRODUCT($G291:$P291,{1,2,4,8,16,32,64,128,256,512}),"")</f>
        <v/>
      </c>
      <c r="R291">
        <f>IF($F291=1,MOD(MOD($Q291,11),10),"")</f>
        <v/>
      </c>
    </row>
    <row r="292">
      <c r="A292" s="6" t="n"/>
      <c r="B292" s="7">
        <f>IF($A292="","",UPPER(SUBSTITUTE(SUBSTITUTE(SUBSTITUTE(SUBSTITUTE(SUBSTITUTE(SUBSTITUTE($A292," ",""),"-",""),".",""),"/",""),"i","I"),"ı","?")))</f>
        <v/>
      </c>
      <c r="C292" s="8">
        <f>IF($F292=1,$R292,"")</f>
        <v/>
      </c>
      <c r="D292" s="7">
        <f>IF($A292="","",IF($F292=0,"Biçim hatalı",IF(FIND(MID($B292,11,1),"0123456789")-1=$R292,"Geçerli","Kontrol hanesi hatalı (doğrusu: "&amp;$R292&amp;")")))</f>
        <v/>
      </c>
      <c r="F292">
        <f>IF($A292="","",IF(AND(LEN($B292)=11,SUMPRODUCT(--ISNUMBER(FIND(MID($B292,{1,2,3},1),"ABCDEFGHIJKLMNOPQRSTUVWXYZ")))=3,ISNUMBER(FIND(MID($B292,4,1),"UJZ")),SUMPRODUCT(--ISNUMBER(FIND(MID($B292,{5,6,7,8,9,10,11},1),"0123456789")))=7),1,0))</f>
        <v/>
      </c>
      <c r="G292">
        <f>IF($F292=1,INDEX({10,12,13,14,15,16,17,18,19,20,21,23,24,25,26,27,28,29,30,31,32,34,35,36,37,38},1,FIND(MID($B292,1,1),"ABCDEFGHIJKLMNOPQRSTUVWXYZ")),"")</f>
        <v/>
      </c>
      <c r="H292">
        <f>IF($F292=1,INDEX({10,12,13,14,15,16,17,18,19,20,21,23,24,25,26,27,28,29,30,31,32,34,35,36,37,38},1,FIND(MID($B292,2,1),"ABCDEFGHIJKLMNOPQRSTUVWXYZ")),"")</f>
        <v/>
      </c>
      <c r="I292">
        <f>IF($F292=1,INDEX({10,12,13,14,15,16,17,18,19,20,21,23,24,25,26,27,28,29,30,31,32,34,35,36,37,38},1,FIND(MID($B292,3,1),"ABCDEFGHIJKLMNOPQRSTUVWXYZ")),"")</f>
        <v/>
      </c>
      <c r="J292">
        <f>IF($F292=1,INDEX({10,12,13,14,15,16,17,18,19,20,21,23,24,25,26,27,28,29,30,31,32,34,35,36,37,38},1,FIND(MID($B292,4,1),"ABCDEFGHIJKLMNOPQRSTUVWXYZ")),"")</f>
        <v/>
      </c>
      <c r="K292">
        <f>IF($F292=1,FIND(MID($B292,5,1),"0123456789")-1,"")</f>
        <v/>
      </c>
      <c r="L292">
        <f>IF($F292=1,FIND(MID($B292,6,1),"0123456789")-1,"")</f>
        <v/>
      </c>
      <c r="M292">
        <f>IF($F292=1,FIND(MID($B292,7,1),"0123456789")-1,"")</f>
        <v/>
      </c>
      <c r="N292">
        <f>IF($F292=1,FIND(MID($B292,8,1),"0123456789")-1,"")</f>
        <v/>
      </c>
      <c r="O292">
        <f>IF($F292=1,FIND(MID($B292,9,1),"0123456789")-1,"")</f>
        <v/>
      </c>
      <c r="P292">
        <f>IF($F292=1,FIND(MID($B292,10,1),"0123456789")-1,"")</f>
        <v/>
      </c>
      <c r="Q292">
        <f>IF($F292=1,SUMPRODUCT($G292:$P292,{1,2,4,8,16,32,64,128,256,512}),"")</f>
        <v/>
      </c>
      <c r="R292">
        <f>IF($F292=1,MOD(MOD($Q292,11),10),"")</f>
        <v/>
      </c>
    </row>
    <row r="293">
      <c r="A293" s="6" t="n"/>
      <c r="B293" s="7">
        <f>IF($A293="","",UPPER(SUBSTITUTE(SUBSTITUTE(SUBSTITUTE(SUBSTITUTE(SUBSTITUTE(SUBSTITUTE($A293," ",""),"-",""),".",""),"/",""),"i","I"),"ı","?")))</f>
        <v/>
      </c>
      <c r="C293" s="8">
        <f>IF($F293=1,$R293,"")</f>
        <v/>
      </c>
      <c r="D293" s="7">
        <f>IF($A293="","",IF($F293=0,"Biçim hatalı",IF(FIND(MID($B293,11,1),"0123456789")-1=$R293,"Geçerli","Kontrol hanesi hatalı (doğrusu: "&amp;$R293&amp;")")))</f>
        <v/>
      </c>
      <c r="F293">
        <f>IF($A293="","",IF(AND(LEN($B293)=11,SUMPRODUCT(--ISNUMBER(FIND(MID($B293,{1,2,3},1),"ABCDEFGHIJKLMNOPQRSTUVWXYZ")))=3,ISNUMBER(FIND(MID($B293,4,1),"UJZ")),SUMPRODUCT(--ISNUMBER(FIND(MID($B293,{5,6,7,8,9,10,11},1),"0123456789")))=7),1,0))</f>
        <v/>
      </c>
      <c r="G293">
        <f>IF($F293=1,INDEX({10,12,13,14,15,16,17,18,19,20,21,23,24,25,26,27,28,29,30,31,32,34,35,36,37,38},1,FIND(MID($B293,1,1),"ABCDEFGHIJKLMNOPQRSTUVWXYZ")),"")</f>
        <v/>
      </c>
      <c r="H293">
        <f>IF($F293=1,INDEX({10,12,13,14,15,16,17,18,19,20,21,23,24,25,26,27,28,29,30,31,32,34,35,36,37,38},1,FIND(MID($B293,2,1),"ABCDEFGHIJKLMNOPQRSTUVWXYZ")),"")</f>
        <v/>
      </c>
      <c r="I293">
        <f>IF($F293=1,INDEX({10,12,13,14,15,16,17,18,19,20,21,23,24,25,26,27,28,29,30,31,32,34,35,36,37,38},1,FIND(MID($B293,3,1),"ABCDEFGHIJKLMNOPQRSTUVWXYZ")),"")</f>
        <v/>
      </c>
      <c r="J293">
        <f>IF($F293=1,INDEX({10,12,13,14,15,16,17,18,19,20,21,23,24,25,26,27,28,29,30,31,32,34,35,36,37,38},1,FIND(MID($B293,4,1),"ABCDEFGHIJKLMNOPQRSTUVWXYZ")),"")</f>
        <v/>
      </c>
      <c r="K293">
        <f>IF($F293=1,FIND(MID($B293,5,1),"0123456789")-1,"")</f>
        <v/>
      </c>
      <c r="L293">
        <f>IF($F293=1,FIND(MID($B293,6,1),"0123456789")-1,"")</f>
        <v/>
      </c>
      <c r="M293">
        <f>IF($F293=1,FIND(MID($B293,7,1),"0123456789")-1,"")</f>
        <v/>
      </c>
      <c r="N293">
        <f>IF($F293=1,FIND(MID($B293,8,1),"0123456789")-1,"")</f>
        <v/>
      </c>
      <c r="O293">
        <f>IF($F293=1,FIND(MID($B293,9,1),"0123456789")-1,"")</f>
        <v/>
      </c>
      <c r="P293">
        <f>IF($F293=1,FIND(MID($B293,10,1),"0123456789")-1,"")</f>
        <v/>
      </c>
      <c r="Q293">
        <f>IF($F293=1,SUMPRODUCT($G293:$P293,{1,2,4,8,16,32,64,128,256,512}),"")</f>
        <v/>
      </c>
      <c r="R293">
        <f>IF($F293=1,MOD(MOD($Q293,11),10),"")</f>
        <v/>
      </c>
    </row>
    <row r="294">
      <c r="A294" s="6" t="n"/>
      <c r="B294" s="7">
        <f>IF($A294="","",UPPER(SUBSTITUTE(SUBSTITUTE(SUBSTITUTE(SUBSTITUTE(SUBSTITUTE(SUBSTITUTE($A294," ",""),"-",""),".",""),"/",""),"i","I"),"ı","?")))</f>
        <v/>
      </c>
      <c r="C294" s="8">
        <f>IF($F294=1,$R294,"")</f>
        <v/>
      </c>
      <c r="D294" s="7">
        <f>IF($A294="","",IF($F294=0,"Biçim hatalı",IF(FIND(MID($B294,11,1),"0123456789")-1=$R294,"Geçerli","Kontrol hanesi hatalı (doğrusu: "&amp;$R294&amp;")")))</f>
        <v/>
      </c>
      <c r="F294">
        <f>IF($A294="","",IF(AND(LEN($B294)=11,SUMPRODUCT(--ISNUMBER(FIND(MID($B294,{1,2,3},1),"ABCDEFGHIJKLMNOPQRSTUVWXYZ")))=3,ISNUMBER(FIND(MID($B294,4,1),"UJZ")),SUMPRODUCT(--ISNUMBER(FIND(MID($B294,{5,6,7,8,9,10,11},1),"0123456789")))=7),1,0))</f>
        <v/>
      </c>
      <c r="G294">
        <f>IF($F294=1,INDEX({10,12,13,14,15,16,17,18,19,20,21,23,24,25,26,27,28,29,30,31,32,34,35,36,37,38},1,FIND(MID($B294,1,1),"ABCDEFGHIJKLMNOPQRSTUVWXYZ")),"")</f>
        <v/>
      </c>
      <c r="H294">
        <f>IF($F294=1,INDEX({10,12,13,14,15,16,17,18,19,20,21,23,24,25,26,27,28,29,30,31,32,34,35,36,37,38},1,FIND(MID($B294,2,1),"ABCDEFGHIJKLMNOPQRSTUVWXYZ")),"")</f>
        <v/>
      </c>
      <c r="I294">
        <f>IF($F294=1,INDEX({10,12,13,14,15,16,17,18,19,20,21,23,24,25,26,27,28,29,30,31,32,34,35,36,37,38},1,FIND(MID($B294,3,1),"ABCDEFGHIJKLMNOPQRSTUVWXYZ")),"")</f>
        <v/>
      </c>
      <c r="J294">
        <f>IF($F294=1,INDEX({10,12,13,14,15,16,17,18,19,20,21,23,24,25,26,27,28,29,30,31,32,34,35,36,37,38},1,FIND(MID($B294,4,1),"ABCDEFGHIJKLMNOPQRSTUVWXYZ")),"")</f>
        <v/>
      </c>
      <c r="K294">
        <f>IF($F294=1,FIND(MID($B294,5,1),"0123456789")-1,"")</f>
        <v/>
      </c>
      <c r="L294">
        <f>IF($F294=1,FIND(MID($B294,6,1),"0123456789")-1,"")</f>
        <v/>
      </c>
      <c r="M294">
        <f>IF($F294=1,FIND(MID($B294,7,1),"0123456789")-1,"")</f>
        <v/>
      </c>
      <c r="N294">
        <f>IF($F294=1,FIND(MID($B294,8,1),"0123456789")-1,"")</f>
        <v/>
      </c>
      <c r="O294">
        <f>IF($F294=1,FIND(MID($B294,9,1),"0123456789")-1,"")</f>
        <v/>
      </c>
      <c r="P294">
        <f>IF($F294=1,FIND(MID($B294,10,1),"0123456789")-1,"")</f>
        <v/>
      </c>
      <c r="Q294">
        <f>IF($F294=1,SUMPRODUCT($G294:$P294,{1,2,4,8,16,32,64,128,256,512}),"")</f>
        <v/>
      </c>
      <c r="R294">
        <f>IF($F294=1,MOD(MOD($Q294,11),10),"")</f>
        <v/>
      </c>
    </row>
    <row r="295">
      <c r="A295" s="6" t="n"/>
      <c r="B295" s="7">
        <f>IF($A295="","",UPPER(SUBSTITUTE(SUBSTITUTE(SUBSTITUTE(SUBSTITUTE(SUBSTITUTE(SUBSTITUTE($A295," ",""),"-",""),".",""),"/",""),"i","I"),"ı","?")))</f>
        <v/>
      </c>
      <c r="C295" s="8">
        <f>IF($F295=1,$R295,"")</f>
        <v/>
      </c>
      <c r="D295" s="7">
        <f>IF($A295="","",IF($F295=0,"Biçim hatalı",IF(FIND(MID($B295,11,1),"0123456789")-1=$R295,"Geçerli","Kontrol hanesi hatalı (doğrusu: "&amp;$R295&amp;")")))</f>
        <v/>
      </c>
      <c r="F295">
        <f>IF($A295="","",IF(AND(LEN($B295)=11,SUMPRODUCT(--ISNUMBER(FIND(MID($B295,{1,2,3},1),"ABCDEFGHIJKLMNOPQRSTUVWXYZ")))=3,ISNUMBER(FIND(MID($B295,4,1),"UJZ")),SUMPRODUCT(--ISNUMBER(FIND(MID($B295,{5,6,7,8,9,10,11},1),"0123456789")))=7),1,0))</f>
        <v/>
      </c>
      <c r="G295">
        <f>IF($F295=1,INDEX({10,12,13,14,15,16,17,18,19,20,21,23,24,25,26,27,28,29,30,31,32,34,35,36,37,38},1,FIND(MID($B295,1,1),"ABCDEFGHIJKLMNOPQRSTUVWXYZ")),"")</f>
        <v/>
      </c>
      <c r="H295">
        <f>IF($F295=1,INDEX({10,12,13,14,15,16,17,18,19,20,21,23,24,25,26,27,28,29,30,31,32,34,35,36,37,38},1,FIND(MID($B295,2,1),"ABCDEFGHIJKLMNOPQRSTUVWXYZ")),"")</f>
        <v/>
      </c>
      <c r="I295">
        <f>IF($F295=1,INDEX({10,12,13,14,15,16,17,18,19,20,21,23,24,25,26,27,28,29,30,31,32,34,35,36,37,38},1,FIND(MID($B295,3,1),"ABCDEFGHIJKLMNOPQRSTUVWXYZ")),"")</f>
        <v/>
      </c>
      <c r="J295">
        <f>IF($F295=1,INDEX({10,12,13,14,15,16,17,18,19,20,21,23,24,25,26,27,28,29,30,31,32,34,35,36,37,38},1,FIND(MID($B295,4,1),"ABCDEFGHIJKLMNOPQRSTUVWXYZ")),"")</f>
        <v/>
      </c>
      <c r="K295">
        <f>IF($F295=1,FIND(MID($B295,5,1),"0123456789")-1,"")</f>
        <v/>
      </c>
      <c r="L295">
        <f>IF($F295=1,FIND(MID($B295,6,1),"0123456789")-1,"")</f>
        <v/>
      </c>
      <c r="M295">
        <f>IF($F295=1,FIND(MID($B295,7,1),"0123456789")-1,"")</f>
        <v/>
      </c>
      <c r="N295">
        <f>IF($F295=1,FIND(MID($B295,8,1),"0123456789")-1,"")</f>
        <v/>
      </c>
      <c r="O295">
        <f>IF($F295=1,FIND(MID($B295,9,1),"0123456789")-1,"")</f>
        <v/>
      </c>
      <c r="P295">
        <f>IF($F295=1,FIND(MID($B295,10,1),"0123456789")-1,"")</f>
        <v/>
      </c>
      <c r="Q295">
        <f>IF($F295=1,SUMPRODUCT($G295:$P295,{1,2,4,8,16,32,64,128,256,512}),"")</f>
        <v/>
      </c>
      <c r="R295">
        <f>IF($F295=1,MOD(MOD($Q295,11),10),"")</f>
        <v/>
      </c>
    </row>
    <row r="296">
      <c r="A296" s="6" t="n"/>
      <c r="B296" s="7">
        <f>IF($A296="","",UPPER(SUBSTITUTE(SUBSTITUTE(SUBSTITUTE(SUBSTITUTE(SUBSTITUTE(SUBSTITUTE($A296," ",""),"-",""),".",""),"/",""),"i","I"),"ı","?")))</f>
        <v/>
      </c>
      <c r="C296" s="8">
        <f>IF($F296=1,$R296,"")</f>
        <v/>
      </c>
      <c r="D296" s="7">
        <f>IF($A296="","",IF($F296=0,"Biçim hatalı",IF(FIND(MID($B296,11,1),"0123456789")-1=$R296,"Geçerli","Kontrol hanesi hatalı (doğrusu: "&amp;$R296&amp;")")))</f>
        <v/>
      </c>
      <c r="F296">
        <f>IF($A296="","",IF(AND(LEN($B296)=11,SUMPRODUCT(--ISNUMBER(FIND(MID($B296,{1,2,3},1),"ABCDEFGHIJKLMNOPQRSTUVWXYZ")))=3,ISNUMBER(FIND(MID($B296,4,1),"UJZ")),SUMPRODUCT(--ISNUMBER(FIND(MID($B296,{5,6,7,8,9,10,11},1),"0123456789")))=7),1,0))</f>
        <v/>
      </c>
      <c r="G296">
        <f>IF($F296=1,INDEX({10,12,13,14,15,16,17,18,19,20,21,23,24,25,26,27,28,29,30,31,32,34,35,36,37,38},1,FIND(MID($B296,1,1),"ABCDEFGHIJKLMNOPQRSTUVWXYZ")),"")</f>
        <v/>
      </c>
      <c r="H296">
        <f>IF($F296=1,INDEX({10,12,13,14,15,16,17,18,19,20,21,23,24,25,26,27,28,29,30,31,32,34,35,36,37,38},1,FIND(MID($B296,2,1),"ABCDEFGHIJKLMNOPQRSTUVWXYZ")),"")</f>
        <v/>
      </c>
      <c r="I296">
        <f>IF($F296=1,INDEX({10,12,13,14,15,16,17,18,19,20,21,23,24,25,26,27,28,29,30,31,32,34,35,36,37,38},1,FIND(MID($B296,3,1),"ABCDEFGHIJKLMNOPQRSTUVWXYZ")),"")</f>
        <v/>
      </c>
      <c r="J296">
        <f>IF($F296=1,INDEX({10,12,13,14,15,16,17,18,19,20,21,23,24,25,26,27,28,29,30,31,32,34,35,36,37,38},1,FIND(MID($B296,4,1),"ABCDEFGHIJKLMNOPQRSTUVWXYZ")),"")</f>
        <v/>
      </c>
      <c r="K296">
        <f>IF($F296=1,FIND(MID($B296,5,1),"0123456789")-1,"")</f>
        <v/>
      </c>
      <c r="L296">
        <f>IF($F296=1,FIND(MID($B296,6,1),"0123456789")-1,"")</f>
        <v/>
      </c>
      <c r="M296">
        <f>IF($F296=1,FIND(MID($B296,7,1),"0123456789")-1,"")</f>
        <v/>
      </c>
      <c r="N296">
        <f>IF($F296=1,FIND(MID($B296,8,1),"0123456789")-1,"")</f>
        <v/>
      </c>
      <c r="O296">
        <f>IF($F296=1,FIND(MID($B296,9,1),"0123456789")-1,"")</f>
        <v/>
      </c>
      <c r="P296">
        <f>IF($F296=1,FIND(MID($B296,10,1),"0123456789")-1,"")</f>
        <v/>
      </c>
      <c r="Q296">
        <f>IF($F296=1,SUMPRODUCT($G296:$P296,{1,2,4,8,16,32,64,128,256,512}),"")</f>
        <v/>
      </c>
      <c r="R296">
        <f>IF($F296=1,MOD(MOD($Q296,11),10),"")</f>
        <v/>
      </c>
    </row>
    <row r="297">
      <c r="A297" s="6" t="n"/>
      <c r="B297" s="7">
        <f>IF($A297="","",UPPER(SUBSTITUTE(SUBSTITUTE(SUBSTITUTE(SUBSTITUTE(SUBSTITUTE(SUBSTITUTE($A297," ",""),"-",""),".",""),"/",""),"i","I"),"ı","?")))</f>
        <v/>
      </c>
      <c r="C297" s="8">
        <f>IF($F297=1,$R297,"")</f>
        <v/>
      </c>
      <c r="D297" s="7">
        <f>IF($A297="","",IF($F297=0,"Biçim hatalı",IF(FIND(MID($B297,11,1),"0123456789")-1=$R297,"Geçerli","Kontrol hanesi hatalı (doğrusu: "&amp;$R297&amp;")")))</f>
        <v/>
      </c>
      <c r="F297">
        <f>IF($A297="","",IF(AND(LEN($B297)=11,SUMPRODUCT(--ISNUMBER(FIND(MID($B297,{1,2,3},1),"ABCDEFGHIJKLMNOPQRSTUVWXYZ")))=3,ISNUMBER(FIND(MID($B297,4,1),"UJZ")),SUMPRODUCT(--ISNUMBER(FIND(MID($B297,{5,6,7,8,9,10,11},1),"0123456789")))=7),1,0))</f>
        <v/>
      </c>
      <c r="G297">
        <f>IF($F297=1,INDEX({10,12,13,14,15,16,17,18,19,20,21,23,24,25,26,27,28,29,30,31,32,34,35,36,37,38},1,FIND(MID($B297,1,1),"ABCDEFGHIJKLMNOPQRSTUVWXYZ")),"")</f>
        <v/>
      </c>
      <c r="H297">
        <f>IF($F297=1,INDEX({10,12,13,14,15,16,17,18,19,20,21,23,24,25,26,27,28,29,30,31,32,34,35,36,37,38},1,FIND(MID($B297,2,1),"ABCDEFGHIJKLMNOPQRSTUVWXYZ")),"")</f>
        <v/>
      </c>
      <c r="I297">
        <f>IF($F297=1,INDEX({10,12,13,14,15,16,17,18,19,20,21,23,24,25,26,27,28,29,30,31,32,34,35,36,37,38},1,FIND(MID($B297,3,1),"ABCDEFGHIJKLMNOPQRSTUVWXYZ")),"")</f>
        <v/>
      </c>
      <c r="J297">
        <f>IF($F297=1,INDEX({10,12,13,14,15,16,17,18,19,20,21,23,24,25,26,27,28,29,30,31,32,34,35,36,37,38},1,FIND(MID($B297,4,1),"ABCDEFGHIJKLMNOPQRSTUVWXYZ")),"")</f>
        <v/>
      </c>
      <c r="K297">
        <f>IF($F297=1,FIND(MID($B297,5,1),"0123456789")-1,"")</f>
        <v/>
      </c>
      <c r="L297">
        <f>IF($F297=1,FIND(MID($B297,6,1),"0123456789")-1,"")</f>
        <v/>
      </c>
      <c r="M297">
        <f>IF($F297=1,FIND(MID($B297,7,1),"0123456789")-1,"")</f>
        <v/>
      </c>
      <c r="N297">
        <f>IF($F297=1,FIND(MID($B297,8,1),"0123456789")-1,"")</f>
        <v/>
      </c>
      <c r="O297">
        <f>IF($F297=1,FIND(MID($B297,9,1),"0123456789")-1,"")</f>
        <v/>
      </c>
      <c r="P297">
        <f>IF($F297=1,FIND(MID($B297,10,1),"0123456789")-1,"")</f>
        <v/>
      </c>
      <c r="Q297">
        <f>IF($F297=1,SUMPRODUCT($G297:$P297,{1,2,4,8,16,32,64,128,256,512}),"")</f>
        <v/>
      </c>
      <c r="R297">
        <f>IF($F297=1,MOD(MOD($Q297,11),10),"")</f>
        <v/>
      </c>
    </row>
    <row r="298">
      <c r="A298" s="6" t="n"/>
      <c r="B298" s="7">
        <f>IF($A298="","",UPPER(SUBSTITUTE(SUBSTITUTE(SUBSTITUTE(SUBSTITUTE(SUBSTITUTE(SUBSTITUTE($A298," ",""),"-",""),".",""),"/",""),"i","I"),"ı","?")))</f>
        <v/>
      </c>
      <c r="C298" s="8">
        <f>IF($F298=1,$R298,"")</f>
        <v/>
      </c>
      <c r="D298" s="7">
        <f>IF($A298="","",IF($F298=0,"Biçim hatalı",IF(FIND(MID($B298,11,1),"0123456789")-1=$R298,"Geçerli","Kontrol hanesi hatalı (doğrusu: "&amp;$R298&amp;")")))</f>
        <v/>
      </c>
      <c r="F298">
        <f>IF($A298="","",IF(AND(LEN($B298)=11,SUMPRODUCT(--ISNUMBER(FIND(MID($B298,{1,2,3},1),"ABCDEFGHIJKLMNOPQRSTUVWXYZ")))=3,ISNUMBER(FIND(MID($B298,4,1),"UJZ")),SUMPRODUCT(--ISNUMBER(FIND(MID($B298,{5,6,7,8,9,10,11},1),"0123456789")))=7),1,0))</f>
        <v/>
      </c>
      <c r="G298">
        <f>IF($F298=1,INDEX({10,12,13,14,15,16,17,18,19,20,21,23,24,25,26,27,28,29,30,31,32,34,35,36,37,38},1,FIND(MID($B298,1,1),"ABCDEFGHIJKLMNOPQRSTUVWXYZ")),"")</f>
        <v/>
      </c>
      <c r="H298">
        <f>IF($F298=1,INDEX({10,12,13,14,15,16,17,18,19,20,21,23,24,25,26,27,28,29,30,31,32,34,35,36,37,38},1,FIND(MID($B298,2,1),"ABCDEFGHIJKLMNOPQRSTUVWXYZ")),"")</f>
        <v/>
      </c>
      <c r="I298">
        <f>IF($F298=1,INDEX({10,12,13,14,15,16,17,18,19,20,21,23,24,25,26,27,28,29,30,31,32,34,35,36,37,38},1,FIND(MID($B298,3,1),"ABCDEFGHIJKLMNOPQRSTUVWXYZ")),"")</f>
        <v/>
      </c>
      <c r="J298">
        <f>IF($F298=1,INDEX({10,12,13,14,15,16,17,18,19,20,21,23,24,25,26,27,28,29,30,31,32,34,35,36,37,38},1,FIND(MID($B298,4,1),"ABCDEFGHIJKLMNOPQRSTUVWXYZ")),"")</f>
        <v/>
      </c>
      <c r="K298">
        <f>IF($F298=1,FIND(MID($B298,5,1),"0123456789")-1,"")</f>
        <v/>
      </c>
      <c r="L298">
        <f>IF($F298=1,FIND(MID($B298,6,1),"0123456789")-1,"")</f>
        <v/>
      </c>
      <c r="M298">
        <f>IF($F298=1,FIND(MID($B298,7,1),"0123456789")-1,"")</f>
        <v/>
      </c>
      <c r="N298">
        <f>IF($F298=1,FIND(MID($B298,8,1),"0123456789")-1,"")</f>
        <v/>
      </c>
      <c r="O298">
        <f>IF($F298=1,FIND(MID($B298,9,1),"0123456789")-1,"")</f>
        <v/>
      </c>
      <c r="P298">
        <f>IF($F298=1,FIND(MID($B298,10,1),"0123456789")-1,"")</f>
        <v/>
      </c>
      <c r="Q298">
        <f>IF($F298=1,SUMPRODUCT($G298:$P298,{1,2,4,8,16,32,64,128,256,512}),"")</f>
        <v/>
      </c>
      <c r="R298">
        <f>IF($F298=1,MOD(MOD($Q298,11),10),"")</f>
        <v/>
      </c>
    </row>
    <row r="299">
      <c r="A299" s="6" t="n"/>
      <c r="B299" s="7">
        <f>IF($A299="","",UPPER(SUBSTITUTE(SUBSTITUTE(SUBSTITUTE(SUBSTITUTE(SUBSTITUTE(SUBSTITUTE($A299," ",""),"-",""),".",""),"/",""),"i","I"),"ı","?")))</f>
        <v/>
      </c>
      <c r="C299" s="8">
        <f>IF($F299=1,$R299,"")</f>
        <v/>
      </c>
      <c r="D299" s="7">
        <f>IF($A299="","",IF($F299=0,"Biçim hatalı",IF(FIND(MID($B299,11,1),"0123456789")-1=$R299,"Geçerli","Kontrol hanesi hatalı (doğrusu: "&amp;$R299&amp;")")))</f>
        <v/>
      </c>
      <c r="F299">
        <f>IF($A299="","",IF(AND(LEN($B299)=11,SUMPRODUCT(--ISNUMBER(FIND(MID($B299,{1,2,3},1),"ABCDEFGHIJKLMNOPQRSTUVWXYZ")))=3,ISNUMBER(FIND(MID($B299,4,1),"UJZ")),SUMPRODUCT(--ISNUMBER(FIND(MID($B299,{5,6,7,8,9,10,11},1),"0123456789")))=7),1,0))</f>
        <v/>
      </c>
      <c r="G299">
        <f>IF($F299=1,INDEX({10,12,13,14,15,16,17,18,19,20,21,23,24,25,26,27,28,29,30,31,32,34,35,36,37,38},1,FIND(MID($B299,1,1),"ABCDEFGHIJKLMNOPQRSTUVWXYZ")),"")</f>
        <v/>
      </c>
      <c r="H299">
        <f>IF($F299=1,INDEX({10,12,13,14,15,16,17,18,19,20,21,23,24,25,26,27,28,29,30,31,32,34,35,36,37,38},1,FIND(MID($B299,2,1),"ABCDEFGHIJKLMNOPQRSTUVWXYZ")),"")</f>
        <v/>
      </c>
      <c r="I299">
        <f>IF($F299=1,INDEX({10,12,13,14,15,16,17,18,19,20,21,23,24,25,26,27,28,29,30,31,32,34,35,36,37,38},1,FIND(MID($B299,3,1),"ABCDEFGHIJKLMNOPQRSTUVWXYZ")),"")</f>
        <v/>
      </c>
      <c r="J299">
        <f>IF($F299=1,INDEX({10,12,13,14,15,16,17,18,19,20,21,23,24,25,26,27,28,29,30,31,32,34,35,36,37,38},1,FIND(MID($B299,4,1),"ABCDEFGHIJKLMNOPQRSTUVWXYZ")),"")</f>
        <v/>
      </c>
      <c r="K299">
        <f>IF($F299=1,FIND(MID($B299,5,1),"0123456789")-1,"")</f>
        <v/>
      </c>
      <c r="L299">
        <f>IF($F299=1,FIND(MID($B299,6,1),"0123456789")-1,"")</f>
        <v/>
      </c>
      <c r="M299">
        <f>IF($F299=1,FIND(MID($B299,7,1),"0123456789")-1,"")</f>
        <v/>
      </c>
      <c r="N299">
        <f>IF($F299=1,FIND(MID($B299,8,1),"0123456789")-1,"")</f>
        <v/>
      </c>
      <c r="O299">
        <f>IF($F299=1,FIND(MID($B299,9,1),"0123456789")-1,"")</f>
        <v/>
      </c>
      <c r="P299">
        <f>IF($F299=1,FIND(MID($B299,10,1),"0123456789")-1,"")</f>
        <v/>
      </c>
      <c r="Q299">
        <f>IF($F299=1,SUMPRODUCT($G299:$P299,{1,2,4,8,16,32,64,128,256,512}),"")</f>
        <v/>
      </c>
      <c r="R299">
        <f>IF($F299=1,MOD(MOD($Q299,11),10),"")</f>
        <v/>
      </c>
    </row>
    <row r="300">
      <c r="A300" s="6" t="n"/>
      <c r="B300" s="7">
        <f>IF($A300="","",UPPER(SUBSTITUTE(SUBSTITUTE(SUBSTITUTE(SUBSTITUTE(SUBSTITUTE(SUBSTITUTE($A300," ",""),"-",""),".",""),"/",""),"i","I"),"ı","?")))</f>
        <v/>
      </c>
      <c r="C300" s="8">
        <f>IF($F300=1,$R300,"")</f>
        <v/>
      </c>
      <c r="D300" s="7">
        <f>IF($A300="","",IF($F300=0,"Biçim hatalı",IF(FIND(MID($B300,11,1),"0123456789")-1=$R300,"Geçerli","Kontrol hanesi hatalı (doğrusu: "&amp;$R300&amp;")")))</f>
        <v/>
      </c>
      <c r="F300">
        <f>IF($A300="","",IF(AND(LEN($B300)=11,SUMPRODUCT(--ISNUMBER(FIND(MID($B300,{1,2,3},1),"ABCDEFGHIJKLMNOPQRSTUVWXYZ")))=3,ISNUMBER(FIND(MID($B300,4,1),"UJZ")),SUMPRODUCT(--ISNUMBER(FIND(MID($B300,{5,6,7,8,9,10,11},1),"0123456789")))=7),1,0))</f>
        <v/>
      </c>
      <c r="G300">
        <f>IF($F300=1,INDEX({10,12,13,14,15,16,17,18,19,20,21,23,24,25,26,27,28,29,30,31,32,34,35,36,37,38},1,FIND(MID($B300,1,1),"ABCDEFGHIJKLMNOPQRSTUVWXYZ")),"")</f>
        <v/>
      </c>
      <c r="H300">
        <f>IF($F300=1,INDEX({10,12,13,14,15,16,17,18,19,20,21,23,24,25,26,27,28,29,30,31,32,34,35,36,37,38},1,FIND(MID($B300,2,1),"ABCDEFGHIJKLMNOPQRSTUVWXYZ")),"")</f>
        <v/>
      </c>
      <c r="I300">
        <f>IF($F300=1,INDEX({10,12,13,14,15,16,17,18,19,20,21,23,24,25,26,27,28,29,30,31,32,34,35,36,37,38},1,FIND(MID($B300,3,1),"ABCDEFGHIJKLMNOPQRSTUVWXYZ")),"")</f>
        <v/>
      </c>
      <c r="J300">
        <f>IF($F300=1,INDEX({10,12,13,14,15,16,17,18,19,20,21,23,24,25,26,27,28,29,30,31,32,34,35,36,37,38},1,FIND(MID($B300,4,1),"ABCDEFGHIJKLMNOPQRSTUVWXYZ")),"")</f>
        <v/>
      </c>
      <c r="K300">
        <f>IF($F300=1,FIND(MID($B300,5,1),"0123456789")-1,"")</f>
        <v/>
      </c>
      <c r="L300">
        <f>IF($F300=1,FIND(MID($B300,6,1),"0123456789")-1,"")</f>
        <v/>
      </c>
      <c r="M300">
        <f>IF($F300=1,FIND(MID($B300,7,1),"0123456789")-1,"")</f>
        <v/>
      </c>
      <c r="N300">
        <f>IF($F300=1,FIND(MID($B300,8,1),"0123456789")-1,"")</f>
        <v/>
      </c>
      <c r="O300">
        <f>IF($F300=1,FIND(MID($B300,9,1),"0123456789")-1,"")</f>
        <v/>
      </c>
      <c r="P300">
        <f>IF($F300=1,FIND(MID($B300,10,1),"0123456789")-1,"")</f>
        <v/>
      </c>
      <c r="Q300">
        <f>IF($F300=1,SUMPRODUCT($G300:$P300,{1,2,4,8,16,32,64,128,256,512}),"")</f>
        <v/>
      </c>
      <c r="R300">
        <f>IF($F300=1,MOD(MOD($Q300,11),10),"")</f>
        <v/>
      </c>
    </row>
    <row r="301">
      <c r="A301" s="6" t="n"/>
      <c r="B301" s="7">
        <f>IF($A301="","",UPPER(SUBSTITUTE(SUBSTITUTE(SUBSTITUTE(SUBSTITUTE(SUBSTITUTE(SUBSTITUTE($A301," ",""),"-",""),".",""),"/",""),"i","I"),"ı","?")))</f>
        <v/>
      </c>
      <c r="C301" s="8">
        <f>IF($F301=1,$R301,"")</f>
        <v/>
      </c>
      <c r="D301" s="7">
        <f>IF($A301="","",IF($F301=0,"Biçim hatalı",IF(FIND(MID($B301,11,1),"0123456789")-1=$R301,"Geçerli","Kontrol hanesi hatalı (doğrusu: "&amp;$R301&amp;")")))</f>
        <v/>
      </c>
      <c r="F301">
        <f>IF($A301="","",IF(AND(LEN($B301)=11,SUMPRODUCT(--ISNUMBER(FIND(MID($B301,{1,2,3},1),"ABCDEFGHIJKLMNOPQRSTUVWXYZ")))=3,ISNUMBER(FIND(MID($B301,4,1),"UJZ")),SUMPRODUCT(--ISNUMBER(FIND(MID($B301,{5,6,7,8,9,10,11},1),"0123456789")))=7),1,0))</f>
        <v/>
      </c>
      <c r="G301">
        <f>IF($F301=1,INDEX({10,12,13,14,15,16,17,18,19,20,21,23,24,25,26,27,28,29,30,31,32,34,35,36,37,38},1,FIND(MID($B301,1,1),"ABCDEFGHIJKLMNOPQRSTUVWXYZ")),"")</f>
        <v/>
      </c>
      <c r="H301">
        <f>IF($F301=1,INDEX({10,12,13,14,15,16,17,18,19,20,21,23,24,25,26,27,28,29,30,31,32,34,35,36,37,38},1,FIND(MID($B301,2,1),"ABCDEFGHIJKLMNOPQRSTUVWXYZ")),"")</f>
        <v/>
      </c>
      <c r="I301">
        <f>IF($F301=1,INDEX({10,12,13,14,15,16,17,18,19,20,21,23,24,25,26,27,28,29,30,31,32,34,35,36,37,38},1,FIND(MID($B301,3,1),"ABCDEFGHIJKLMNOPQRSTUVWXYZ")),"")</f>
        <v/>
      </c>
      <c r="J301">
        <f>IF($F301=1,INDEX({10,12,13,14,15,16,17,18,19,20,21,23,24,25,26,27,28,29,30,31,32,34,35,36,37,38},1,FIND(MID($B301,4,1),"ABCDEFGHIJKLMNOPQRSTUVWXYZ")),"")</f>
        <v/>
      </c>
      <c r="K301">
        <f>IF($F301=1,FIND(MID($B301,5,1),"0123456789")-1,"")</f>
        <v/>
      </c>
      <c r="L301">
        <f>IF($F301=1,FIND(MID($B301,6,1),"0123456789")-1,"")</f>
        <v/>
      </c>
      <c r="M301">
        <f>IF($F301=1,FIND(MID($B301,7,1),"0123456789")-1,"")</f>
        <v/>
      </c>
      <c r="N301">
        <f>IF($F301=1,FIND(MID($B301,8,1),"0123456789")-1,"")</f>
        <v/>
      </c>
      <c r="O301">
        <f>IF($F301=1,FIND(MID($B301,9,1),"0123456789")-1,"")</f>
        <v/>
      </c>
      <c r="P301">
        <f>IF($F301=1,FIND(MID($B301,10,1),"0123456789")-1,"")</f>
        <v/>
      </c>
      <c r="Q301">
        <f>IF($F301=1,SUMPRODUCT($G301:$P301,{1,2,4,8,16,32,64,128,256,512}),"")</f>
        <v/>
      </c>
      <c r="R301">
        <f>IF($F301=1,MOD(MOD($Q301,11),10),"")</f>
        <v/>
      </c>
    </row>
    <row r="302">
      <c r="A302" s="6" t="n"/>
      <c r="B302" s="7">
        <f>IF($A302="","",UPPER(SUBSTITUTE(SUBSTITUTE(SUBSTITUTE(SUBSTITUTE(SUBSTITUTE(SUBSTITUTE($A302," ",""),"-",""),".",""),"/",""),"i","I"),"ı","?")))</f>
        <v/>
      </c>
      <c r="C302" s="8">
        <f>IF($F302=1,$R302,"")</f>
        <v/>
      </c>
      <c r="D302" s="7">
        <f>IF($A302="","",IF($F302=0,"Biçim hatalı",IF(FIND(MID($B302,11,1),"0123456789")-1=$R302,"Geçerli","Kontrol hanesi hatalı (doğrusu: "&amp;$R302&amp;")")))</f>
        <v/>
      </c>
      <c r="F302">
        <f>IF($A302="","",IF(AND(LEN($B302)=11,SUMPRODUCT(--ISNUMBER(FIND(MID($B302,{1,2,3},1),"ABCDEFGHIJKLMNOPQRSTUVWXYZ")))=3,ISNUMBER(FIND(MID($B302,4,1),"UJZ")),SUMPRODUCT(--ISNUMBER(FIND(MID($B302,{5,6,7,8,9,10,11},1),"0123456789")))=7),1,0))</f>
        <v/>
      </c>
      <c r="G302">
        <f>IF($F302=1,INDEX({10,12,13,14,15,16,17,18,19,20,21,23,24,25,26,27,28,29,30,31,32,34,35,36,37,38},1,FIND(MID($B302,1,1),"ABCDEFGHIJKLMNOPQRSTUVWXYZ")),"")</f>
        <v/>
      </c>
      <c r="H302">
        <f>IF($F302=1,INDEX({10,12,13,14,15,16,17,18,19,20,21,23,24,25,26,27,28,29,30,31,32,34,35,36,37,38},1,FIND(MID($B302,2,1),"ABCDEFGHIJKLMNOPQRSTUVWXYZ")),"")</f>
        <v/>
      </c>
      <c r="I302">
        <f>IF($F302=1,INDEX({10,12,13,14,15,16,17,18,19,20,21,23,24,25,26,27,28,29,30,31,32,34,35,36,37,38},1,FIND(MID($B302,3,1),"ABCDEFGHIJKLMNOPQRSTUVWXYZ")),"")</f>
        <v/>
      </c>
      <c r="J302">
        <f>IF($F302=1,INDEX({10,12,13,14,15,16,17,18,19,20,21,23,24,25,26,27,28,29,30,31,32,34,35,36,37,38},1,FIND(MID($B302,4,1),"ABCDEFGHIJKLMNOPQRSTUVWXYZ")),"")</f>
        <v/>
      </c>
      <c r="K302">
        <f>IF($F302=1,FIND(MID($B302,5,1),"0123456789")-1,"")</f>
        <v/>
      </c>
      <c r="L302">
        <f>IF($F302=1,FIND(MID($B302,6,1),"0123456789")-1,"")</f>
        <v/>
      </c>
      <c r="M302">
        <f>IF($F302=1,FIND(MID($B302,7,1),"0123456789")-1,"")</f>
        <v/>
      </c>
      <c r="N302">
        <f>IF($F302=1,FIND(MID($B302,8,1),"0123456789")-1,"")</f>
        <v/>
      </c>
      <c r="O302">
        <f>IF($F302=1,FIND(MID($B302,9,1),"0123456789")-1,"")</f>
        <v/>
      </c>
      <c r="P302">
        <f>IF($F302=1,FIND(MID($B302,10,1),"0123456789")-1,"")</f>
        <v/>
      </c>
      <c r="Q302">
        <f>IF($F302=1,SUMPRODUCT($G302:$P302,{1,2,4,8,16,32,64,128,256,512}),"")</f>
        <v/>
      </c>
      <c r="R302">
        <f>IF($F302=1,MOD(MOD($Q302,11),10),"")</f>
        <v/>
      </c>
    </row>
    <row r="303">
      <c r="A303" s="6" t="n"/>
      <c r="B303" s="7">
        <f>IF($A303="","",UPPER(SUBSTITUTE(SUBSTITUTE(SUBSTITUTE(SUBSTITUTE(SUBSTITUTE(SUBSTITUTE($A303," ",""),"-",""),".",""),"/",""),"i","I"),"ı","?")))</f>
        <v/>
      </c>
      <c r="C303" s="8">
        <f>IF($F303=1,$R303,"")</f>
        <v/>
      </c>
      <c r="D303" s="7">
        <f>IF($A303="","",IF($F303=0,"Biçim hatalı",IF(FIND(MID($B303,11,1),"0123456789")-1=$R303,"Geçerli","Kontrol hanesi hatalı (doğrusu: "&amp;$R303&amp;")")))</f>
        <v/>
      </c>
      <c r="F303">
        <f>IF($A303="","",IF(AND(LEN($B303)=11,SUMPRODUCT(--ISNUMBER(FIND(MID($B303,{1,2,3},1),"ABCDEFGHIJKLMNOPQRSTUVWXYZ")))=3,ISNUMBER(FIND(MID($B303,4,1),"UJZ")),SUMPRODUCT(--ISNUMBER(FIND(MID($B303,{5,6,7,8,9,10,11},1),"0123456789")))=7),1,0))</f>
        <v/>
      </c>
      <c r="G303">
        <f>IF($F303=1,INDEX({10,12,13,14,15,16,17,18,19,20,21,23,24,25,26,27,28,29,30,31,32,34,35,36,37,38},1,FIND(MID($B303,1,1),"ABCDEFGHIJKLMNOPQRSTUVWXYZ")),"")</f>
        <v/>
      </c>
      <c r="H303">
        <f>IF($F303=1,INDEX({10,12,13,14,15,16,17,18,19,20,21,23,24,25,26,27,28,29,30,31,32,34,35,36,37,38},1,FIND(MID($B303,2,1),"ABCDEFGHIJKLMNOPQRSTUVWXYZ")),"")</f>
        <v/>
      </c>
      <c r="I303">
        <f>IF($F303=1,INDEX({10,12,13,14,15,16,17,18,19,20,21,23,24,25,26,27,28,29,30,31,32,34,35,36,37,38},1,FIND(MID($B303,3,1),"ABCDEFGHIJKLMNOPQRSTUVWXYZ")),"")</f>
        <v/>
      </c>
      <c r="J303">
        <f>IF($F303=1,INDEX({10,12,13,14,15,16,17,18,19,20,21,23,24,25,26,27,28,29,30,31,32,34,35,36,37,38},1,FIND(MID($B303,4,1),"ABCDEFGHIJKLMNOPQRSTUVWXYZ")),"")</f>
        <v/>
      </c>
      <c r="K303">
        <f>IF($F303=1,FIND(MID($B303,5,1),"0123456789")-1,"")</f>
        <v/>
      </c>
      <c r="L303">
        <f>IF($F303=1,FIND(MID($B303,6,1),"0123456789")-1,"")</f>
        <v/>
      </c>
      <c r="M303">
        <f>IF($F303=1,FIND(MID($B303,7,1),"0123456789")-1,"")</f>
        <v/>
      </c>
      <c r="N303">
        <f>IF($F303=1,FIND(MID($B303,8,1),"0123456789")-1,"")</f>
        <v/>
      </c>
      <c r="O303">
        <f>IF($F303=1,FIND(MID($B303,9,1),"0123456789")-1,"")</f>
        <v/>
      </c>
      <c r="P303">
        <f>IF($F303=1,FIND(MID($B303,10,1),"0123456789")-1,"")</f>
        <v/>
      </c>
      <c r="Q303">
        <f>IF($F303=1,SUMPRODUCT($G303:$P303,{1,2,4,8,16,32,64,128,256,512}),"")</f>
        <v/>
      </c>
      <c r="R303">
        <f>IF($F303=1,MOD(MOD($Q303,11),10),"")</f>
        <v/>
      </c>
    </row>
    <row r="304">
      <c r="A304" s="6" t="n"/>
      <c r="B304" s="7">
        <f>IF($A304="","",UPPER(SUBSTITUTE(SUBSTITUTE(SUBSTITUTE(SUBSTITUTE(SUBSTITUTE(SUBSTITUTE($A304," ",""),"-",""),".",""),"/",""),"i","I"),"ı","?")))</f>
        <v/>
      </c>
      <c r="C304" s="8">
        <f>IF($F304=1,$R304,"")</f>
        <v/>
      </c>
      <c r="D304" s="7">
        <f>IF($A304="","",IF($F304=0,"Biçim hatalı",IF(FIND(MID($B304,11,1),"0123456789")-1=$R304,"Geçerli","Kontrol hanesi hatalı (doğrusu: "&amp;$R304&amp;")")))</f>
        <v/>
      </c>
      <c r="F304">
        <f>IF($A304="","",IF(AND(LEN($B304)=11,SUMPRODUCT(--ISNUMBER(FIND(MID($B304,{1,2,3},1),"ABCDEFGHIJKLMNOPQRSTUVWXYZ")))=3,ISNUMBER(FIND(MID($B304,4,1),"UJZ")),SUMPRODUCT(--ISNUMBER(FIND(MID($B304,{5,6,7,8,9,10,11},1),"0123456789")))=7),1,0))</f>
        <v/>
      </c>
      <c r="G304">
        <f>IF($F304=1,INDEX({10,12,13,14,15,16,17,18,19,20,21,23,24,25,26,27,28,29,30,31,32,34,35,36,37,38},1,FIND(MID($B304,1,1),"ABCDEFGHIJKLMNOPQRSTUVWXYZ")),"")</f>
        <v/>
      </c>
      <c r="H304">
        <f>IF($F304=1,INDEX({10,12,13,14,15,16,17,18,19,20,21,23,24,25,26,27,28,29,30,31,32,34,35,36,37,38},1,FIND(MID($B304,2,1),"ABCDEFGHIJKLMNOPQRSTUVWXYZ")),"")</f>
        <v/>
      </c>
      <c r="I304">
        <f>IF($F304=1,INDEX({10,12,13,14,15,16,17,18,19,20,21,23,24,25,26,27,28,29,30,31,32,34,35,36,37,38},1,FIND(MID($B304,3,1),"ABCDEFGHIJKLMNOPQRSTUVWXYZ")),"")</f>
        <v/>
      </c>
      <c r="J304">
        <f>IF($F304=1,INDEX({10,12,13,14,15,16,17,18,19,20,21,23,24,25,26,27,28,29,30,31,32,34,35,36,37,38},1,FIND(MID($B304,4,1),"ABCDEFGHIJKLMNOPQRSTUVWXYZ")),"")</f>
        <v/>
      </c>
      <c r="K304">
        <f>IF($F304=1,FIND(MID($B304,5,1),"0123456789")-1,"")</f>
        <v/>
      </c>
      <c r="L304">
        <f>IF($F304=1,FIND(MID($B304,6,1),"0123456789")-1,"")</f>
        <v/>
      </c>
      <c r="M304">
        <f>IF($F304=1,FIND(MID($B304,7,1),"0123456789")-1,"")</f>
        <v/>
      </c>
      <c r="N304">
        <f>IF($F304=1,FIND(MID($B304,8,1),"0123456789")-1,"")</f>
        <v/>
      </c>
      <c r="O304">
        <f>IF($F304=1,FIND(MID($B304,9,1),"0123456789")-1,"")</f>
        <v/>
      </c>
      <c r="P304">
        <f>IF($F304=1,FIND(MID($B304,10,1),"0123456789")-1,"")</f>
        <v/>
      </c>
      <c r="Q304">
        <f>IF($F304=1,SUMPRODUCT($G304:$P304,{1,2,4,8,16,32,64,128,256,512}),"")</f>
        <v/>
      </c>
      <c r="R304">
        <f>IF($F304=1,MOD(MOD($Q304,11),10),"")</f>
        <v/>
      </c>
    </row>
    <row r="305">
      <c r="A305" s="6" t="n"/>
      <c r="B305" s="7">
        <f>IF($A305="","",UPPER(SUBSTITUTE(SUBSTITUTE(SUBSTITUTE(SUBSTITUTE(SUBSTITUTE(SUBSTITUTE($A305," ",""),"-",""),".",""),"/",""),"i","I"),"ı","?")))</f>
        <v/>
      </c>
      <c r="C305" s="8">
        <f>IF($F305=1,$R305,"")</f>
        <v/>
      </c>
      <c r="D305" s="7">
        <f>IF($A305="","",IF($F305=0,"Biçim hatalı",IF(FIND(MID($B305,11,1),"0123456789")-1=$R305,"Geçerli","Kontrol hanesi hatalı (doğrusu: "&amp;$R305&amp;")")))</f>
        <v/>
      </c>
      <c r="F305">
        <f>IF($A305="","",IF(AND(LEN($B305)=11,SUMPRODUCT(--ISNUMBER(FIND(MID($B305,{1,2,3},1),"ABCDEFGHIJKLMNOPQRSTUVWXYZ")))=3,ISNUMBER(FIND(MID($B305,4,1),"UJZ")),SUMPRODUCT(--ISNUMBER(FIND(MID($B305,{5,6,7,8,9,10,11},1),"0123456789")))=7),1,0))</f>
        <v/>
      </c>
      <c r="G305">
        <f>IF($F305=1,INDEX({10,12,13,14,15,16,17,18,19,20,21,23,24,25,26,27,28,29,30,31,32,34,35,36,37,38},1,FIND(MID($B305,1,1),"ABCDEFGHIJKLMNOPQRSTUVWXYZ")),"")</f>
        <v/>
      </c>
      <c r="H305">
        <f>IF($F305=1,INDEX({10,12,13,14,15,16,17,18,19,20,21,23,24,25,26,27,28,29,30,31,32,34,35,36,37,38},1,FIND(MID($B305,2,1),"ABCDEFGHIJKLMNOPQRSTUVWXYZ")),"")</f>
        <v/>
      </c>
      <c r="I305">
        <f>IF($F305=1,INDEX({10,12,13,14,15,16,17,18,19,20,21,23,24,25,26,27,28,29,30,31,32,34,35,36,37,38},1,FIND(MID($B305,3,1),"ABCDEFGHIJKLMNOPQRSTUVWXYZ")),"")</f>
        <v/>
      </c>
      <c r="J305">
        <f>IF($F305=1,INDEX({10,12,13,14,15,16,17,18,19,20,21,23,24,25,26,27,28,29,30,31,32,34,35,36,37,38},1,FIND(MID($B305,4,1),"ABCDEFGHIJKLMNOPQRSTUVWXYZ")),"")</f>
        <v/>
      </c>
      <c r="K305">
        <f>IF($F305=1,FIND(MID($B305,5,1),"0123456789")-1,"")</f>
        <v/>
      </c>
      <c r="L305">
        <f>IF($F305=1,FIND(MID($B305,6,1),"0123456789")-1,"")</f>
        <v/>
      </c>
      <c r="M305">
        <f>IF($F305=1,FIND(MID($B305,7,1),"0123456789")-1,"")</f>
        <v/>
      </c>
      <c r="N305">
        <f>IF($F305=1,FIND(MID($B305,8,1),"0123456789")-1,"")</f>
        <v/>
      </c>
      <c r="O305">
        <f>IF($F305=1,FIND(MID($B305,9,1),"0123456789")-1,"")</f>
        <v/>
      </c>
      <c r="P305">
        <f>IF($F305=1,FIND(MID($B305,10,1),"0123456789")-1,"")</f>
        <v/>
      </c>
      <c r="Q305">
        <f>IF($F305=1,SUMPRODUCT($G305:$P305,{1,2,4,8,16,32,64,128,256,512}),"")</f>
        <v/>
      </c>
      <c r="R305">
        <f>IF($F305=1,MOD(MOD($Q305,11),10),"")</f>
        <v/>
      </c>
    </row>
    <row r="306">
      <c r="A306" s="6" t="n"/>
      <c r="B306" s="7">
        <f>IF($A306="","",UPPER(SUBSTITUTE(SUBSTITUTE(SUBSTITUTE(SUBSTITUTE(SUBSTITUTE(SUBSTITUTE($A306," ",""),"-",""),".",""),"/",""),"i","I"),"ı","?")))</f>
        <v/>
      </c>
      <c r="C306" s="8">
        <f>IF($F306=1,$R306,"")</f>
        <v/>
      </c>
      <c r="D306" s="7">
        <f>IF($A306="","",IF($F306=0,"Biçim hatalı",IF(FIND(MID($B306,11,1),"0123456789")-1=$R306,"Geçerli","Kontrol hanesi hatalı (doğrusu: "&amp;$R306&amp;")")))</f>
        <v/>
      </c>
      <c r="F306">
        <f>IF($A306="","",IF(AND(LEN($B306)=11,SUMPRODUCT(--ISNUMBER(FIND(MID($B306,{1,2,3},1),"ABCDEFGHIJKLMNOPQRSTUVWXYZ")))=3,ISNUMBER(FIND(MID($B306,4,1),"UJZ")),SUMPRODUCT(--ISNUMBER(FIND(MID($B306,{5,6,7,8,9,10,11},1),"0123456789")))=7),1,0))</f>
        <v/>
      </c>
      <c r="G306">
        <f>IF($F306=1,INDEX({10,12,13,14,15,16,17,18,19,20,21,23,24,25,26,27,28,29,30,31,32,34,35,36,37,38},1,FIND(MID($B306,1,1),"ABCDEFGHIJKLMNOPQRSTUVWXYZ")),"")</f>
        <v/>
      </c>
      <c r="H306">
        <f>IF($F306=1,INDEX({10,12,13,14,15,16,17,18,19,20,21,23,24,25,26,27,28,29,30,31,32,34,35,36,37,38},1,FIND(MID($B306,2,1),"ABCDEFGHIJKLMNOPQRSTUVWXYZ")),"")</f>
        <v/>
      </c>
      <c r="I306">
        <f>IF($F306=1,INDEX({10,12,13,14,15,16,17,18,19,20,21,23,24,25,26,27,28,29,30,31,32,34,35,36,37,38},1,FIND(MID($B306,3,1),"ABCDEFGHIJKLMNOPQRSTUVWXYZ")),"")</f>
        <v/>
      </c>
      <c r="J306">
        <f>IF($F306=1,INDEX({10,12,13,14,15,16,17,18,19,20,21,23,24,25,26,27,28,29,30,31,32,34,35,36,37,38},1,FIND(MID($B306,4,1),"ABCDEFGHIJKLMNOPQRSTUVWXYZ")),"")</f>
        <v/>
      </c>
      <c r="K306">
        <f>IF($F306=1,FIND(MID($B306,5,1),"0123456789")-1,"")</f>
        <v/>
      </c>
      <c r="L306">
        <f>IF($F306=1,FIND(MID($B306,6,1),"0123456789")-1,"")</f>
        <v/>
      </c>
      <c r="M306">
        <f>IF($F306=1,FIND(MID($B306,7,1),"0123456789")-1,"")</f>
        <v/>
      </c>
      <c r="N306">
        <f>IF($F306=1,FIND(MID($B306,8,1),"0123456789")-1,"")</f>
        <v/>
      </c>
      <c r="O306">
        <f>IF($F306=1,FIND(MID($B306,9,1),"0123456789")-1,"")</f>
        <v/>
      </c>
      <c r="P306">
        <f>IF($F306=1,FIND(MID($B306,10,1),"0123456789")-1,"")</f>
        <v/>
      </c>
      <c r="Q306">
        <f>IF($F306=1,SUMPRODUCT($G306:$P306,{1,2,4,8,16,32,64,128,256,512}),"")</f>
        <v/>
      </c>
      <c r="R306">
        <f>IF($F306=1,MOD(MOD($Q306,11),10),"")</f>
        <v/>
      </c>
    </row>
    <row r="307">
      <c r="A307" s="6" t="n"/>
      <c r="B307" s="7">
        <f>IF($A307="","",UPPER(SUBSTITUTE(SUBSTITUTE(SUBSTITUTE(SUBSTITUTE(SUBSTITUTE(SUBSTITUTE($A307," ",""),"-",""),".",""),"/",""),"i","I"),"ı","?")))</f>
        <v/>
      </c>
      <c r="C307" s="8">
        <f>IF($F307=1,$R307,"")</f>
        <v/>
      </c>
      <c r="D307" s="7">
        <f>IF($A307="","",IF($F307=0,"Biçim hatalı",IF(FIND(MID($B307,11,1),"0123456789")-1=$R307,"Geçerli","Kontrol hanesi hatalı (doğrusu: "&amp;$R307&amp;")")))</f>
        <v/>
      </c>
      <c r="F307">
        <f>IF($A307="","",IF(AND(LEN($B307)=11,SUMPRODUCT(--ISNUMBER(FIND(MID($B307,{1,2,3},1),"ABCDEFGHIJKLMNOPQRSTUVWXYZ")))=3,ISNUMBER(FIND(MID($B307,4,1),"UJZ")),SUMPRODUCT(--ISNUMBER(FIND(MID($B307,{5,6,7,8,9,10,11},1),"0123456789")))=7),1,0))</f>
        <v/>
      </c>
      <c r="G307">
        <f>IF($F307=1,INDEX({10,12,13,14,15,16,17,18,19,20,21,23,24,25,26,27,28,29,30,31,32,34,35,36,37,38},1,FIND(MID($B307,1,1),"ABCDEFGHIJKLMNOPQRSTUVWXYZ")),"")</f>
        <v/>
      </c>
      <c r="H307">
        <f>IF($F307=1,INDEX({10,12,13,14,15,16,17,18,19,20,21,23,24,25,26,27,28,29,30,31,32,34,35,36,37,38},1,FIND(MID($B307,2,1),"ABCDEFGHIJKLMNOPQRSTUVWXYZ")),"")</f>
        <v/>
      </c>
      <c r="I307">
        <f>IF($F307=1,INDEX({10,12,13,14,15,16,17,18,19,20,21,23,24,25,26,27,28,29,30,31,32,34,35,36,37,38},1,FIND(MID($B307,3,1),"ABCDEFGHIJKLMNOPQRSTUVWXYZ")),"")</f>
        <v/>
      </c>
      <c r="J307">
        <f>IF($F307=1,INDEX({10,12,13,14,15,16,17,18,19,20,21,23,24,25,26,27,28,29,30,31,32,34,35,36,37,38},1,FIND(MID($B307,4,1),"ABCDEFGHIJKLMNOPQRSTUVWXYZ")),"")</f>
        <v/>
      </c>
      <c r="K307">
        <f>IF($F307=1,FIND(MID($B307,5,1),"0123456789")-1,"")</f>
        <v/>
      </c>
      <c r="L307">
        <f>IF($F307=1,FIND(MID($B307,6,1),"0123456789")-1,"")</f>
        <v/>
      </c>
      <c r="M307">
        <f>IF($F307=1,FIND(MID($B307,7,1),"0123456789")-1,"")</f>
        <v/>
      </c>
      <c r="N307">
        <f>IF($F307=1,FIND(MID($B307,8,1),"0123456789")-1,"")</f>
        <v/>
      </c>
      <c r="O307">
        <f>IF($F307=1,FIND(MID($B307,9,1),"0123456789")-1,"")</f>
        <v/>
      </c>
      <c r="P307">
        <f>IF($F307=1,FIND(MID($B307,10,1),"0123456789")-1,"")</f>
        <v/>
      </c>
      <c r="Q307">
        <f>IF($F307=1,SUMPRODUCT($G307:$P307,{1,2,4,8,16,32,64,128,256,512}),"")</f>
        <v/>
      </c>
      <c r="R307">
        <f>IF($F307=1,MOD(MOD($Q307,11),10),"")</f>
        <v/>
      </c>
    </row>
    <row r="308">
      <c r="A308" s="6" t="n"/>
      <c r="B308" s="7">
        <f>IF($A308="","",UPPER(SUBSTITUTE(SUBSTITUTE(SUBSTITUTE(SUBSTITUTE(SUBSTITUTE(SUBSTITUTE($A308," ",""),"-",""),".",""),"/",""),"i","I"),"ı","?")))</f>
        <v/>
      </c>
      <c r="C308" s="8">
        <f>IF($F308=1,$R308,"")</f>
        <v/>
      </c>
      <c r="D308" s="7">
        <f>IF($A308="","",IF($F308=0,"Biçim hatalı",IF(FIND(MID($B308,11,1),"0123456789")-1=$R308,"Geçerli","Kontrol hanesi hatalı (doğrusu: "&amp;$R308&amp;")")))</f>
        <v/>
      </c>
      <c r="F308">
        <f>IF($A308="","",IF(AND(LEN($B308)=11,SUMPRODUCT(--ISNUMBER(FIND(MID($B308,{1,2,3},1),"ABCDEFGHIJKLMNOPQRSTUVWXYZ")))=3,ISNUMBER(FIND(MID($B308,4,1),"UJZ")),SUMPRODUCT(--ISNUMBER(FIND(MID($B308,{5,6,7,8,9,10,11},1),"0123456789")))=7),1,0))</f>
        <v/>
      </c>
      <c r="G308">
        <f>IF($F308=1,INDEX({10,12,13,14,15,16,17,18,19,20,21,23,24,25,26,27,28,29,30,31,32,34,35,36,37,38},1,FIND(MID($B308,1,1),"ABCDEFGHIJKLMNOPQRSTUVWXYZ")),"")</f>
        <v/>
      </c>
      <c r="H308">
        <f>IF($F308=1,INDEX({10,12,13,14,15,16,17,18,19,20,21,23,24,25,26,27,28,29,30,31,32,34,35,36,37,38},1,FIND(MID($B308,2,1),"ABCDEFGHIJKLMNOPQRSTUVWXYZ")),"")</f>
        <v/>
      </c>
      <c r="I308">
        <f>IF($F308=1,INDEX({10,12,13,14,15,16,17,18,19,20,21,23,24,25,26,27,28,29,30,31,32,34,35,36,37,38},1,FIND(MID($B308,3,1),"ABCDEFGHIJKLMNOPQRSTUVWXYZ")),"")</f>
        <v/>
      </c>
      <c r="J308">
        <f>IF($F308=1,INDEX({10,12,13,14,15,16,17,18,19,20,21,23,24,25,26,27,28,29,30,31,32,34,35,36,37,38},1,FIND(MID($B308,4,1),"ABCDEFGHIJKLMNOPQRSTUVWXYZ")),"")</f>
        <v/>
      </c>
      <c r="K308">
        <f>IF($F308=1,FIND(MID($B308,5,1),"0123456789")-1,"")</f>
        <v/>
      </c>
      <c r="L308">
        <f>IF($F308=1,FIND(MID($B308,6,1),"0123456789")-1,"")</f>
        <v/>
      </c>
      <c r="M308">
        <f>IF($F308=1,FIND(MID($B308,7,1),"0123456789")-1,"")</f>
        <v/>
      </c>
      <c r="N308">
        <f>IF($F308=1,FIND(MID($B308,8,1),"0123456789")-1,"")</f>
        <v/>
      </c>
      <c r="O308">
        <f>IF($F308=1,FIND(MID($B308,9,1),"0123456789")-1,"")</f>
        <v/>
      </c>
      <c r="P308">
        <f>IF($F308=1,FIND(MID($B308,10,1),"0123456789")-1,"")</f>
        <v/>
      </c>
      <c r="Q308">
        <f>IF($F308=1,SUMPRODUCT($G308:$P308,{1,2,4,8,16,32,64,128,256,512}),"")</f>
        <v/>
      </c>
      <c r="R308">
        <f>IF($F308=1,MOD(MOD($Q308,11),10),"")</f>
        <v/>
      </c>
    </row>
    <row r="309">
      <c r="A309" s="6" t="n"/>
      <c r="B309" s="7">
        <f>IF($A309="","",UPPER(SUBSTITUTE(SUBSTITUTE(SUBSTITUTE(SUBSTITUTE(SUBSTITUTE(SUBSTITUTE($A309," ",""),"-",""),".",""),"/",""),"i","I"),"ı","?")))</f>
        <v/>
      </c>
      <c r="C309" s="8">
        <f>IF($F309=1,$R309,"")</f>
        <v/>
      </c>
      <c r="D309" s="7">
        <f>IF($A309="","",IF($F309=0,"Biçim hatalı",IF(FIND(MID($B309,11,1),"0123456789")-1=$R309,"Geçerli","Kontrol hanesi hatalı (doğrusu: "&amp;$R309&amp;")")))</f>
        <v/>
      </c>
      <c r="F309">
        <f>IF($A309="","",IF(AND(LEN($B309)=11,SUMPRODUCT(--ISNUMBER(FIND(MID($B309,{1,2,3},1),"ABCDEFGHIJKLMNOPQRSTUVWXYZ")))=3,ISNUMBER(FIND(MID($B309,4,1),"UJZ")),SUMPRODUCT(--ISNUMBER(FIND(MID($B309,{5,6,7,8,9,10,11},1),"0123456789")))=7),1,0))</f>
        <v/>
      </c>
      <c r="G309">
        <f>IF($F309=1,INDEX({10,12,13,14,15,16,17,18,19,20,21,23,24,25,26,27,28,29,30,31,32,34,35,36,37,38},1,FIND(MID($B309,1,1),"ABCDEFGHIJKLMNOPQRSTUVWXYZ")),"")</f>
        <v/>
      </c>
      <c r="H309">
        <f>IF($F309=1,INDEX({10,12,13,14,15,16,17,18,19,20,21,23,24,25,26,27,28,29,30,31,32,34,35,36,37,38},1,FIND(MID($B309,2,1),"ABCDEFGHIJKLMNOPQRSTUVWXYZ")),"")</f>
        <v/>
      </c>
      <c r="I309">
        <f>IF($F309=1,INDEX({10,12,13,14,15,16,17,18,19,20,21,23,24,25,26,27,28,29,30,31,32,34,35,36,37,38},1,FIND(MID($B309,3,1),"ABCDEFGHIJKLMNOPQRSTUVWXYZ")),"")</f>
        <v/>
      </c>
      <c r="J309">
        <f>IF($F309=1,INDEX({10,12,13,14,15,16,17,18,19,20,21,23,24,25,26,27,28,29,30,31,32,34,35,36,37,38},1,FIND(MID($B309,4,1),"ABCDEFGHIJKLMNOPQRSTUVWXYZ")),"")</f>
        <v/>
      </c>
      <c r="K309">
        <f>IF($F309=1,FIND(MID($B309,5,1),"0123456789")-1,"")</f>
        <v/>
      </c>
      <c r="L309">
        <f>IF($F309=1,FIND(MID($B309,6,1),"0123456789")-1,"")</f>
        <v/>
      </c>
      <c r="M309">
        <f>IF($F309=1,FIND(MID($B309,7,1),"0123456789")-1,"")</f>
        <v/>
      </c>
      <c r="N309">
        <f>IF($F309=1,FIND(MID($B309,8,1),"0123456789")-1,"")</f>
        <v/>
      </c>
      <c r="O309">
        <f>IF($F309=1,FIND(MID($B309,9,1),"0123456789")-1,"")</f>
        <v/>
      </c>
      <c r="P309">
        <f>IF($F309=1,FIND(MID($B309,10,1),"0123456789")-1,"")</f>
        <v/>
      </c>
      <c r="Q309">
        <f>IF($F309=1,SUMPRODUCT($G309:$P309,{1,2,4,8,16,32,64,128,256,512}),"")</f>
        <v/>
      </c>
      <c r="R309">
        <f>IF($F309=1,MOD(MOD($Q309,11),10),"")</f>
        <v/>
      </c>
    </row>
    <row r="310">
      <c r="A310" s="6" t="n"/>
      <c r="B310" s="7">
        <f>IF($A310="","",UPPER(SUBSTITUTE(SUBSTITUTE(SUBSTITUTE(SUBSTITUTE(SUBSTITUTE(SUBSTITUTE($A310," ",""),"-",""),".",""),"/",""),"i","I"),"ı","?")))</f>
        <v/>
      </c>
      <c r="C310" s="8">
        <f>IF($F310=1,$R310,"")</f>
        <v/>
      </c>
      <c r="D310" s="7">
        <f>IF($A310="","",IF($F310=0,"Biçim hatalı",IF(FIND(MID($B310,11,1),"0123456789")-1=$R310,"Geçerli","Kontrol hanesi hatalı (doğrusu: "&amp;$R310&amp;")")))</f>
        <v/>
      </c>
      <c r="F310">
        <f>IF($A310="","",IF(AND(LEN($B310)=11,SUMPRODUCT(--ISNUMBER(FIND(MID($B310,{1,2,3},1),"ABCDEFGHIJKLMNOPQRSTUVWXYZ")))=3,ISNUMBER(FIND(MID($B310,4,1),"UJZ")),SUMPRODUCT(--ISNUMBER(FIND(MID($B310,{5,6,7,8,9,10,11},1),"0123456789")))=7),1,0))</f>
        <v/>
      </c>
      <c r="G310">
        <f>IF($F310=1,INDEX({10,12,13,14,15,16,17,18,19,20,21,23,24,25,26,27,28,29,30,31,32,34,35,36,37,38},1,FIND(MID($B310,1,1),"ABCDEFGHIJKLMNOPQRSTUVWXYZ")),"")</f>
        <v/>
      </c>
      <c r="H310">
        <f>IF($F310=1,INDEX({10,12,13,14,15,16,17,18,19,20,21,23,24,25,26,27,28,29,30,31,32,34,35,36,37,38},1,FIND(MID($B310,2,1),"ABCDEFGHIJKLMNOPQRSTUVWXYZ")),"")</f>
        <v/>
      </c>
      <c r="I310">
        <f>IF($F310=1,INDEX({10,12,13,14,15,16,17,18,19,20,21,23,24,25,26,27,28,29,30,31,32,34,35,36,37,38},1,FIND(MID($B310,3,1),"ABCDEFGHIJKLMNOPQRSTUVWXYZ")),"")</f>
        <v/>
      </c>
      <c r="J310">
        <f>IF($F310=1,INDEX({10,12,13,14,15,16,17,18,19,20,21,23,24,25,26,27,28,29,30,31,32,34,35,36,37,38},1,FIND(MID($B310,4,1),"ABCDEFGHIJKLMNOPQRSTUVWXYZ")),"")</f>
        <v/>
      </c>
      <c r="K310">
        <f>IF($F310=1,FIND(MID($B310,5,1),"0123456789")-1,"")</f>
        <v/>
      </c>
      <c r="L310">
        <f>IF($F310=1,FIND(MID($B310,6,1),"0123456789")-1,"")</f>
        <v/>
      </c>
      <c r="M310">
        <f>IF($F310=1,FIND(MID($B310,7,1),"0123456789")-1,"")</f>
        <v/>
      </c>
      <c r="N310">
        <f>IF($F310=1,FIND(MID($B310,8,1),"0123456789")-1,"")</f>
        <v/>
      </c>
      <c r="O310">
        <f>IF($F310=1,FIND(MID($B310,9,1),"0123456789")-1,"")</f>
        <v/>
      </c>
      <c r="P310">
        <f>IF($F310=1,FIND(MID($B310,10,1),"0123456789")-1,"")</f>
        <v/>
      </c>
      <c r="Q310">
        <f>IF($F310=1,SUMPRODUCT($G310:$P310,{1,2,4,8,16,32,64,128,256,512}),"")</f>
        <v/>
      </c>
      <c r="R310">
        <f>IF($F310=1,MOD(MOD($Q310,11),10),"")</f>
        <v/>
      </c>
    </row>
    <row r="311">
      <c r="A311" s="6" t="n"/>
      <c r="B311" s="7">
        <f>IF($A311="","",UPPER(SUBSTITUTE(SUBSTITUTE(SUBSTITUTE(SUBSTITUTE(SUBSTITUTE(SUBSTITUTE($A311," ",""),"-",""),".",""),"/",""),"i","I"),"ı","?")))</f>
        <v/>
      </c>
      <c r="C311" s="8">
        <f>IF($F311=1,$R311,"")</f>
        <v/>
      </c>
      <c r="D311" s="7">
        <f>IF($A311="","",IF($F311=0,"Biçim hatalı",IF(FIND(MID($B311,11,1),"0123456789")-1=$R311,"Geçerli","Kontrol hanesi hatalı (doğrusu: "&amp;$R311&amp;")")))</f>
        <v/>
      </c>
      <c r="F311">
        <f>IF($A311="","",IF(AND(LEN($B311)=11,SUMPRODUCT(--ISNUMBER(FIND(MID($B311,{1,2,3},1),"ABCDEFGHIJKLMNOPQRSTUVWXYZ")))=3,ISNUMBER(FIND(MID($B311,4,1),"UJZ")),SUMPRODUCT(--ISNUMBER(FIND(MID($B311,{5,6,7,8,9,10,11},1),"0123456789")))=7),1,0))</f>
        <v/>
      </c>
      <c r="G311">
        <f>IF($F311=1,INDEX({10,12,13,14,15,16,17,18,19,20,21,23,24,25,26,27,28,29,30,31,32,34,35,36,37,38},1,FIND(MID($B311,1,1),"ABCDEFGHIJKLMNOPQRSTUVWXYZ")),"")</f>
        <v/>
      </c>
      <c r="H311">
        <f>IF($F311=1,INDEX({10,12,13,14,15,16,17,18,19,20,21,23,24,25,26,27,28,29,30,31,32,34,35,36,37,38},1,FIND(MID($B311,2,1),"ABCDEFGHIJKLMNOPQRSTUVWXYZ")),"")</f>
        <v/>
      </c>
      <c r="I311">
        <f>IF($F311=1,INDEX({10,12,13,14,15,16,17,18,19,20,21,23,24,25,26,27,28,29,30,31,32,34,35,36,37,38},1,FIND(MID($B311,3,1),"ABCDEFGHIJKLMNOPQRSTUVWXYZ")),"")</f>
        <v/>
      </c>
      <c r="J311">
        <f>IF($F311=1,INDEX({10,12,13,14,15,16,17,18,19,20,21,23,24,25,26,27,28,29,30,31,32,34,35,36,37,38},1,FIND(MID($B311,4,1),"ABCDEFGHIJKLMNOPQRSTUVWXYZ")),"")</f>
        <v/>
      </c>
      <c r="K311">
        <f>IF($F311=1,FIND(MID($B311,5,1),"0123456789")-1,"")</f>
        <v/>
      </c>
      <c r="L311">
        <f>IF($F311=1,FIND(MID($B311,6,1),"0123456789")-1,"")</f>
        <v/>
      </c>
      <c r="M311">
        <f>IF($F311=1,FIND(MID($B311,7,1),"0123456789")-1,"")</f>
        <v/>
      </c>
      <c r="N311">
        <f>IF($F311=1,FIND(MID($B311,8,1),"0123456789")-1,"")</f>
        <v/>
      </c>
      <c r="O311">
        <f>IF($F311=1,FIND(MID($B311,9,1),"0123456789")-1,"")</f>
        <v/>
      </c>
      <c r="P311">
        <f>IF($F311=1,FIND(MID($B311,10,1),"0123456789")-1,"")</f>
        <v/>
      </c>
      <c r="Q311">
        <f>IF($F311=1,SUMPRODUCT($G311:$P311,{1,2,4,8,16,32,64,128,256,512}),"")</f>
        <v/>
      </c>
      <c r="R311">
        <f>IF($F311=1,MOD(MOD($Q311,11),10),"")</f>
        <v/>
      </c>
    </row>
    <row r="312">
      <c r="A312" s="6" t="n"/>
      <c r="B312" s="7">
        <f>IF($A312="","",UPPER(SUBSTITUTE(SUBSTITUTE(SUBSTITUTE(SUBSTITUTE(SUBSTITUTE(SUBSTITUTE($A312," ",""),"-",""),".",""),"/",""),"i","I"),"ı","?")))</f>
        <v/>
      </c>
      <c r="C312" s="8">
        <f>IF($F312=1,$R312,"")</f>
        <v/>
      </c>
      <c r="D312" s="7">
        <f>IF($A312="","",IF($F312=0,"Biçim hatalı",IF(FIND(MID($B312,11,1),"0123456789")-1=$R312,"Geçerli","Kontrol hanesi hatalı (doğrusu: "&amp;$R312&amp;")")))</f>
        <v/>
      </c>
      <c r="F312">
        <f>IF($A312="","",IF(AND(LEN($B312)=11,SUMPRODUCT(--ISNUMBER(FIND(MID($B312,{1,2,3},1),"ABCDEFGHIJKLMNOPQRSTUVWXYZ")))=3,ISNUMBER(FIND(MID($B312,4,1),"UJZ")),SUMPRODUCT(--ISNUMBER(FIND(MID($B312,{5,6,7,8,9,10,11},1),"0123456789")))=7),1,0))</f>
        <v/>
      </c>
      <c r="G312">
        <f>IF($F312=1,INDEX({10,12,13,14,15,16,17,18,19,20,21,23,24,25,26,27,28,29,30,31,32,34,35,36,37,38},1,FIND(MID($B312,1,1),"ABCDEFGHIJKLMNOPQRSTUVWXYZ")),"")</f>
        <v/>
      </c>
      <c r="H312">
        <f>IF($F312=1,INDEX({10,12,13,14,15,16,17,18,19,20,21,23,24,25,26,27,28,29,30,31,32,34,35,36,37,38},1,FIND(MID($B312,2,1),"ABCDEFGHIJKLMNOPQRSTUVWXYZ")),"")</f>
        <v/>
      </c>
      <c r="I312">
        <f>IF($F312=1,INDEX({10,12,13,14,15,16,17,18,19,20,21,23,24,25,26,27,28,29,30,31,32,34,35,36,37,38},1,FIND(MID($B312,3,1),"ABCDEFGHIJKLMNOPQRSTUVWXYZ")),"")</f>
        <v/>
      </c>
      <c r="J312">
        <f>IF($F312=1,INDEX({10,12,13,14,15,16,17,18,19,20,21,23,24,25,26,27,28,29,30,31,32,34,35,36,37,38},1,FIND(MID($B312,4,1),"ABCDEFGHIJKLMNOPQRSTUVWXYZ")),"")</f>
        <v/>
      </c>
      <c r="K312">
        <f>IF($F312=1,FIND(MID($B312,5,1),"0123456789")-1,"")</f>
        <v/>
      </c>
      <c r="L312">
        <f>IF($F312=1,FIND(MID($B312,6,1),"0123456789")-1,"")</f>
        <v/>
      </c>
      <c r="M312">
        <f>IF($F312=1,FIND(MID($B312,7,1),"0123456789")-1,"")</f>
        <v/>
      </c>
      <c r="N312">
        <f>IF($F312=1,FIND(MID($B312,8,1),"0123456789")-1,"")</f>
        <v/>
      </c>
      <c r="O312">
        <f>IF($F312=1,FIND(MID($B312,9,1),"0123456789")-1,"")</f>
        <v/>
      </c>
      <c r="P312">
        <f>IF($F312=1,FIND(MID($B312,10,1),"0123456789")-1,"")</f>
        <v/>
      </c>
      <c r="Q312">
        <f>IF($F312=1,SUMPRODUCT($G312:$P312,{1,2,4,8,16,32,64,128,256,512}),"")</f>
        <v/>
      </c>
      <c r="R312">
        <f>IF($F312=1,MOD(MOD($Q312,11),10),"")</f>
        <v/>
      </c>
    </row>
    <row r="313">
      <c r="A313" s="6" t="n"/>
      <c r="B313" s="7">
        <f>IF($A313="","",UPPER(SUBSTITUTE(SUBSTITUTE(SUBSTITUTE(SUBSTITUTE(SUBSTITUTE(SUBSTITUTE($A313," ",""),"-",""),".",""),"/",""),"i","I"),"ı","?")))</f>
        <v/>
      </c>
      <c r="C313" s="8">
        <f>IF($F313=1,$R313,"")</f>
        <v/>
      </c>
      <c r="D313" s="7">
        <f>IF($A313="","",IF($F313=0,"Biçim hatalı",IF(FIND(MID($B313,11,1),"0123456789")-1=$R313,"Geçerli","Kontrol hanesi hatalı (doğrusu: "&amp;$R313&amp;")")))</f>
        <v/>
      </c>
      <c r="F313">
        <f>IF($A313="","",IF(AND(LEN($B313)=11,SUMPRODUCT(--ISNUMBER(FIND(MID($B313,{1,2,3},1),"ABCDEFGHIJKLMNOPQRSTUVWXYZ")))=3,ISNUMBER(FIND(MID($B313,4,1),"UJZ")),SUMPRODUCT(--ISNUMBER(FIND(MID($B313,{5,6,7,8,9,10,11},1),"0123456789")))=7),1,0))</f>
        <v/>
      </c>
      <c r="G313">
        <f>IF($F313=1,INDEX({10,12,13,14,15,16,17,18,19,20,21,23,24,25,26,27,28,29,30,31,32,34,35,36,37,38},1,FIND(MID($B313,1,1),"ABCDEFGHIJKLMNOPQRSTUVWXYZ")),"")</f>
        <v/>
      </c>
      <c r="H313">
        <f>IF($F313=1,INDEX({10,12,13,14,15,16,17,18,19,20,21,23,24,25,26,27,28,29,30,31,32,34,35,36,37,38},1,FIND(MID($B313,2,1),"ABCDEFGHIJKLMNOPQRSTUVWXYZ")),"")</f>
        <v/>
      </c>
      <c r="I313">
        <f>IF($F313=1,INDEX({10,12,13,14,15,16,17,18,19,20,21,23,24,25,26,27,28,29,30,31,32,34,35,36,37,38},1,FIND(MID($B313,3,1),"ABCDEFGHIJKLMNOPQRSTUVWXYZ")),"")</f>
        <v/>
      </c>
      <c r="J313">
        <f>IF($F313=1,INDEX({10,12,13,14,15,16,17,18,19,20,21,23,24,25,26,27,28,29,30,31,32,34,35,36,37,38},1,FIND(MID($B313,4,1),"ABCDEFGHIJKLMNOPQRSTUVWXYZ")),"")</f>
        <v/>
      </c>
      <c r="K313">
        <f>IF($F313=1,FIND(MID($B313,5,1),"0123456789")-1,"")</f>
        <v/>
      </c>
      <c r="L313">
        <f>IF($F313=1,FIND(MID($B313,6,1),"0123456789")-1,"")</f>
        <v/>
      </c>
      <c r="M313">
        <f>IF($F313=1,FIND(MID($B313,7,1),"0123456789")-1,"")</f>
        <v/>
      </c>
      <c r="N313">
        <f>IF($F313=1,FIND(MID($B313,8,1),"0123456789")-1,"")</f>
        <v/>
      </c>
      <c r="O313">
        <f>IF($F313=1,FIND(MID($B313,9,1),"0123456789")-1,"")</f>
        <v/>
      </c>
      <c r="P313">
        <f>IF($F313=1,FIND(MID($B313,10,1),"0123456789")-1,"")</f>
        <v/>
      </c>
      <c r="Q313">
        <f>IF($F313=1,SUMPRODUCT($G313:$P313,{1,2,4,8,16,32,64,128,256,512}),"")</f>
        <v/>
      </c>
      <c r="R313">
        <f>IF($F313=1,MOD(MOD($Q313,11),10),"")</f>
        <v/>
      </c>
    </row>
    <row r="314">
      <c r="A314" s="6" t="n"/>
      <c r="B314" s="7">
        <f>IF($A314="","",UPPER(SUBSTITUTE(SUBSTITUTE(SUBSTITUTE(SUBSTITUTE(SUBSTITUTE(SUBSTITUTE($A314," ",""),"-",""),".",""),"/",""),"i","I"),"ı","?")))</f>
        <v/>
      </c>
      <c r="C314" s="8">
        <f>IF($F314=1,$R314,"")</f>
        <v/>
      </c>
      <c r="D314" s="7">
        <f>IF($A314="","",IF($F314=0,"Biçim hatalı",IF(FIND(MID($B314,11,1),"0123456789")-1=$R314,"Geçerli","Kontrol hanesi hatalı (doğrusu: "&amp;$R314&amp;")")))</f>
        <v/>
      </c>
      <c r="F314">
        <f>IF($A314="","",IF(AND(LEN($B314)=11,SUMPRODUCT(--ISNUMBER(FIND(MID($B314,{1,2,3},1),"ABCDEFGHIJKLMNOPQRSTUVWXYZ")))=3,ISNUMBER(FIND(MID($B314,4,1),"UJZ")),SUMPRODUCT(--ISNUMBER(FIND(MID($B314,{5,6,7,8,9,10,11},1),"0123456789")))=7),1,0))</f>
        <v/>
      </c>
      <c r="G314">
        <f>IF($F314=1,INDEX({10,12,13,14,15,16,17,18,19,20,21,23,24,25,26,27,28,29,30,31,32,34,35,36,37,38},1,FIND(MID($B314,1,1),"ABCDEFGHIJKLMNOPQRSTUVWXYZ")),"")</f>
        <v/>
      </c>
      <c r="H314">
        <f>IF($F314=1,INDEX({10,12,13,14,15,16,17,18,19,20,21,23,24,25,26,27,28,29,30,31,32,34,35,36,37,38},1,FIND(MID($B314,2,1),"ABCDEFGHIJKLMNOPQRSTUVWXYZ")),"")</f>
        <v/>
      </c>
      <c r="I314">
        <f>IF($F314=1,INDEX({10,12,13,14,15,16,17,18,19,20,21,23,24,25,26,27,28,29,30,31,32,34,35,36,37,38},1,FIND(MID($B314,3,1),"ABCDEFGHIJKLMNOPQRSTUVWXYZ")),"")</f>
        <v/>
      </c>
      <c r="J314">
        <f>IF($F314=1,INDEX({10,12,13,14,15,16,17,18,19,20,21,23,24,25,26,27,28,29,30,31,32,34,35,36,37,38},1,FIND(MID($B314,4,1),"ABCDEFGHIJKLMNOPQRSTUVWXYZ")),"")</f>
        <v/>
      </c>
      <c r="K314">
        <f>IF($F314=1,FIND(MID($B314,5,1),"0123456789")-1,"")</f>
        <v/>
      </c>
      <c r="L314">
        <f>IF($F314=1,FIND(MID($B314,6,1),"0123456789")-1,"")</f>
        <v/>
      </c>
      <c r="M314">
        <f>IF($F314=1,FIND(MID($B314,7,1),"0123456789")-1,"")</f>
        <v/>
      </c>
      <c r="N314">
        <f>IF($F314=1,FIND(MID($B314,8,1),"0123456789")-1,"")</f>
        <v/>
      </c>
      <c r="O314">
        <f>IF($F314=1,FIND(MID($B314,9,1),"0123456789")-1,"")</f>
        <v/>
      </c>
      <c r="P314">
        <f>IF($F314=1,FIND(MID($B314,10,1),"0123456789")-1,"")</f>
        <v/>
      </c>
      <c r="Q314">
        <f>IF($F314=1,SUMPRODUCT($G314:$P314,{1,2,4,8,16,32,64,128,256,512}),"")</f>
        <v/>
      </c>
      <c r="R314">
        <f>IF($F314=1,MOD(MOD($Q314,11),10),"")</f>
        <v/>
      </c>
    </row>
    <row r="315">
      <c r="A315" s="6" t="n"/>
      <c r="B315" s="7">
        <f>IF($A315="","",UPPER(SUBSTITUTE(SUBSTITUTE(SUBSTITUTE(SUBSTITUTE(SUBSTITUTE(SUBSTITUTE($A315," ",""),"-",""),".",""),"/",""),"i","I"),"ı","?")))</f>
        <v/>
      </c>
      <c r="C315" s="8">
        <f>IF($F315=1,$R315,"")</f>
        <v/>
      </c>
      <c r="D315" s="7">
        <f>IF($A315="","",IF($F315=0,"Biçim hatalı",IF(FIND(MID($B315,11,1),"0123456789")-1=$R315,"Geçerli","Kontrol hanesi hatalı (doğrusu: "&amp;$R315&amp;")")))</f>
        <v/>
      </c>
      <c r="F315">
        <f>IF($A315="","",IF(AND(LEN($B315)=11,SUMPRODUCT(--ISNUMBER(FIND(MID($B315,{1,2,3},1),"ABCDEFGHIJKLMNOPQRSTUVWXYZ")))=3,ISNUMBER(FIND(MID($B315,4,1),"UJZ")),SUMPRODUCT(--ISNUMBER(FIND(MID($B315,{5,6,7,8,9,10,11},1),"0123456789")))=7),1,0))</f>
        <v/>
      </c>
      <c r="G315">
        <f>IF($F315=1,INDEX({10,12,13,14,15,16,17,18,19,20,21,23,24,25,26,27,28,29,30,31,32,34,35,36,37,38},1,FIND(MID($B315,1,1),"ABCDEFGHIJKLMNOPQRSTUVWXYZ")),"")</f>
        <v/>
      </c>
      <c r="H315">
        <f>IF($F315=1,INDEX({10,12,13,14,15,16,17,18,19,20,21,23,24,25,26,27,28,29,30,31,32,34,35,36,37,38},1,FIND(MID($B315,2,1),"ABCDEFGHIJKLMNOPQRSTUVWXYZ")),"")</f>
        <v/>
      </c>
      <c r="I315">
        <f>IF($F315=1,INDEX({10,12,13,14,15,16,17,18,19,20,21,23,24,25,26,27,28,29,30,31,32,34,35,36,37,38},1,FIND(MID($B315,3,1),"ABCDEFGHIJKLMNOPQRSTUVWXYZ")),"")</f>
        <v/>
      </c>
      <c r="J315">
        <f>IF($F315=1,INDEX({10,12,13,14,15,16,17,18,19,20,21,23,24,25,26,27,28,29,30,31,32,34,35,36,37,38},1,FIND(MID($B315,4,1),"ABCDEFGHIJKLMNOPQRSTUVWXYZ")),"")</f>
        <v/>
      </c>
      <c r="K315">
        <f>IF($F315=1,FIND(MID($B315,5,1),"0123456789")-1,"")</f>
        <v/>
      </c>
      <c r="L315">
        <f>IF($F315=1,FIND(MID($B315,6,1),"0123456789")-1,"")</f>
        <v/>
      </c>
      <c r="M315">
        <f>IF($F315=1,FIND(MID($B315,7,1),"0123456789")-1,"")</f>
        <v/>
      </c>
      <c r="N315">
        <f>IF($F315=1,FIND(MID($B315,8,1),"0123456789")-1,"")</f>
        <v/>
      </c>
      <c r="O315">
        <f>IF($F315=1,FIND(MID($B315,9,1),"0123456789")-1,"")</f>
        <v/>
      </c>
      <c r="P315">
        <f>IF($F315=1,FIND(MID($B315,10,1),"0123456789")-1,"")</f>
        <v/>
      </c>
      <c r="Q315">
        <f>IF($F315=1,SUMPRODUCT($G315:$P315,{1,2,4,8,16,32,64,128,256,512}),"")</f>
        <v/>
      </c>
      <c r="R315">
        <f>IF($F315=1,MOD(MOD($Q315,11),10),"")</f>
        <v/>
      </c>
    </row>
    <row r="316">
      <c r="A316" s="6" t="n"/>
      <c r="B316" s="7">
        <f>IF($A316="","",UPPER(SUBSTITUTE(SUBSTITUTE(SUBSTITUTE(SUBSTITUTE(SUBSTITUTE(SUBSTITUTE($A316," ",""),"-",""),".",""),"/",""),"i","I"),"ı","?")))</f>
        <v/>
      </c>
      <c r="C316" s="8">
        <f>IF($F316=1,$R316,"")</f>
        <v/>
      </c>
      <c r="D316" s="7">
        <f>IF($A316="","",IF($F316=0,"Biçim hatalı",IF(FIND(MID($B316,11,1),"0123456789")-1=$R316,"Geçerli","Kontrol hanesi hatalı (doğrusu: "&amp;$R316&amp;")")))</f>
        <v/>
      </c>
      <c r="F316">
        <f>IF($A316="","",IF(AND(LEN($B316)=11,SUMPRODUCT(--ISNUMBER(FIND(MID($B316,{1,2,3},1),"ABCDEFGHIJKLMNOPQRSTUVWXYZ")))=3,ISNUMBER(FIND(MID($B316,4,1),"UJZ")),SUMPRODUCT(--ISNUMBER(FIND(MID($B316,{5,6,7,8,9,10,11},1),"0123456789")))=7),1,0))</f>
        <v/>
      </c>
      <c r="G316">
        <f>IF($F316=1,INDEX({10,12,13,14,15,16,17,18,19,20,21,23,24,25,26,27,28,29,30,31,32,34,35,36,37,38},1,FIND(MID($B316,1,1),"ABCDEFGHIJKLMNOPQRSTUVWXYZ")),"")</f>
        <v/>
      </c>
      <c r="H316">
        <f>IF($F316=1,INDEX({10,12,13,14,15,16,17,18,19,20,21,23,24,25,26,27,28,29,30,31,32,34,35,36,37,38},1,FIND(MID($B316,2,1),"ABCDEFGHIJKLMNOPQRSTUVWXYZ")),"")</f>
        <v/>
      </c>
      <c r="I316">
        <f>IF($F316=1,INDEX({10,12,13,14,15,16,17,18,19,20,21,23,24,25,26,27,28,29,30,31,32,34,35,36,37,38},1,FIND(MID($B316,3,1),"ABCDEFGHIJKLMNOPQRSTUVWXYZ")),"")</f>
        <v/>
      </c>
      <c r="J316">
        <f>IF($F316=1,INDEX({10,12,13,14,15,16,17,18,19,20,21,23,24,25,26,27,28,29,30,31,32,34,35,36,37,38},1,FIND(MID($B316,4,1),"ABCDEFGHIJKLMNOPQRSTUVWXYZ")),"")</f>
        <v/>
      </c>
      <c r="K316">
        <f>IF($F316=1,FIND(MID($B316,5,1),"0123456789")-1,"")</f>
        <v/>
      </c>
      <c r="L316">
        <f>IF($F316=1,FIND(MID($B316,6,1),"0123456789")-1,"")</f>
        <v/>
      </c>
      <c r="M316">
        <f>IF($F316=1,FIND(MID($B316,7,1),"0123456789")-1,"")</f>
        <v/>
      </c>
      <c r="N316">
        <f>IF($F316=1,FIND(MID($B316,8,1),"0123456789")-1,"")</f>
        <v/>
      </c>
      <c r="O316">
        <f>IF($F316=1,FIND(MID($B316,9,1),"0123456789")-1,"")</f>
        <v/>
      </c>
      <c r="P316">
        <f>IF($F316=1,FIND(MID($B316,10,1),"0123456789")-1,"")</f>
        <v/>
      </c>
      <c r="Q316">
        <f>IF($F316=1,SUMPRODUCT($G316:$P316,{1,2,4,8,16,32,64,128,256,512}),"")</f>
        <v/>
      </c>
      <c r="R316">
        <f>IF($F316=1,MOD(MOD($Q316,11),10),"")</f>
        <v/>
      </c>
    </row>
    <row r="317">
      <c r="A317" s="6" t="n"/>
      <c r="B317" s="7">
        <f>IF($A317="","",UPPER(SUBSTITUTE(SUBSTITUTE(SUBSTITUTE(SUBSTITUTE(SUBSTITUTE(SUBSTITUTE($A317," ",""),"-",""),".",""),"/",""),"i","I"),"ı","?")))</f>
        <v/>
      </c>
      <c r="C317" s="8">
        <f>IF($F317=1,$R317,"")</f>
        <v/>
      </c>
      <c r="D317" s="7">
        <f>IF($A317="","",IF($F317=0,"Biçim hatalı",IF(FIND(MID($B317,11,1),"0123456789")-1=$R317,"Geçerli","Kontrol hanesi hatalı (doğrusu: "&amp;$R317&amp;")")))</f>
        <v/>
      </c>
      <c r="F317">
        <f>IF($A317="","",IF(AND(LEN($B317)=11,SUMPRODUCT(--ISNUMBER(FIND(MID($B317,{1,2,3},1),"ABCDEFGHIJKLMNOPQRSTUVWXYZ")))=3,ISNUMBER(FIND(MID($B317,4,1),"UJZ")),SUMPRODUCT(--ISNUMBER(FIND(MID($B317,{5,6,7,8,9,10,11},1),"0123456789")))=7),1,0))</f>
        <v/>
      </c>
      <c r="G317">
        <f>IF($F317=1,INDEX({10,12,13,14,15,16,17,18,19,20,21,23,24,25,26,27,28,29,30,31,32,34,35,36,37,38},1,FIND(MID($B317,1,1),"ABCDEFGHIJKLMNOPQRSTUVWXYZ")),"")</f>
        <v/>
      </c>
      <c r="H317">
        <f>IF($F317=1,INDEX({10,12,13,14,15,16,17,18,19,20,21,23,24,25,26,27,28,29,30,31,32,34,35,36,37,38},1,FIND(MID($B317,2,1),"ABCDEFGHIJKLMNOPQRSTUVWXYZ")),"")</f>
        <v/>
      </c>
      <c r="I317">
        <f>IF($F317=1,INDEX({10,12,13,14,15,16,17,18,19,20,21,23,24,25,26,27,28,29,30,31,32,34,35,36,37,38},1,FIND(MID($B317,3,1),"ABCDEFGHIJKLMNOPQRSTUVWXYZ")),"")</f>
        <v/>
      </c>
      <c r="J317">
        <f>IF($F317=1,INDEX({10,12,13,14,15,16,17,18,19,20,21,23,24,25,26,27,28,29,30,31,32,34,35,36,37,38},1,FIND(MID($B317,4,1),"ABCDEFGHIJKLMNOPQRSTUVWXYZ")),"")</f>
        <v/>
      </c>
      <c r="K317">
        <f>IF($F317=1,FIND(MID($B317,5,1),"0123456789")-1,"")</f>
        <v/>
      </c>
      <c r="L317">
        <f>IF($F317=1,FIND(MID($B317,6,1),"0123456789")-1,"")</f>
        <v/>
      </c>
      <c r="M317">
        <f>IF($F317=1,FIND(MID($B317,7,1),"0123456789")-1,"")</f>
        <v/>
      </c>
      <c r="N317">
        <f>IF($F317=1,FIND(MID($B317,8,1),"0123456789")-1,"")</f>
        <v/>
      </c>
      <c r="O317">
        <f>IF($F317=1,FIND(MID($B317,9,1),"0123456789")-1,"")</f>
        <v/>
      </c>
      <c r="P317">
        <f>IF($F317=1,FIND(MID($B317,10,1),"0123456789")-1,"")</f>
        <v/>
      </c>
      <c r="Q317">
        <f>IF($F317=1,SUMPRODUCT($G317:$P317,{1,2,4,8,16,32,64,128,256,512}),"")</f>
        <v/>
      </c>
      <c r="R317">
        <f>IF($F317=1,MOD(MOD($Q317,11),10),"")</f>
        <v/>
      </c>
    </row>
    <row r="318">
      <c r="A318" s="6" t="n"/>
      <c r="B318" s="7">
        <f>IF($A318="","",UPPER(SUBSTITUTE(SUBSTITUTE(SUBSTITUTE(SUBSTITUTE(SUBSTITUTE(SUBSTITUTE($A318," ",""),"-",""),".",""),"/",""),"i","I"),"ı","?")))</f>
        <v/>
      </c>
      <c r="C318" s="8">
        <f>IF($F318=1,$R318,"")</f>
        <v/>
      </c>
      <c r="D318" s="7">
        <f>IF($A318="","",IF($F318=0,"Biçim hatalı",IF(FIND(MID($B318,11,1),"0123456789")-1=$R318,"Geçerli","Kontrol hanesi hatalı (doğrusu: "&amp;$R318&amp;")")))</f>
        <v/>
      </c>
      <c r="F318">
        <f>IF($A318="","",IF(AND(LEN($B318)=11,SUMPRODUCT(--ISNUMBER(FIND(MID($B318,{1,2,3},1),"ABCDEFGHIJKLMNOPQRSTUVWXYZ")))=3,ISNUMBER(FIND(MID($B318,4,1),"UJZ")),SUMPRODUCT(--ISNUMBER(FIND(MID($B318,{5,6,7,8,9,10,11},1),"0123456789")))=7),1,0))</f>
        <v/>
      </c>
      <c r="G318">
        <f>IF($F318=1,INDEX({10,12,13,14,15,16,17,18,19,20,21,23,24,25,26,27,28,29,30,31,32,34,35,36,37,38},1,FIND(MID($B318,1,1),"ABCDEFGHIJKLMNOPQRSTUVWXYZ")),"")</f>
        <v/>
      </c>
      <c r="H318">
        <f>IF($F318=1,INDEX({10,12,13,14,15,16,17,18,19,20,21,23,24,25,26,27,28,29,30,31,32,34,35,36,37,38},1,FIND(MID($B318,2,1),"ABCDEFGHIJKLMNOPQRSTUVWXYZ")),"")</f>
        <v/>
      </c>
      <c r="I318">
        <f>IF($F318=1,INDEX({10,12,13,14,15,16,17,18,19,20,21,23,24,25,26,27,28,29,30,31,32,34,35,36,37,38},1,FIND(MID($B318,3,1),"ABCDEFGHIJKLMNOPQRSTUVWXYZ")),"")</f>
        <v/>
      </c>
      <c r="J318">
        <f>IF($F318=1,INDEX({10,12,13,14,15,16,17,18,19,20,21,23,24,25,26,27,28,29,30,31,32,34,35,36,37,38},1,FIND(MID($B318,4,1),"ABCDEFGHIJKLMNOPQRSTUVWXYZ")),"")</f>
        <v/>
      </c>
      <c r="K318">
        <f>IF($F318=1,FIND(MID($B318,5,1),"0123456789")-1,"")</f>
        <v/>
      </c>
      <c r="L318">
        <f>IF($F318=1,FIND(MID($B318,6,1),"0123456789")-1,"")</f>
        <v/>
      </c>
      <c r="M318">
        <f>IF($F318=1,FIND(MID($B318,7,1),"0123456789")-1,"")</f>
        <v/>
      </c>
      <c r="N318">
        <f>IF($F318=1,FIND(MID($B318,8,1),"0123456789")-1,"")</f>
        <v/>
      </c>
      <c r="O318">
        <f>IF($F318=1,FIND(MID($B318,9,1),"0123456789")-1,"")</f>
        <v/>
      </c>
      <c r="P318">
        <f>IF($F318=1,FIND(MID($B318,10,1),"0123456789")-1,"")</f>
        <v/>
      </c>
      <c r="Q318">
        <f>IF($F318=1,SUMPRODUCT($G318:$P318,{1,2,4,8,16,32,64,128,256,512}),"")</f>
        <v/>
      </c>
      <c r="R318">
        <f>IF($F318=1,MOD(MOD($Q318,11),10),"")</f>
        <v/>
      </c>
    </row>
    <row r="319">
      <c r="A319" s="6" t="n"/>
      <c r="B319" s="7">
        <f>IF($A319="","",UPPER(SUBSTITUTE(SUBSTITUTE(SUBSTITUTE(SUBSTITUTE(SUBSTITUTE(SUBSTITUTE($A319," ",""),"-",""),".",""),"/",""),"i","I"),"ı","?")))</f>
        <v/>
      </c>
      <c r="C319" s="8">
        <f>IF($F319=1,$R319,"")</f>
        <v/>
      </c>
      <c r="D319" s="7">
        <f>IF($A319="","",IF($F319=0,"Biçim hatalı",IF(FIND(MID($B319,11,1),"0123456789")-1=$R319,"Geçerli","Kontrol hanesi hatalı (doğrusu: "&amp;$R319&amp;")")))</f>
        <v/>
      </c>
      <c r="F319">
        <f>IF($A319="","",IF(AND(LEN($B319)=11,SUMPRODUCT(--ISNUMBER(FIND(MID($B319,{1,2,3},1),"ABCDEFGHIJKLMNOPQRSTUVWXYZ")))=3,ISNUMBER(FIND(MID($B319,4,1),"UJZ")),SUMPRODUCT(--ISNUMBER(FIND(MID($B319,{5,6,7,8,9,10,11},1),"0123456789")))=7),1,0))</f>
        <v/>
      </c>
      <c r="G319">
        <f>IF($F319=1,INDEX({10,12,13,14,15,16,17,18,19,20,21,23,24,25,26,27,28,29,30,31,32,34,35,36,37,38},1,FIND(MID($B319,1,1),"ABCDEFGHIJKLMNOPQRSTUVWXYZ")),"")</f>
        <v/>
      </c>
      <c r="H319">
        <f>IF($F319=1,INDEX({10,12,13,14,15,16,17,18,19,20,21,23,24,25,26,27,28,29,30,31,32,34,35,36,37,38},1,FIND(MID($B319,2,1),"ABCDEFGHIJKLMNOPQRSTUVWXYZ")),"")</f>
        <v/>
      </c>
      <c r="I319">
        <f>IF($F319=1,INDEX({10,12,13,14,15,16,17,18,19,20,21,23,24,25,26,27,28,29,30,31,32,34,35,36,37,38},1,FIND(MID($B319,3,1),"ABCDEFGHIJKLMNOPQRSTUVWXYZ")),"")</f>
        <v/>
      </c>
      <c r="J319">
        <f>IF($F319=1,INDEX({10,12,13,14,15,16,17,18,19,20,21,23,24,25,26,27,28,29,30,31,32,34,35,36,37,38},1,FIND(MID($B319,4,1),"ABCDEFGHIJKLMNOPQRSTUVWXYZ")),"")</f>
        <v/>
      </c>
      <c r="K319">
        <f>IF($F319=1,FIND(MID($B319,5,1),"0123456789")-1,"")</f>
        <v/>
      </c>
      <c r="L319">
        <f>IF($F319=1,FIND(MID($B319,6,1),"0123456789")-1,"")</f>
        <v/>
      </c>
      <c r="M319">
        <f>IF($F319=1,FIND(MID($B319,7,1),"0123456789")-1,"")</f>
        <v/>
      </c>
      <c r="N319">
        <f>IF($F319=1,FIND(MID($B319,8,1),"0123456789")-1,"")</f>
        <v/>
      </c>
      <c r="O319">
        <f>IF($F319=1,FIND(MID($B319,9,1),"0123456789")-1,"")</f>
        <v/>
      </c>
      <c r="P319">
        <f>IF($F319=1,FIND(MID($B319,10,1),"0123456789")-1,"")</f>
        <v/>
      </c>
      <c r="Q319">
        <f>IF($F319=1,SUMPRODUCT($G319:$P319,{1,2,4,8,16,32,64,128,256,512}),"")</f>
        <v/>
      </c>
      <c r="R319">
        <f>IF($F319=1,MOD(MOD($Q319,11),10),"")</f>
        <v/>
      </c>
    </row>
    <row r="320">
      <c r="A320" s="6" t="n"/>
      <c r="B320" s="7">
        <f>IF($A320="","",UPPER(SUBSTITUTE(SUBSTITUTE(SUBSTITUTE(SUBSTITUTE(SUBSTITUTE(SUBSTITUTE($A320," ",""),"-",""),".",""),"/",""),"i","I"),"ı","?")))</f>
        <v/>
      </c>
      <c r="C320" s="8">
        <f>IF($F320=1,$R320,"")</f>
        <v/>
      </c>
      <c r="D320" s="7">
        <f>IF($A320="","",IF($F320=0,"Biçim hatalı",IF(FIND(MID($B320,11,1),"0123456789")-1=$R320,"Geçerli","Kontrol hanesi hatalı (doğrusu: "&amp;$R320&amp;")")))</f>
        <v/>
      </c>
      <c r="F320">
        <f>IF($A320="","",IF(AND(LEN($B320)=11,SUMPRODUCT(--ISNUMBER(FIND(MID($B320,{1,2,3},1),"ABCDEFGHIJKLMNOPQRSTUVWXYZ")))=3,ISNUMBER(FIND(MID($B320,4,1),"UJZ")),SUMPRODUCT(--ISNUMBER(FIND(MID($B320,{5,6,7,8,9,10,11},1),"0123456789")))=7),1,0))</f>
        <v/>
      </c>
      <c r="G320">
        <f>IF($F320=1,INDEX({10,12,13,14,15,16,17,18,19,20,21,23,24,25,26,27,28,29,30,31,32,34,35,36,37,38},1,FIND(MID($B320,1,1),"ABCDEFGHIJKLMNOPQRSTUVWXYZ")),"")</f>
        <v/>
      </c>
      <c r="H320">
        <f>IF($F320=1,INDEX({10,12,13,14,15,16,17,18,19,20,21,23,24,25,26,27,28,29,30,31,32,34,35,36,37,38},1,FIND(MID($B320,2,1),"ABCDEFGHIJKLMNOPQRSTUVWXYZ")),"")</f>
        <v/>
      </c>
      <c r="I320">
        <f>IF($F320=1,INDEX({10,12,13,14,15,16,17,18,19,20,21,23,24,25,26,27,28,29,30,31,32,34,35,36,37,38},1,FIND(MID($B320,3,1),"ABCDEFGHIJKLMNOPQRSTUVWXYZ")),"")</f>
        <v/>
      </c>
      <c r="J320">
        <f>IF($F320=1,INDEX({10,12,13,14,15,16,17,18,19,20,21,23,24,25,26,27,28,29,30,31,32,34,35,36,37,38},1,FIND(MID($B320,4,1),"ABCDEFGHIJKLMNOPQRSTUVWXYZ")),"")</f>
        <v/>
      </c>
      <c r="K320">
        <f>IF($F320=1,FIND(MID($B320,5,1),"0123456789")-1,"")</f>
        <v/>
      </c>
      <c r="L320">
        <f>IF($F320=1,FIND(MID($B320,6,1),"0123456789")-1,"")</f>
        <v/>
      </c>
      <c r="M320">
        <f>IF($F320=1,FIND(MID($B320,7,1),"0123456789")-1,"")</f>
        <v/>
      </c>
      <c r="N320">
        <f>IF($F320=1,FIND(MID($B320,8,1),"0123456789")-1,"")</f>
        <v/>
      </c>
      <c r="O320">
        <f>IF($F320=1,FIND(MID($B320,9,1),"0123456789")-1,"")</f>
        <v/>
      </c>
      <c r="P320">
        <f>IF($F320=1,FIND(MID($B320,10,1),"0123456789")-1,"")</f>
        <v/>
      </c>
      <c r="Q320">
        <f>IF($F320=1,SUMPRODUCT($G320:$P320,{1,2,4,8,16,32,64,128,256,512}),"")</f>
        <v/>
      </c>
      <c r="R320">
        <f>IF($F320=1,MOD(MOD($Q320,11),10),"")</f>
        <v/>
      </c>
    </row>
    <row r="321">
      <c r="A321" s="6" t="n"/>
      <c r="B321" s="7">
        <f>IF($A321="","",UPPER(SUBSTITUTE(SUBSTITUTE(SUBSTITUTE(SUBSTITUTE(SUBSTITUTE(SUBSTITUTE($A321," ",""),"-",""),".",""),"/",""),"i","I"),"ı","?")))</f>
        <v/>
      </c>
      <c r="C321" s="8">
        <f>IF($F321=1,$R321,"")</f>
        <v/>
      </c>
      <c r="D321" s="7">
        <f>IF($A321="","",IF($F321=0,"Biçim hatalı",IF(FIND(MID($B321,11,1),"0123456789")-1=$R321,"Geçerli","Kontrol hanesi hatalı (doğrusu: "&amp;$R321&amp;")")))</f>
        <v/>
      </c>
      <c r="F321">
        <f>IF($A321="","",IF(AND(LEN($B321)=11,SUMPRODUCT(--ISNUMBER(FIND(MID($B321,{1,2,3},1),"ABCDEFGHIJKLMNOPQRSTUVWXYZ")))=3,ISNUMBER(FIND(MID($B321,4,1),"UJZ")),SUMPRODUCT(--ISNUMBER(FIND(MID($B321,{5,6,7,8,9,10,11},1),"0123456789")))=7),1,0))</f>
        <v/>
      </c>
      <c r="G321">
        <f>IF($F321=1,INDEX({10,12,13,14,15,16,17,18,19,20,21,23,24,25,26,27,28,29,30,31,32,34,35,36,37,38},1,FIND(MID($B321,1,1),"ABCDEFGHIJKLMNOPQRSTUVWXYZ")),"")</f>
        <v/>
      </c>
      <c r="H321">
        <f>IF($F321=1,INDEX({10,12,13,14,15,16,17,18,19,20,21,23,24,25,26,27,28,29,30,31,32,34,35,36,37,38},1,FIND(MID($B321,2,1),"ABCDEFGHIJKLMNOPQRSTUVWXYZ")),"")</f>
        <v/>
      </c>
      <c r="I321">
        <f>IF($F321=1,INDEX({10,12,13,14,15,16,17,18,19,20,21,23,24,25,26,27,28,29,30,31,32,34,35,36,37,38},1,FIND(MID($B321,3,1),"ABCDEFGHIJKLMNOPQRSTUVWXYZ")),"")</f>
        <v/>
      </c>
      <c r="J321">
        <f>IF($F321=1,INDEX({10,12,13,14,15,16,17,18,19,20,21,23,24,25,26,27,28,29,30,31,32,34,35,36,37,38},1,FIND(MID($B321,4,1),"ABCDEFGHIJKLMNOPQRSTUVWXYZ")),"")</f>
        <v/>
      </c>
      <c r="K321">
        <f>IF($F321=1,FIND(MID($B321,5,1),"0123456789")-1,"")</f>
        <v/>
      </c>
      <c r="L321">
        <f>IF($F321=1,FIND(MID($B321,6,1),"0123456789")-1,"")</f>
        <v/>
      </c>
      <c r="M321">
        <f>IF($F321=1,FIND(MID($B321,7,1),"0123456789")-1,"")</f>
        <v/>
      </c>
      <c r="N321">
        <f>IF($F321=1,FIND(MID($B321,8,1),"0123456789")-1,"")</f>
        <v/>
      </c>
      <c r="O321">
        <f>IF($F321=1,FIND(MID($B321,9,1),"0123456789")-1,"")</f>
        <v/>
      </c>
      <c r="P321">
        <f>IF($F321=1,FIND(MID($B321,10,1),"0123456789")-1,"")</f>
        <v/>
      </c>
      <c r="Q321">
        <f>IF($F321=1,SUMPRODUCT($G321:$P321,{1,2,4,8,16,32,64,128,256,512}),"")</f>
        <v/>
      </c>
      <c r="R321">
        <f>IF($F321=1,MOD(MOD($Q321,11),10),"")</f>
        <v/>
      </c>
    </row>
    <row r="322">
      <c r="A322" s="6" t="n"/>
      <c r="B322" s="7">
        <f>IF($A322="","",UPPER(SUBSTITUTE(SUBSTITUTE(SUBSTITUTE(SUBSTITUTE(SUBSTITUTE(SUBSTITUTE($A322," ",""),"-",""),".",""),"/",""),"i","I"),"ı","?")))</f>
        <v/>
      </c>
      <c r="C322" s="8">
        <f>IF($F322=1,$R322,"")</f>
        <v/>
      </c>
      <c r="D322" s="7">
        <f>IF($A322="","",IF($F322=0,"Biçim hatalı",IF(FIND(MID($B322,11,1),"0123456789")-1=$R322,"Geçerli","Kontrol hanesi hatalı (doğrusu: "&amp;$R322&amp;")")))</f>
        <v/>
      </c>
      <c r="F322">
        <f>IF($A322="","",IF(AND(LEN($B322)=11,SUMPRODUCT(--ISNUMBER(FIND(MID($B322,{1,2,3},1),"ABCDEFGHIJKLMNOPQRSTUVWXYZ")))=3,ISNUMBER(FIND(MID($B322,4,1),"UJZ")),SUMPRODUCT(--ISNUMBER(FIND(MID($B322,{5,6,7,8,9,10,11},1),"0123456789")))=7),1,0))</f>
        <v/>
      </c>
      <c r="G322">
        <f>IF($F322=1,INDEX({10,12,13,14,15,16,17,18,19,20,21,23,24,25,26,27,28,29,30,31,32,34,35,36,37,38},1,FIND(MID($B322,1,1),"ABCDEFGHIJKLMNOPQRSTUVWXYZ")),"")</f>
        <v/>
      </c>
      <c r="H322">
        <f>IF($F322=1,INDEX({10,12,13,14,15,16,17,18,19,20,21,23,24,25,26,27,28,29,30,31,32,34,35,36,37,38},1,FIND(MID($B322,2,1),"ABCDEFGHIJKLMNOPQRSTUVWXYZ")),"")</f>
        <v/>
      </c>
      <c r="I322">
        <f>IF($F322=1,INDEX({10,12,13,14,15,16,17,18,19,20,21,23,24,25,26,27,28,29,30,31,32,34,35,36,37,38},1,FIND(MID($B322,3,1),"ABCDEFGHIJKLMNOPQRSTUVWXYZ")),"")</f>
        <v/>
      </c>
      <c r="J322">
        <f>IF($F322=1,INDEX({10,12,13,14,15,16,17,18,19,20,21,23,24,25,26,27,28,29,30,31,32,34,35,36,37,38},1,FIND(MID($B322,4,1),"ABCDEFGHIJKLMNOPQRSTUVWXYZ")),"")</f>
        <v/>
      </c>
      <c r="K322">
        <f>IF($F322=1,FIND(MID($B322,5,1),"0123456789")-1,"")</f>
        <v/>
      </c>
      <c r="L322">
        <f>IF($F322=1,FIND(MID($B322,6,1),"0123456789")-1,"")</f>
        <v/>
      </c>
      <c r="M322">
        <f>IF($F322=1,FIND(MID($B322,7,1),"0123456789")-1,"")</f>
        <v/>
      </c>
      <c r="N322">
        <f>IF($F322=1,FIND(MID($B322,8,1),"0123456789")-1,"")</f>
        <v/>
      </c>
      <c r="O322">
        <f>IF($F322=1,FIND(MID($B322,9,1),"0123456789")-1,"")</f>
        <v/>
      </c>
      <c r="P322">
        <f>IF($F322=1,FIND(MID($B322,10,1),"0123456789")-1,"")</f>
        <v/>
      </c>
      <c r="Q322">
        <f>IF($F322=1,SUMPRODUCT($G322:$P322,{1,2,4,8,16,32,64,128,256,512}),"")</f>
        <v/>
      </c>
      <c r="R322">
        <f>IF($F322=1,MOD(MOD($Q322,11),10),"")</f>
        <v/>
      </c>
    </row>
    <row r="323">
      <c r="A323" s="6" t="n"/>
      <c r="B323" s="7">
        <f>IF($A323="","",UPPER(SUBSTITUTE(SUBSTITUTE(SUBSTITUTE(SUBSTITUTE(SUBSTITUTE(SUBSTITUTE($A323," ",""),"-",""),".",""),"/",""),"i","I"),"ı","?")))</f>
        <v/>
      </c>
      <c r="C323" s="8">
        <f>IF($F323=1,$R323,"")</f>
        <v/>
      </c>
      <c r="D323" s="7">
        <f>IF($A323="","",IF($F323=0,"Biçim hatalı",IF(FIND(MID($B323,11,1),"0123456789")-1=$R323,"Geçerli","Kontrol hanesi hatalı (doğrusu: "&amp;$R323&amp;")")))</f>
        <v/>
      </c>
      <c r="F323">
        <f>IF($A323="","",IF(AND(LEN($B323)=11,SUMPRODUCT(--ISNUMBER(FIND(MID($B323,{1,2,3},1),"ABCDEFGHIJKLMNOPQRSTUVWXYZ")))=3,ISNUMBER(FIND(MID($B323,4,1),"UJZ")),SUMPRODUCT(--ISNUMBER(FIND(MID($B323,{5,6,7,8,9,10,11},1),"0123456789")))=7),1,0))</f>
        <v/>
      </c>
      <c r="G323">
        <f>IF($F323=1,INDEX({10,12,13,14,15,16,17,18,19,20,21,23,24,25,26,27,28,29,30,31,32,34,35,36,37,38},1,FIND(MID($B323,1,1),"ABCDEFGHIJKLMNOPQRSTUVWXYZ")),"")</f>
        <v/>
      </c>
      <c r="H323">
        <f>IF($F323=1,INDEX({10,12,13,14,15,16,17,18,19,20,21,23,24,25,26,27,28,29,30,31,32,34,35,36,37,38},1,FIND(MID($B323,2,1),"ABCDEFGHIJKLMNOPQRSTUVWXYZ")),"")</f>
        <v/>
      </c>
      <c r="I323">
        <f>IF($F323=1,INDEX({10,12,13,14,15,16,17,18,19,20,21,23,24,25,26,27,28,29,30,31,32,34,35,36,37,38},1,FIND(MID($B323,3,1),"ABCDEFGHIJKLMNOPQRSTUVWXYZ")),"")</f>
        <v/>
      </c>
      <c r="J323">
        <f>IF($F323=1,INDEX({10,12,13,14,15,16,17,18,19,20,21,23,24,25,26,27,28,29,30,31,32,34,35,36,37,38},1,FIND(MID($B323,4,1),"ABCDEFGHIJKLMNOPQRSTUVWXYZ")),"")</f>
        <v/>
      </c>
      <c r="K323">
        <f>IF($F323=1,FIND(MID($B323,5,1),"0123456789")-1,"")</f>
        <v/>
      </c>
      <c r="L323">
        <f>IF($F323=1,FIND(MID($B323,6,1),"0123456789")-1,"")</f>
        <v/>
      </c>
      <c r="M323">
        <f>IF($F323=1,FIND(MID($B323,7,1),"0123456789")-1,"")</f>
        <v/>
      </c>
      <c r="N323">
        <f>IF($F323=1,FIND(MID($B323,8,1),"0123456789")-1,"")</f>
        <v/>
      </c>
      <c r="O323">
        <f>IF($F323=1,FIND(MID($B323,9,1),"0123456789")-1,"")</f>
        <v/>
      </c>
      <c r="P323">
        <f>IF($F323=1,FIND(MID($B323,10,1),"0123456789")-1,"")</f>
        <v/>
      </c>
      <c r="Q323">
        <f>IF($F323=1,SUMPRODUCT($G323:$P323,{1,2,4,8,16,32,64,128,256,512}),"")</f>
        <v/>
      </c>
      <c r="R323">
        <f>IF($F323=1,MOD(MOD($Q323,11),10),"")</f>
        <v/>
      </c>
    </row>
    <row r="324">
      <c r="A324" s="6" t="n"/>
      <c r="B324" s="7">
        <f>IF($A324="","",UPPER(SUBSTITUTE(SUBSTITUTE(SUBSTITUTE(SUBSTITUTE(SUBSTITUTE(SUBSTITUTE($A324," ",""),"-",""),".",""),"/",""),"i","I"),"ı","?")))</f>
        <v/>
      </c>
      <c r="C324" s="8">
        <f>IF($F324=1,$R324,"")</f>
        <v/>
      </c>
      <c r="D324" s="7">
        <f>IF($A324="","",IF($F324=0,"Biçim hatalı",IF(FIND(MID($B324,11,1),"0123456789")-1=$R324,"Geçerli","Kontrol hanesi hatalı (doğrusu: "&amp;$R324&amp;")")))</f>
        <v/>
      </c>
      <c r="F324">
        <f>IF($A324="","",IF(AND(LEN($B324)=11,SUMPRODUCT(--ISNUMBER(FIND(MID($B324,{1,2,3},1),"ABCDEFGHIJKLMNOPQRSTUVWXYZ")))=3,ISNUMBER(FIND(MID($B324,4,1),"UJZ")),SUMPRODUCT(--ISNUMBER(FIND(MID($B324,{5,6,7,8,9,10,11},1),"0123456789")))=7),1,0))</f>
        <v/>
      </c>
      <c r="G324">
        <f>IF($F324=1,INDEX({10,12,13,14,15,16,17,18,19,20,21,23,24,25,26,27,28,29,30,31,32,34,35,36,37,38},1,FIND(MID($B324,1,1),"ABCDEFGHIJKLMNOPQRSTUVWXYZ")),"")</f>
        <v/>
      </c>
      <c r="H324">
        <f>IF($F324=1,INDEX({10,12,13,14,15,16,17,18,19,20,21,23,24,25,26,27,28,29,30,31,32,34,35,36,37,38},1,FIND(MID($B324,2,1),"ABCDEFGHIJKLMNOPQRSTUVWXYZ")),"")</f>
        <v/>
      </c>
      <c r="I324">
        <f>IF($F324=1,INDEX({10,12,13,14,15,16,17,18,19,20,21,23,24,25,26,27,28,29,30,31,32,34,35,36,37,38},1,FIND(MID($B324,3,1),"ABCDEFGHIJKLMNOPQRSTUVWXYZ")),"")</f>
        <v/>
      </c>
      <c r="J324">
        <f>IF($F324=1,INDEX({10,12,13,14,15,16,17,18,19,20,21,23,24,25,26,27,28,29,30,31,32,34,35,36,37,38},1,FIND(MID($B324,4,1),"ABCDEFGHIJKLMNOPQRSTUVWXYZ")),"")</f>
        <v/>
      </c>
      <c r="K324">
        <f>IF($F324=1,FIND(MID($B324,5,1),"0123456789")-1,"")</f>
        <v/>
      </c>
      <c r="L324">
        <f>IF($F324=1,FIND(MID($B324,6,1),"0123456789")-1,"")</f>
        <v/>
      </c>
      <c r="M324">
        <f>IF($F324=1,FIND(MID($B324,7,1),"0123456789")-1,"")</f>
        <v/>
      </c>
      <c r="N324">
        <f>IF($F324=1,FIND(MID($B324,8,1),"0123456789")-1,"")</f>
        <v/>
      </c>
      <c r="O324">
        <f>IF($F324=1,FIND(MID($B324,9,1),"0123456789")-1,"")</f>
        <v/>
      </c>
      <c r="P324">
        <f>IF($F324=1,FIND(MID($B324,10,1),"0123456789")-1,"")</f>
        <v/>
      </c>
      <c r="Q324">
        <f>IF($F324=1,SUMPRODUCT($G324:$P324,{1,2,4,8,16,32,64,128,256,512}),"")</f>
        <v/>
      </c>
      <c r="R324">
        <f>IF($F324=1,MOD(MOD($Q324,11),10),"")</f>
        <v/>
      </c>
    </row>
    <row r="325">
      <c r="A325" s="6" t="n"/>
      <c r="B325" s="7">
        <f>IF($A325="","",UPPER(SUBSTITUTE(SUBSTITUTE(SUBSTITUTE(SUBSTITUTE(SUBSTITUTE(SUBSTITUTE($A325," ",""),"-",""),".",""),"/",""),"i","I"),"ı","?")))</f>
        <v/>
      </c>
      <c r="C325" s="8">
        <f>IF($F325=1,$R325,"")</f>
        <v/>
      </c>
      <c r="D325" s="7">
        <f>IF($A325="","",IF($F325=0,"Biçim hatalı",IF(FIND(MID($B325,11,1),"0123456789")-1=$R325,"Geçerli","Kontrol hanesi hatalı (doğrusu: "&amp;$R325&amp;")")))</f>
        <v/>
      </c>
      <c r="F325">
        <f>IF($A325="","",IF(AND(LEN($B325)=11,SUMPRODUCT(--ISNUMBER(FIND(MID($B325,{1,2,3},1),"ABCDEFGHIJKLMNOPQRSTUVWXYZ")))=3,ISNUMBER(FIND(MID($B325,4,1),"UJZ")),SUMPRODUCT(--ISNUMBER(FIND(MID($B325,{5,6,7,8,9,10,11},1),"0123456789")))=7),1,0))</f>
        <v/>
      </c>
      <c r="G325">
        <f>IF($F325=1,INDEX({10,12,13,14,15,16,17,18,19,20,21,23,24,25,26,27,28,29,30,31,32,34,35,36,37,38},1,FIND(MID($B325,1,1),"ABCDEFGHIJKLMNOPQRSTUVWXYZ")),"")</f>
        <v/>
      </c>
      <c r="H325">
        <f>IF($F325=1,INDEX({10,12,13,14,15,16,17,18,19,20,21,23,24,25,26,27,28,29,30,31,32,34,35,36,37,38},1,FIND(MID($B325,2,1),"ABCDEFGHIJKLMNOPQRSTUVWXYZ")),"")</f>
        <v/>
      </c>
      <c r="I325">
        <f>IF($F325=1,INDEX({10,12,13,14,15,16,17,18,19,20,21,23,24,25,26,27,28,29,30,31,32,34,35,36,37,38},1,FIND(MID($B325,3,1),"ABCDEFGHIJKLMNOPQRSTUVWXYZ")),"")</f>
        <v/>
      </c>
      <c r="J325">
        <f>IF($F325=1,INDEX({10,12,13,14,15,16,17,18,19,20,21,23,24,25,26,27,28,29,30,31,32,34,35,36,37,38},1,FIND(MID($B325,4,1),"ABCDEFGHIJKLMNOPQRSTUVWXYZ")),"")</f>
        <v/>
      </c>
      <c r="K325">
        <f>IF($F325=1,FIND(MID($B325,5,1),"0123456789")-1,"")</f>
        <v/>
      </c>
      <c r="L325">
        <f>IF($F325=1,FIND(MID($B325,6,1),"0123456789")-1,"")</f>
        <v/>
      </c>
      <c r="M325">
        <f>IF($F325=1,FIND(MID($B325,7,1),"0123456789")-1,"")</f>
        <v/>
      </c>
      <c r="N325">
        <f>IF($F325=1,FIND(MID($B325,8,1),"0123456789")-1,"")</f>
        <v/>
      </c>
      <c r="O325">
        <f>IF($F325=1,FIND(MID($B325,9,1),"0123456789")-1,"")</f>
        <v/>
      </c>
      <c r="P325">
        <f>IF($F325=1,FIND(MID($B325,10,1),"0123456789")-1,"")</f>
        <v/>
      </c>
      <c r="Q325">
        <f>IF($F325=1,SUMPRODUCT($G325:$P325,{1,2,4,8,16,32,64,128,256,512}),"")</f>
        <v/>
      </c>
      <c r="R325">
        <f>IF($F325=1,MOD(MOD($Q325,11),10),"")</f>
        <v/>
      </c>
    </row>
    <row r="326">
      <c r="A326" s="6" t="n"/>
      <c r="B326" s="7">
        <f>IF($A326="","",UPPER(SUBSTITUTE(SUBSTITUTE(SUBSTITUTE(SUBSTITUTE(SUBSTITUTE(SUBSTITUTE($A326," ",""),"-",""),".",""),"/",""),"i","I"),"ı","?")))</f>
        <v/>
      </c>
      <c r="C326" s="8">
        <f>IF($F326=1,$R326,"")</f>
        <v/>
      </c>
      <c r="D326" s="7">
        <f>IF($A326="","",IF($F326=0,"Biçim hatalı",IF(FIND(MID($B326,11,1),"0123456789")-1=$R326,"Geçerli","Kontrol hanesi hatalı (doğrusu: "&amp;$R326&amp;")")))</f>
        <v/>
      </c>
      <c r="F326">
        <f>IF($A326="","",IF(AND(LEN($B326)=11,SUMPRODUCT(--ISNUMBER(FIND(MID($B326,{1,2,3},1),"ABCDEFGHIJKLMNOPQRSTUVWXYZ")))=3,ISNUMBER(FIND(MID($B326,4,1),"UJZ")),SUMPRODUCT(--ISNUMBER(FIND(MID($B326,{5,6,7,8,9,10,11},1),"0123456789")))=7),1,0))</f>
        <v/>
      </c>
      <c r="G326">
        <f>IF($F326=1,INDEX({10,12,13,14,15,16,17,18,19,20,21,23,24,25,26,27,28,29,30,31,32,34,35,36,37,38},1,FIND(MID($B326,1,1),"ABCDEFGHIJKLMNOPQRSTUVWXYZ")),"")</f>
        <v/>
      </c>
      <c r="H326">
        <f>IF($F326=1,INDEX({10,12,13,14,15,16,17,18,19,20,21,23,24,25,26,27,28,29,30,31,32,34,35,36,37,38},1,FIND(MID($B326,2,1),"ABCDEFGHIJKLMNOPQRSTUVWXYZ")),"")</f>
        <v/>
      </c>
      <c r="I326">
        <f>IF($F326=1,INDEX({10,12,13,14,15,16,17,18,19,20,21,23,24,25,26,27,28,29,30,31,32,34,35,36,37,38},1,FIND(MID($B326,3,1),"ABCDEFGHIJKLMNOPQRSTUVWXYZ")),"")</f>
        <v/>
      </c>
      <c r="J326">
        <f>IF($F326=1,INDEX({10,12,13,14,15,16,17,18,19,20,21,23,24,25,26,27,28,29,30,31,32,34,35,36,37,38},1,FIND(MID($B326,4,1),"ABCDEFGHIJKLMNOPQRSTUVWXYZ")),"")</f>
        <v/>
      </c>
      <c r="K326">
        <f>IF($F326=1,FIND(MID($B326,5,1),"0123456789")-1,"")</f>
        <v/>
      </c>
      <c r="L326">
        <f>IF($F326=1,FIND(MID($B326,6,1),"0123456789")-1,"")</f>
        <v/>
      </c>
      <c r="M326">
        <f>IF($F326=1,FIND(MID($B326,7,1),"0123456789")-1,"")</f>
        <v/>
      </c>
      <c r="N326">
        <f>IF($F326=1,FIND(MID($B326,8,1),"0123456789")-1,"")</f>
        <v/>
      </c>
      <c r="O326">
        <f>IF($F326=1,FIND(MID($B326,9,1),"0123456789")-1,"")</f>
        <v/>
      </c>
      <c r="P326">
        <f>IF($F326=1,FIND(MID($B326,10,1),"0123456789")-1,"")</f>
        <v/>
      </c>
      <c r="Q326">
        <f>IF($F326=1,SUMPRODUCT($G326:$P326,{1,2,4,8,16,32,64,128,256,512}),"")</f>
        <v/>
      </c>
      <c r="R326">
        <f>IF($F326=1,MOD(MOD($Q326,11),10),"")</f>
        <v/>
      </c>
    </row>
    <row r="327">
      <c r="A327" s="6" t="n"/>
      <c r="B327" s="7">
        <f>IF($A327="","",UPPER(SUBSTITUTE(SUBSTITUTE(SUBSTITUTE(SUBSTITUTE(SUBSTITUTE(SUBSTITUTE($A327," ",""),"-",""),".",""),"/",""),"i","I"),"ı","?")))</f>
        <v/>
      </c>
      <c r="C327" s="8">
        <f>IF($F327=1,$R327,"")</f>
        <v/>
      </c>
      <c r="D327" s="7">
        <f>IF($A327="","",IF($F327=0,"Biçim hatalı",IF(FIND(MID($B327,11,1),"0123456789")-1=$R327,"Geçerli","Kontrol hanesi hatalı (doğrusu: "&amp;$R327&amp;")")))</f>
        <v/>
      </c>
      <c r="F327">
        <f>IF($A327="","",IF(AND(LEN($B327)=11,SUMPRODUCT(--ISNUMBER(FIND(MID($B327,{1,2,3},1),"ABCDEFGHIJKLMNOPQRSTUVWXYZ")))=3,ISNUMBER(FIND(MID($B327,4,1),"UJZ")),SUMPRODUCT(--ISNUMBER(FIND(MID($B327,{5,6,7,8,9,10,11},1),"0123456789")))=7),1,0))</f>
        <v/>
      </c>
      <c r="G327">
        <f>IF($F327=1,INDEX({10,12,13,14,15,16,17,18,19,20,21,23,24,25,26,27,28,29,30,31,32,34,35,36,37,38},1,FIND(MID($B327,1,1),"ABCDEFGHIJKLMNOPQRSTUVWXYZ")),"")</f>
        <v/>
      </c>
      <c r="H327">
        <f>IF($F327=1,INDEX({10,12,13,14,15,16,17,18,19,20,21,23,24,25,26,27,28,29,30,31,32,34,35,36,37,38},1,FIND(MID($B327,2,1),"ABCDEFGHIJKLMNOPQRSTUVWXYZ")),"")</f>
        <v/>
      </c>
      <c r="I327">
        <f>IF($F327=1,INDEX({10,12,13,14,15,16,17,18,19,20,21,23,24,25,26,27,28,29,30,31,32,34,35,36,37,38},1,FIND(MID($B327,3,1),"ABCDEFGHIJKLMNOPQRSTUVWXYZ")),"")</f>
        <v/>
      </c>
      <c r="J327">
        <f>IF($F327=1,INDEX({10,12,13,14,15,16,17,18,19,20,21,23,24,25,26,27,28,29,30,31,32,34,35,36,37,38},1,FIND(MID($B327,4,1),"ABCDEFGHIJKLMNOPQRSTUVWXYZ")),"")</f>
        <v/>
      </c>
      <c r="K327">
        <f>IF($F327=1,FIND(MID($B327,5,1),"0123456789")-1,"")</f>
        <v/>
      </c>
      <c r="L327">
        <f>IF($F327=1,FIND(MID($B327,6,1),"0123456789")-1,"")</f>
        <v/>
      </c>
      <c r="M327">
        <f>IF($F327=1,FIND(MID($B327,7,1),"0123456789")-1,"")</f>
        <v/>
      </c>
      <c r="N327">
        <f>IF($F327=1,FIND(MID($B327,8,1),"0123456789")-1,"")</f>
        <v/>
      </c>
      <c r="O327">
        <f>IF($F327=1,FIND(MID($B327,9,1),"0123456789")-1,"")</f>
        <v/>
      </c>
      <c r="P327">
        <f>IF($F327=1,FIND(MID($B327,10,1),"0123456789")-1,"")</f>
        <v/>
      </c>
      <c r="Q327">
        <f>IF($F327=1,SUMPRODUCT($G327:$P327,{1,2,4,8,16,32,64,128,256,512}),"")</f>
        <v/>
      </c>
      <c r="R327">
        <f>IF($F327=1,MOD(MOD($Q327,11),10),"")</f>
        <v/>
      </c>
    </row>
    <row r="328">
      <c r="A328" s="6" t="n"/>
      <c r="B328" s="7">
        <f>IF($A328="","",UPPER(SUBSTITUTE(SUBSTITUTE(SUBSTITUTE(SUBSTITUTE(SUBSTITUTE(SUBSTITUTE($A328," ",""),"-",""),".",""),"/",""),"i","I"),"ı","?")))</f>
        <v/>
      </c>
      <c r="C328" s="8">
        <f>IF($F328=1,$R328,"")</f>
        <v/>
      </c>
      <c r="D328" s="7">
        <f>IF($A328="","",IF($F328=0,"Biçim hatalı",IF(FIND(MID($B328,11,1),"0123456789")-1=$R328,"Geçerli","Kontrol hanesi hatalı (doğrusu: "&amp;$R328&amp;")")))</f>
        <v/>
      </c>
      <c r="F328">
        <f>IF($A328="","",IF(AND(LEN($B328)=11,SUMPRODUCT(--ISNUMBER(FIND(MID($B328,{1,2,3},1),"ABCDEFGHIJKLMNOPQRSTUVWXYZ")))=3,ISNUMBER(FIND(MID($B328,4,1),"UJZ")),SUMPRODUCT(--ISNUMBER(FIND(MID($B328,{5,6,7,8,9,10,11},1),"0123456789")))=7),1,0))</f>
        <v/>
      </c>
      <c r="G328">
        <f>IF($F328=1,INDEX({10,12,13,14,15,16,17,18,19,20,21,23,24,25,26,27,28,29,30,31,32,34,35,36,37,38},1,FIND(MID($B328,1,1),"ABCDEFGHIJKLMNOPQRSTUVWXYZ")),"")</f>
        <v/>
      </c>
      <c r="H328">
        <f>IF($F328=1,INDEX({10,12,13,14,15,16,17,18,19,20,21,23,24,25,26,27,28,29,30,31,32,34,35,36,37,38},1,FIND(MID($B328,2,1),"ABCDEFGHIJKLMNOPQRSTUVWXYZ")),"")</f>
        <v/>
      </c>
      <c r="I328">
        <f>IF($F328=1,INDEX({10,12,13,14,15,16,17,18,19,20,21,23,24,25,26,27,28,29,30,31,32,34,35,36,37,38},1,FIND(MID($B328,3,1),"ABCDEFGHIJKLMNOPQRSTUVWXYZ")),"")</f>
        <v/>
      </c>
      <c r="J328">
        <f>IF($F328=1,INDEX({10,12,13,14,15,16,17,18,19,20,21,23,24,25,26,27,28,29,30,31,32,34,35,36,37,38},1,FIND(MID($B328,4,1),"ABCDEFGHIJKLMNOPQRSTUVWXYZ")),"")</f>
        <v/>
      </c>
      <c r="K328">
        <f>IF($F328=1,FIND(MID($B328,5,1),"0123456789")-1,"")</f>
        <v/>
      </c>
      <c r="L328">
        <f>IF($F328=1,FIND(MID($B328,6,1),"0123456789")-1,"")</f>
        <v/>
      </c>
      <c r="M328">
        <f>IF($F328=1,FIND(MID($B328,7,1),"0123456789")-1,"")</f>
        <v/>
      </c>
      <c r="N328">
        <f>IF($F328=1,FIND(MID($B328,8,1),"0123456789")-1,"")</f>
        <v/>
      </c>
      <c r="O328">
        <f>IF($F328=1,FIND(MID($B328,9,1),"0123456789")-1,"")</f>
        <v/>
      </c>
      <c r="P328">
        <f>IF($F328=1,FIND(MID($B328,10,1),"0123456789")-1,"")</f>
        <v/>
      </c>
      <c r="Q328">
        <f>IF($F328=1,SUMPRODUCT($G328:$P328,{1,2,4,8,16,32,64,128,256,512}),"")</f>
        <v/>
      </c>
      <c r="R328">
        <f>IF($F328=1,MOD(MOD($Q328,11),10),"")</f>
        <v/>
      </c>
    </row>
    <row r="329">
      <c r="A329" s="6" t="n"/>
      <c r="B329" s="7">
        <f>IF($A329="","",UPPER(SUBSTITUTE(SUBSTITUTE(SUBSTITUTE(SUBSTITUTE(SUBSTITUTE(SUBSTITUTE($A329," ",""),"-",""),".",""),"/",""),"i","I"),"ı","?")))</f>
        <v/>
      </c>
      <c r="C329" s="8">
        <f>IF($F329=1,$R329,"")</f>
        <v/>
      </c>
      <c r="D329" s="7">
        <f>IF($A329="","",IF($F329=0,"Biçim hatalı",IF(FIND(MID($B329,11,1),"0123456789")-1=$R329,"Geçerli","Kontrol hanesi hatalı (doğrusu: "&amp;$R329&amp;")")))</f>
        <v/>
      </c>
      <c r="F329">
        <f>IF($A329="","",IF(AND(LEN($B329)=11,SUMPRODUCT(--ISNUMBER(FIND(MID($B329,{1,2,3},1),"ABCDEFGHIJKLMNOPQRSTUVWXYZ")))=3,ISNUMBER(FIND(MID($B329,4,1),"UJZ")),SUMPRODUCT(--ISNUMBER(FIND(MID($B329,{5,6,7,8,9,10,11},1),"0123456789")))=7),1,0))</f>
        <v/>
      </c>
      <c r="G329">
        <f>IF($F329=1,INDEX({10,12,13,14,15,16,17,18,19,20,21,23,24,25,26,27,28,29,30,31,32,34,35,36,37,38},1,FIND(MID($B329,1,1),"ABCDEFGHIJKLMNOPQRSTUVWXYZ")),"")</f>
        <v/>
      </c>
      <c r="H329">
        <f>IF($F329=1,INDEX({10,12,13,14,15,16,17,18,19,20,21,23,24,25,26,27,28,29,30,31,32,34,35,36,37,38},1,FIND(MID($B329,2,1),"ABCDEFGHIJKLMNOPQRSTUVWXYZ")),"")</f>
        <v/>
      </c>
      <c r="I329">
        <f>IF($F329=1,INDEX({10,12,13,14,15,16,17,18,19,20,21,23,24,25,26,27,28,29,30,31,32,34,35,36,37,38},1,FIND(MID($B329,3,1),"ABCDEFGHIJKLMNOPQRSTUVWXYZ")),"")</f>
        <v/>
      </c>
      <c r="J329">
        <f>IF($F329=1,INDEX({10,12,13,14,15,16,17,18,19,20,21,23,24,25,26,27,28,29,30,31,32,34,35,36,37,38},1,FIND(MID($B329,4,1),"ABCDEFGHIJKLMNOPQRSTUVWXYZ")),"")</f>
        <v/>
      </c>
      <c r="K329">
        <f>IF($F329=1,FIND(MID($B329,5,1),"0123456789")-1,"")</f>
        <v/>
      </c>
      <c r="L329">
        <f>IF($F329=1,FIND(MID($B329,6,1),"0123456789")-1,"")</f>
        <v/>
      </c>
      <c r="M329">
        <f>IF($F329=1,FIND(MID($B329,7,1),"0123456789")-1,"")</f>
        <v/>
      </c>
      <c r="N329">
        <f>IF($F329=1,FIND(MID($B329,8,1),"0123456789")-1,"")</f>
        <v/>
      </c>
      <c r="O329">
        <f>IF($F329=1,FIND(MID($B329,9,1),"0123456789")-1,"")</f>
        <v/>
      </c>
      <c r="P329">
        <f>IF($F329=1,FIND(MID($B329,10,1),"0123456789")-1,"")</f>
        <v/>
      </c>
      <c r="Q329">
        <f>IF($F329=1,SUMPRODUCT($G329:$P329,{1,2,4,8,16,32,64,128,256,512}),"")</f>
        <v/>
      </c>
      <c r="R329">
        <f>IF($F329=1,MOD(MOD($Q329,11),10),"")</f>
        <v/>
      </c>
    </row>
    <row r="330">
      <c r="A330" s="6" t="n"/>
      <c r="B330" s="7">
        <f>IF($A330="","",UPPER(SUBSTITUTE(SUBSTITUTE(SUBSTITUTE(SUBSTITUTE(SUBSTITUTE(SUBSTITUTE($A330," ",""),"-",""),".",""),"/",""),"i","I"),"ı","?")))</f>
        <v/>
      </c>
      <c r="C330" s="8">
        <f>IF($F330=1,$R330,"")</f>
        <v/>
      </c>
      <c r="D330" s="7">
        <f>IF($A330="","",IF($F330=0,"Biçim hatalı",IF(FIND(MID($B330,11,1),"0123456789")-1=$R330,"Geçerli","Kontrol hanesi hatalı (doğrusu: "&amp;$R330&amp;")")))</f>
        <v/>
      </c>
      <c r="F330">
        <f>IF($A330="","",IF(AND(LEN($B330)=11,SUMPRODUCT(--ISNUMBER(FIND(MID($B330,{1,2,3},1),"ABCDEFGHIJKLMNOPQRSTUVWXYZ")))=3,ISNUMBER(FIND(MID($B330,4,1),"UJZ")),SUMPRODUCT(--ISNUMBER(FIND(MID($B330,{5,6,7,8,9,10,11},1),"0123456789")))=7),1,0))</f>
        <v/>
      </c>
      <c r="G330">
        <f>IF($F330=1,INDEX({10,12,13,14,15,16,17,18,19,20,21,23,24,25,26,27,28,29,30,31,32,34,35,36,37,38},1,FIND(MID($B330,1,1),"ABCDEFGHIJKLMNOPQRSTUVWXYZ")),"")</f>
        <v/>
      </c>
      <c r="H330">
        <f>IF($F330=1,INDEX({10,12,13,14,15,16,17,18,19,20,21,23,24,25,26,27,28,29,30,31,32,34,35,36,37,38},1,FIND(MID($B330,2,1),"ABCDEFGHIJKLMNOPQRSTUVWXYZ")),"")</f>
        <v/>
      </c>
      <c r="I330">
        <f>IF($F330=1,INDEX({10,12,13,14,15,16,17,18,19,20,21,23,24,25,26,27,28,29,30,31,32,34,35,36,37,38},1,FIND(MID($B330,3,1),"ABCDEFGHIJKLMNOPQRSTUVWXYZ")),"")</f>
        <v/>
      </c>
      <c r="J330">
        <f>IF($F330=1,INDEX({10,12,13,14,15,16,17,18,19,20,21,23,24,25,26,27,28,29,30,31,32,34,35,36,37,38},1,FIND(MID($B330,4,1),"ABCDEFGHIJKLMNOPQRSTUVWXYZ")),"")</f>
        <v/>
      </c>
      <c r="K330">
        <f>IF($F330=1,FIND(MID($B330,5,1),"0123456789")-1,"")</f>
        <v/>
      </c>
      <c r="L330">
        <f>IF($F330=1,FIND(MID($B330,6,1),"0123456789")-1,"")</f>
        <v/>
      </c>
      <c r="M330">
        <f>IF($F330=1,FIND(MID($B330,7,1),"0123456789")-1,"")</f>
        <v/>
      </c>
      <c r="N330">
        <f>IF($F330=1,FIND(MID($B330,8,1),"0123456789")-1,"")</f>
        <v/>
      </c>
      <c r="O330">
        <f>IF($F330=1,FIND(MID($B330,9,1),"0123456789")-1,"")</f>
        <v/>
      </c>
      <c r="P330">
        <f>IF($F330=1,FIND(MID($B330,10,1),"0123456789")-1,"")</f>
        <v/>
      </c>
      <c r="Q330">
        <f>IF($F330=1,SUMPRODUCT($G330:$P330,{1,2,4,8,16,32,64,128,256,512}),"")</f>
        <v/>
      </c>
      <c r="R330">
        <f>IF($F330=1,MOD(MOD($Q330,11),10),"")</f>
        <v/>
      </c>
    </row>
    <row r="331">
      <c r="A331" s="6" t="n"/>
      <c r="B331" s="7">
        <f>IF($A331="","",UPPER(SUBSTITUTE(SUBSTITUTE(SUBSTITUTE(SUBSTITUTE(SUBSTITUTE(SUBSTITUTE($A331," ",""),"-",""),".",""),"/",""),"i","I"),"ı","?")))</f>
        <v/>
      </c>
      <c r="C331" s="8">
        <f>IF($F331=1,$R331,"")</f>
        <v/>
      </c>
      <c r="D331" s="7">
        <f>IF($A331="","",IF($F331=0,"Biçim hatalı",IF(FIND(MID($B331,11,1),"0123456789")-1=$R331,"Geçerli","Kontrol hanesi hatalı (doğrusu: "&amp;$R331&amp;")")))</f>
        <v/>
      </c>
      <c r="F331">
        <f>IF($A331="","",IF(AND(LEN($B331)=11,SUMPRODUCT(--ISNUMBER(FIND(MID($B331,{1,2,3},1),"ABCDEFGHIJKLMNOPQRSTUVWXYZ")))=3,ISNUMBER(FIND(MID($B331,4,1),"UJZ")),SUMPRODUCT(--ISNUMBER(FIND(MID($B331,{5,6,7,8,9,10,11},1),"0123456789")))=7),1,0))</f>
        <v/>
      </c>
      <c r="G331">
        <f>IF($F331=1,INDEX({10,12,13,14,15,16,17,18,19,20,21,23,24,25,26,27,28,29,30,31,32,34,35,36,37,38},1,FIND(MID($B331,1,1),"ABCDEFGHIJKLMNOPQRSTUVWXYZ")),"")</f>
        <v/>
      </c>
      <c r="H331">
        <f>IF($F331=1,INDEX({10,12,13,14,15,16,17,18,19,20,21,23,24,25,26,27,28,29,30,31,32,34,35,36,37,38},1,FIND(MID($B331,2,1),"ABCDEFGHIJKLMNOPQRSTUVWXYZ")),"")</f>
        <v/>
      </c>
      <c r="I331">
        <f>IF($F331=1,INDEX({10,12,13,14,15,16,17,18,19,20,21,23,24,25,26,27,28,29,30,31,32,34,35,36,37,38},1,FIND(MID($B331,3,1),"ABCDEFGHIJKLMNOPQRSTUVWXYZ")),"")</f>
        <v/>
      </c>
      <c r="J331">
        <f>IF($F331=1,INDEX({10,12,13,14,15,16,17,18,19,20,21,23,24,25,26,27,28,29,30,31,32,34,35,36,37,38},1,FIND(MID($B331,4,1),"ABCDEFGHIJKLMNOPQRSTUVWXYZ")),"")</f>
        <v/>
      </c>
      <c r="K331">
        <f>IF($F331=1,FIND(MID($B331,5,1),"0123456789")-1,"")</f>
        <v/>
      </c>
      <c r="L331">
        <f>IF($F331=1,FIND(MID($B331,6,1),"0123456789")-1,"")</f>
        <v/>
      </c>
      <c r="M331">
        <f>IF($F331=1,FIND(MID($B331,7,1),"0123456789")-1,"")</f>
        <v/>
      </c>
      <c r="N331">
        <f>IF($F331=1,FIND(MID($B331,8,1),"0123456789")-1,"")</f>
        <v/>
      </c>
      <c r="O331">
        <f>IF($F331=1,FIND(MID($B331,9,1),"0123456789")-1,"")</f>
        <v/>
      </c>
      <c r="P331">
        <f>IF($F331=1,FIND(MID($B331,10,1),"0123456789")-1,"")</f>
        <v/>
      </c>
      <c r="Q331">
        <f>IF($F331=1,SUMPRODUCT($G331:$P331,{1,2,4,8,16,32,64,128,256,512}),"")</f>
        <v/>
      </c>
      <c r="R331">
        <f>IF($F331=1,MOD(MOD($Q331,11),10),"")</f>
        <v/>
      </c>
    </row>
    <row r="332">
      <c r="A332" s="6" t="n"/>
      <c r="B332" s="7">
        <f>IF($A332="","",UPPER(SUBSTITUTE(SUBSTITUTE(SUBSTITUTE(SUBSTITUTE(SUBSTITUTE(SUBSTITUTE($A332," ",""),"-",""),".",""),"/",""),"i","I"),"ı","?")))</f>
        <v/>
      </c>
      <c r="C332" s="8">
        <f>IF($F332=1,$R332,"")</f>
        <v/>
      </c>
      <c r="D332" s="7">
        <f>IF($A332="","",IF($F332=0,"Biçim hatalı",IF(FIND(MID($B332,11,1),"0123456789")-1=$R332,"Geçerli","Kontrol hanesi hatalı (doğrusu: "&amp;$R332&amp;")")))</f>
        <v/>
      </c>
      <c r="F332">
        <f>IF($A332="","",IF(AND(LEN($B332)=11,SUMPRODUCT(--ISNUMBER(FIND(MID($B332,{1,2,3},1),"ABCDEFGHIJKLMNOPQRSTUVWXYZ")))=3,ISNUMBER(FIND(MID($B332,4,1),"UJZ")),SUMPRODUCT(--ISNUMBER(FIND(MID($B332,{5,6,7,8,9,10,11},1),"0123456789")))=7),1,0))</f>
        <v/>
      </c>
      <c r="G332">
        <f>IF($F332=1,INDEX({10,12,13,14,15,16,17,18,19,20,21,23,24,25,26,27,28,29,30,31,32,34,35,36,37,38},1,FIND(MID($B332,1,1),"ABCDEFGHIJKLMNOPQRSTUVWXYZ")),"")</f>
        <v/>
      </c>
      <c r="H332">
        <f>IF($F332=1,INDEX({10,12,13,14,15,16,17,18,19,20,21,23,24,25,26,27,28,29,30,31,32,34,35,36,37,38},1,FIND(MID($B332,2,1),"ABCDEFGHIJKLMNOPQRSTUVWXYZ")),"")</f>
        <v/>
      </c>
      <c r="I332">
        <f>IF($F332=1,INDEX({10,12,13,14,15,16,17,18,19,20,21,23,24,25,26,27,28,29,30,31,32,34,35,36,37,38},1,FIND(MID($B332,3,1),"ABCDEFGHIJKLMNOPQRSTUVWXYZ")),"")</f>
        <v/>
      </c>
      <c r="J332">
        <f>IF($F332=1,INDEX({10,12,13,14,15,16,17,18,19,20,21,23,24,25,26,27,28,29,30,31,32,34,35,36,37,38},1,FIND(MID($B332,4,1),"ABCDEFGHIJKLMNOPQRSTUVWXYZ")),"")</f>
        <v/>
      </c>
      <c r="K332">
        <f>IF($F332=1,FIND(MID($B332,5,1),"0123456789")-1,"")</f>
        <v/>
      </c>
      <c r="L332">
        <f>IF($F332=1,FIND(MID($B332,6,1),"0123456789")-1,"")</f>
        <v/>
      </c>
      <c r="M332">
        <f>IF($F332=1,FIND(MID($B332,7,1),"0123456789")-1,"")</f>
        <v/>
      </c>
      <c r="N332">
        <f>IF($F332=1,FIND(MID($B332,8,1),"0123456789")-1,"")</f>
        <v/>
      </c>
      <c r="O332">
        <f>IF($F332=1,FIND(MID($B332,9,1),"0123456789")-1,"")</f>
        <v/>
      </c>
      <c r="P332">
        <f>IF($F332=1,FIND(MID($B332,10,1),"0123456789")-1,"")</f>
        <v/>
      </c>
      <c r="Q332">
        <f>IF($F332=1,SUMPRODUCT($G332:$P332,{1,2,4,8,16,32,64,128,256,512}),"")</f>
        <v/>
      </c>
      <c r="R332">
        <f>IF($F332=1,MOD(MOD($Q332,11),10),"")</f>
        <v/>
      </c>
    </row>
    <row r="333">
      <c r="A333" s="6" t="n"/>
      <c r="B333" s="7">
        <f>IF($A333="","",UPPER(SUBSTITUTE(SUBSTITUTE(SUBSTITUTE(SUBSTITUTE(SUBSTITUTE(SUBSTITUTE($A333," ",""),"-",""),".",""),"/",""),"i","I"),"ı","?")))</f>
        <v/>
      </c>
      <c r="C333" s="8">
        <f>IF($F333=1,$R333,"")</f>
        <v/>
      </c>
      <c r="D333" s="7">
        <f>IF($A333="","",IF($F333=0,"Biçim hatalı",IF(FIND(MID($B333,11,1),"0123456789")-1=$R333,"Geçerli","Kontrol hanesi hatalı (doğrusu: "&amp;$R333&amp;")")))</f>
        <v/>
      </c>
      <c r="F333">
        <f>IF($A333="","",IF(AND(LEN($B333)=11,SUMPRODUCT(--ISNUMBER(FIND(MID($B333,{1,2,3},1),"ABCDEFGHIJKLMNOPQRSTUVWXYZ")))=3,ISNUMBER(FIND(MID($B333,4,1),"UJZ")),SUMPRODUCT(--ISNUMBER(FIND(MID($B333,{5,6,7,8,9,10,11},1),"0123456789")))=7),1,0))</f>
        <v/>
      </c>
      <c r="G333">
        <f>IF($F333=1,INDEX({10,12,13,14,15,16,17,18,19,20,21,23,24,25,26,27,28,29,30,31,32,34,35,36,37,38},1,FIND(MID($B333,1,1),"ABCDEFGHIJKLMNOPQRSTUVWXYZ")),"")</f>
        <v/>
      </c>
      <c r="H333">
        <f>IF($F333=1,INDEX({10,12,13,14,15,16,17,18,19,20,21,23,24,25,26,27,28,29,30,31,32,34,35,36,37,38},1,FIND(MID($B333,2,1),"ABCDEFGHIJKLMNOPQRSTUVWXYZ")),"")</f>
        <v/>
      </c>
      <c r="I333">
        <f>IF($F333=1,INDEX({10,12,13,14,15,16,17,18,19,20,21,23,24,25,26,27,28,29,30,31,32,34,35,36,37,38},1,FIND(MID($B333,3,1),"ABCDEFGHIJKLMNOPQRSTUVWXYZ")),"")</f>
        <v/>
      </c>
      <c r="J333">
        <f>IF($F333=1,INDEX({10,12,13,14,15,16,17,18,19,20,21,23,24,25,26,27,28,29,30,31,32,34,35,36,37,38},1,FIND(MID($B333,4,1),"ABCDEFGHIJKLMNOPQRSTUVWXYZ")),"")</f>
        <v/>
      </c>
      <c r="K333">
        <f>IF($F333=1,FIND(MID($B333,5,1),"0123456789")-1,"")</f>
        <v/>
      </c>
      <c r="L333">
        <f>IF($F333=1,FIND(MID($B333,6,1),"0123456789")-1,"")</f>
        <v/>
      </c>
      <c r="M333">
        <f>IF($F333=1,FIND(MID($B333,7,1),"0123456789")-1,"")</f>
        <v/>
      </c>
      <c r="N333">
        <f>IF($F333=1,FIND(MID($B333,8,1),"0123456789")-1,"")</f>
        <v/>
      </c>
      <c r="O333">
        <f>IF($F333=1,FIND(MID($B333,9,1),"0123456789")-1,"")</f>
        <v/>
      </c>
      <c r="P333">
        <f>IF($F333=1,FIND(MID($B333,10,1),"0123456789")-1,"")</f>
        <v/>
      </c>
      <c r="Q333">
        <f>IF($F333=1,SUMPRODUCT($G333:$P333,{1,2,4,8,16,32,64,128,256,512}),"")</f>
        <v/>
      </c>
      <c r="R333">
        <f>IF($F333=1,MOD(MOD($Q333,11),10),"")</f>
        <v/>
      </c>
    </row>
    <row r="334">
      <c r="A334" s="6" t="n"/>
      <c r="B334" s="7">
        <f>IF($A334="","",UPPER(SUBSTITUTE(SUBSTITUTE(SUBSTITUTE(SUBSTITUTE(SUBSTITUTE(SUBSTITUTE($A334," ",""),"-",""),".",""),"/",""),"i","I"),"ı","?")))</f>
        <v/>
      </c>
      <c r="C334" s="8">
        <f>IF($F334=1,$R334,"")</f>
        <v/>
      </c>
      <c r="D334" s="7">
        <f>IF($A334="","",IF($F334=0,"Biçim hatalı",IF(FIND(MID($B334,11,1),"0123456789")-1=$R334,"Geçerli","Kontrol hanesi hatalı (doğrusu: "&amp;$R334&amp;")")))</f>
        <v/>
      </c>
      <c r="F334">
        <f>IF($A334="","",IF(AND(LEN($B334)=11,SUMPRODUCT(--ISNUMBER(FIND(MID($B334,{1,2,3},1),"ABCDEFGHIJKLMNOPQRSTUVWXYZ")))=3,ISNUMBER(FIND(MID($B334,4,1),"UJZ")),SUMPRODUCT(--ISNUMBER(FIND(MID($B334,{5,6,7,8,9,10,11},1),"0123456789")))=7),1,0))</f>
        <v/>
      </c>
      <c r="G334">
        <f>IF($F334=1,INDEX({10,12,13,14,15,16,17,18,19,20,21,23,24,25,26,27,28,29,30,31,32,34,35,36,37,38},1,FIND(MID($B334,1,1),"ABCDEFGHIJKLMNOPQRSTUVWXYZ")),"")</f>
        <v/>
      </c>
      <c r="H334">
        <f>IF($F334=1,INDEX({10,12,13,14,15,16,17,18,19,20,21,23,24,25,26,27,28,29,30,31,32,34,35,36,37,38},1,FIND(MID($B334,2,1),"ABCDEFGHIJKLMNOPQRSTUVWXYZ")),"")</f>
        <v/>
      </c>
      <c r="I334">
        <f>IF($F334=1,INDEX({10,12,13,14,15,16,17,18,19,20,21,23,24,25,26,27,28,29,30,31,32,34,35,36,37,38},1,FIND(MID($B334,3,1),"ABCDEFGHIJKLMNOPQRSTUVWXYZ")),"")</f>
        <v/>
      </c>
      <c r="J334">
        <f>IF($F334=1,INDEX({10,12,13,14,15,16,17,18,19,20,21,23,24,25,26,27,28,29,30,31,32,34,35,36,37,38},1,FIND(MID($B334,4,1),"ABCDEFGHIJKLMNOPQRSTUVWXYZ")),"")</f>
        <v/>
      </c>
      <c r="K334">
        <f>IF($F334=1,FIND(MID($B334,5,1),"0123456789")-1,"")</f>
        <v/>
      </c>
      <c r="L334">
        <f>IF($F334=1,FIND(MID($B334,6,1),"0123456789")-1,"")</f>
        <v/>
      </c>
      <c r="M334">
        <f>IF($F334=1,FIND(MID($B334,7,1),"0123456789")-1,"")</f>
        <v/>
      </c>
      <c r="N334">
        <f>IF($F334=1,FIND(MID($B334,8,1),"0123456789")-1,"")</f>
        <v/>
      </c>
      <c r="O334">
        <f>IF($F334=1,FIND(MID($B334,9,1),"0123456789")-1,"")</f>
        <v/>
      </c>
      <c r="P334">
        <f>IF($F334=1,FIND(MID($B334,10,1),"0123456789")-1,"")</f>
        <v/>
      </c>
      <c r="Q334">
        <f>IF($F334=1,SUMPRODUCT($G334:$P334,{1,2,4,8,16,32,64,128,256,512}),"")</f>
        <v/>
      </c>
      <c r="R334">
        <f>IF($F334=1,MOD(MOD($Q334,11),10),"")</f>
        <v/>
      </c>
    </row>
    <row r="335">
      <c r="A335" s="6" t="n"/>
      <c r="B335" s="7">
        <f>IF($A335="","",UPPER(SUBSTITUTE(SUBSTITUTE(SUBSTITUTE(SUBSTITUTE(SUBSTITUTE(SUBSTITUTE($A335," ",""),"-",""),".",""),"/",""),"i","I"),"ı","?")))</f>
        <v/>
      </c>
      <c r="C335" s="8">
        <f>IF($F335=1,$R335,"")</f>
        <v/>
      </c>
      <c r="D335" s="7">
        <f>IF($A335="","",IF($F335=0,"Biçim hatalı",IF(FIND(MID($B335,11,1),"0123456789")-1=$R335,"Geçerli","Kontrol hanesi hatalı (doğrusu: "&amp;$R335&amp;")")))</f>
        <v/>
      </c>
      <c r="F335">
        <f>IF($A335="","",IF(AND(LEN($B335)=11,SUMPRODUCT(--ISNUMBER(FIND(MID($B335,{1,2,3},1),"ABCDEFGHIJKLMNOPQRSTUVWXYZ")))=3,ISNUMBER(FIND(MID($B335,4,1),"UJZ")),SUMPRODUCT(--ISNUMBER(FIND(MID($B335,{5,6,7,8,9,10,11},1),"0123456789")))=7),1,0))</f>
        <v/>
      </c>
      <c r="G335">
        <f>IF($F335=1,INDEX({10,12,13,14,15,16,17,18,19,20,21,23,24,25,26,27,28,29,30,31,32,34,35,36,37,38},1,FIND(MID($B335,1,1),"ABCDEFGHIJKLMNOPQRSTUVWXYZ")),"")</f>
        <v/>
      </c>
      <c r="H335">
        <f>IF($F335=1,INDEX({10,12,13,14,15,16,17,18,19,20,21,23,24,25,26,27,28,29,30,31,32,34,35,36,37,38},1,FIND(MID($B335,2,1),"ABCDEFGHIJKLMNOPQRSTUVWXYZ")),"")</f>
        <v/>
      </c>
      <c r="I335">
        <f>IF($F335=1,INDEX({10,12,13,14,15,16,17,18,19,20,21,23,24,25,26,27,28,29,30,31,32,34,35,36,37,38},1,FIND(MID($B335,3,1),"ABCDEFGHIJKLMNOPQRSTUVWXYZ")),"")</f>
        <v/>
      </c>
      <c r="J335">
        <f>IF($F335=1,INDEX({10,12,13,14,15,16,17,18,19,20,21,23,24,25,26,27,28,29,30,31,32,34,35,36,37,38},1,FIND(MID($B335,4,1),"ABCDEFGHIJKLMNOPQRSTUVWXYZ")),"")</f>
        <v/>
      </c>
      <c r="K335">
        <f>IF($F335=1,FIND(MID($B335,5,1),"0123456789")-1,"")</f>
        <v/>
      </c>
      <c r="L335">
        <f>IF($F335=1,FIND(MID($B335,6,1),"0123456789")-1,"")</f>
        <v/>
      </c>
      <c r="M335">
        <f>IF($F335=1,FIND(MID($B335,7,1),"0123456789")-1,"")</f>
        <v/>
      </c>
      <c r="N335">
        <f>IF($F335=1,FIND(MID($B335,8,1),"0123456789")-1,"")</f>
        <v/>
      </c>
      <c r="O335">
        <f>IF($F335=1,FIND(MID($B335,9,1),"0123456789")-1,"")</f>
        <v/>
      </c>
      <c r="P335">
        <f>IF($F335=1,FIND(MID($B335,10,1),"0123456789")-1,"")</f>
        <v/>
      </c>
      <c r="Q335">
        <f>IF($F335=1,SUMPRODUCT($G335:$P335,{1,2,4,8,16,32,64,128,256,512}),"")</f>
        <v/>
      </c>
      <c r="R335">
        <f>IF($F335=1,MOD(MOD($Q335,11),10),"")</f>
        <v/>
      </c>
    </row>
    <row r="336">
      <c r="A336" s="6" t="n"/>
      <c r="B336" s="7">
        <f>IF($A336="","",UPPER(SUBSTITUTE(SUBSTITUTE(SUBSTITUTE(SUBSTITUTE(SUBSTITUTE(SUBSTITUTE($A336," ",""),"-",""),".",""),"/",""),"i","I"),"ı","?")))</f>
        <v/>
      </c>
      <c r="C336" s="8">
        <f>IF($F336=1,$R336,"")</f>
        <v/>
      </c>
      <c r="D336" s="7">
        <f>IF($A336="","",IF($F336=0,"Biçim hatalı",IF(FIND(MID($B336,11,1),"0123456789")-1=$R336,"Geçerli","Kontrol hanesi hatalı (doğrusu: "&amp;$R336&amp;")")))</f>
        <v/>
      </c>
      <c r="F336">
        <f>IF($A336="","",IF(AND(LEN($B336)=11,SUMPRODUCT(--ISNUMBER(FIND(MID($B336,{1,2,3},1),"ABCDEFGHIJKLMNOPQRSTUVWXYZ")))=3,ISNUMBER(FIND(MID($B336,4,1),"UJZ")),SUMPRODUCT(--ISNUMBER(FIND(MID($B336,{5,6,7,8,9,10,11},1),"0123456789")))=7),1,0))</f>
        <v/>
      </c>
      <c r="G336">
        <f>IF($F336=1,INDEX({10,12,13,14,15,16,17,18,19,20,21,23,24,25,26,27,28,29,30,31,32,34,35,36,37,38},1,FIND(MID($B336,1,1),"ABCDEFGHIJKLMNOPQRSTUVWXYZ")),"")</f>
        <v/>
      </c>
      <c r="H336">
        <f>IF($F336=1,INDEX({10,12,13,14,15,16,17,18,19,20,21,23,24,25,26,27,28,29,30,31,32,34,35,36,37,38},1,FIND(MID($B336,2,1),"ABCDEFGHIJKLMNOPQRSTUVWXYZ")),"")</f>
        <v/>
      </c>
      <c r="I336">
        <f>IF($F336=1,INDEX({10,12,13,14,15,16,17,18,19,20,21,23,24,25,26,27,28,29,30,31,32,34,35,36,37,38},1,FIND(MID($B336,3,1),"ABCDEFGHIJKLMNOPQRSTUVWXYZ")),"")</f>
        <v/>
      </c>
      <c r="J336">
        <f>IF($F336=1,INDEX({10,12,13,14,15,16,17,18,19,20,21,23,24,25,26,27,28,29,30,31,32,34,35,36,37,38},1,FIND(MID($B336,4,1),"ABCDEFGHIJKLMNOPQRSTUVWXYZ")),"")</f>
        <v/>
      </c>
      <c r="K336">
        <f>IF($F336=1,FIND(MID($B336,5,1),"0123456789")-1,"")</f>
        <v/>
      </c>
      <c r="L336">
        <f>IF($F336=1,FIND(MID($B336,6,1),"0123456789")-1,"")</f>
        <v/>
      </c>
      <c r="M336">
        <f>IF($F336=1,FIND(MID($B336,7,1),"0123456789")-1,"")</f>
        <v/>
      </c>
      <c r="N336">
        <f>IF($F336=1,FIND(MID($B336,8,1),"0123456789")-1,"")</f>
        <v/>
      </c>
      <c r="O336">
        <f>IF($F336=1,FIND(MID($B336,9,1),"0123456789")-1,"")</f>
        <v/>
      </c>
      <c r="P336">
        <f>IF($F336=1,FIND(MID($B336,10,1),"0123456789")-1,"")</f>
        <v/>
      </c>
      <c r="Q336">
        <f>IF($F336=1,SUMPRODUCT($G336:$P336,{1,2,4,8,16,32,64,128,256,512}),"")</f>
        <v/>
      </c>
      <c r="R336">
        <f>IF($F336=1,MOD(MOD($Q336,11),10),"")</f>
        <v/>
      </c>
    </row>
    <row r="337">
      <c r="A337" s="6" t="n"/>
      <c r="B337" s="7">
        <f>IF($A337="","",UPPER(SUBSTITUTE(SUBSTITUTE(SUBSTITUTE(SUBSTITUTE(SUBSTITUTE(SUBSTITUTE($A337," ",""),"-",""),".",""),"/",""),"i","I"),"ı","?")))</f>
        <v/>
      </c>
      <c r="C337" s="8">
        <f>IF($F337=1,$R337,"")</f>
        <v/>
      </c>
      <c r="D337" s="7">
        <f>IF($A337="","",IF($F337=0,"Biçim hatalı",IF(FIND(MID($B337,11,1),"0123456789")-1=$R337,"Geçerli","Kontrol hanesi hatalı (doğrusu: "&amp;$R337&amp;")")))</f>
        <v/>
      </c>
      <c r="F337">
        <f>IF($A337="","",IF(AND(LEN($B337)=11,SUMPRODUCT(--ISNUMBER(FIND(MID($B337,{1,2,3},1),"ABCDEFGHIJKLMNOPQRSTUVWXYZ")))=3,ISNUMBER(FIND(MID($B337,4,1),"UJZ")),SUMPRODUCT(--ISNUMBER(FIND(MID($B337,{5,6,7,8,9,10,11},1),"0123456789")))=7),1,0))</f>
        <v/>
      </c>
      <c r="G337">
        <f>IF($F337=1,INDEX({10,12,13,14,15,16,17,18,19,20,21,23,24,25,26,27,28,29,30,31,32,34,35,36,37,38},1,FIND(MID($B337,1,1),"ABCDEFGHIJKLMNOPQRSTUVWXYZ")),"")</f>
        <v/>
      </c>
      <c r="H337">
        <f>IF($F337=1,INDEX({10,12,13,14,15,16,17,18,19,20,21,23,24,25,26,27,28,29,30,31,32,34,35,36,37,38},1,FIND(MID($B337,2,1),"ABCDEFGHIJKLMNOPQRSTUVWXYZ")),"")</f>
        <v/>
      </c>
      <c r="I337">
        <f>IF($F337=1,INDEX({10,12,13,14,15,16,17,18,19,20,21,23,24,25,26,27,28,29,30,31,32,34,35,36,37,38},1,FIND(MID($B337,3,1),"ABCDEFGHIJKLMNOPQRSTUVWXYZ")),"")</f>
        <v/>
      </c>
      <c r="J337">
        <f>IF($F337=1,INDEX({10,12,13,14,15,16,17,18,19,20,21,23,24,25,26,27,28,29,30,31,32,34,35,36,37,38},1,FIND(MID($B337,4,1),"ABCDEFGHIJKLMNOPQRSTUVWXYZ")),"")</f>
        <v/>
      </c>
      <c r="K337">
        <f>IF($F337=1,FIND(MID($B337,5,1),"0123456789")-1,"")</f>
        <v/>
      </c>
      <c r="L337">
        <f>IF($F337=1,FIND(MID($B337,6,1),"0123456789")-1,"")</f>
        <v/>
      </c>
      <c r="M337">
        <f>IF($F337=1,FIND(MID($B337,7,1),"0123456789")-1,"")</f>
        <v/>
      </c>
      <c r="N337">
        <f>IF($F337=1,FIND(MID($B337,8,1),"0123456789")-1,"")</f>
        <v/>
      </c>
      <c r="O337">
        <f>IF($F337=1,FIND(MID($B337,9,1),"0123456789")-1,"")</f>
        <v/>
      </c>
      <c r="P337">
        <f>IF($F337=1,FIND(MID($B337,10,1),"0123456789")-1,"")</f>
        <v/>
      </c>
      <c r="Q337">
        <f>IF($F337=1,SUMPRODUCT($G337:$P337,{1,2,4,8,16,32,64,128,256,512}),"")</f>
        <v/>
      </c>
      <c r="R337">
        <f>IF($F337=1,MOD(MOD($Q337,11),10),"")</f>
        <v/>
      </c>
    </row>
    <row r="338">
      <c r="A338" s="6" t="n"/>
      <c r="B338" s="7">
        <f>IF($A338="","",UPPER(SUBSTITUTE(SUBSTITUTE(SUBSTITUTE(SUBSTITUTE(SUBSTITUTE(SUBSTITUTE($A338," ",""),"-",""),".",""),"/",""),"i","I"),"ı","?")))</f>
        <v/>
      </c>
      <c r="C338" s="8">
        <f>IF($F338=1,$R338,"")</f>
        <v/>
      </c>
      <c r="D338" s="7">
        <f>IF($A338="","",IF($F338=0,"Biçim hatalı",IF(FIND(MID($B338,11,1),"0123456789")-1=$R338,"Geçerli","Kontrol hanesi hatalı (doğrusu: "&amp;$R338&amp;")")))</f>
        <v/>
      </c>
      <c r="F338">
        <f>IF($A338="","",IF(AND(LEN($B338)=11,SUMPRODUCT(--ISNUMBER(FIND(MID($B338,{1,2,3},1),"ABCDEFGHIJKLMNOPQRSTUVWXYZ")))=3,ISNUMBER(FIND(MID($B338,4,1),"UJZ")),SUMPRODUCT(--ISNUMBER(FIND(MID($B338,{5,6,7,8,9,10,11},1),"0123456789")))=7),1,0))</f>
        <v/>
      </c>
      <c r="G338">
        <f>IF($F338=1,INDEX({10,12,13,14,15,16,17,18,19,20,21,23,24,25,26,27,28,29,30,31,32,34,35,36,37,38},1,FIND(MID($B338,1,1),"ABCDEFGHIJKLMNOPQRSTUVWXYZ")),"")</f>
        <v/>
      </c>
      <c r="H338">
        <f>IF($F338=1,INDEX({10,12,13,14,15,16,17,18,19,20,21,23,24,25,26,27,28,29,30,31,32,34,35,36,37,38},1,FIND(MID($B338,2,1),"ABCDEFGHIJKLMNOPQRSTUVWXYZ")),"")</f>
        <v/>
      </c>
      <c r="I338">
        <f>IF($F338=1,INDEX({10,12,13,14,15,16,17,18,19,20,21,23,24,25,26,27,28,29,30,31,32,34,35,36,37,38},1,FIND(MID($B338,3,1),"ABCDEFGHIJKLMNOPQRSTUVWXYZ")),"")</f>
        <v/>
      </c>
      <c r="J338">
        <f>IF($F338=1,INDEX({10,12,13,14,15,16,17,18,19,20,21,23,24,25,26,27,28,29,30,31,32,34,35,36,37,38},1,FIND(MID($B338,4,1),"ABCDEFGHIJKLMNOPQRSTUVWXYZ")),"")</f>
        <v/>
      </c>
      <c r="K338">
        <f>IF($F338=1,FIND(MID($B338,5,1),"0123456789")-1,"")</f>
        <v/>
      </c>
      <c r="L338">
        <f>IF($F338=1,FIND(MID($B338,6,1),"0123456789")-1,"")</f>
        <v/>
      </c>
      <c r="M338">
        <f>IF($F338=1,FIND(MID($B338,7,1),"0123456789")-1,"")</f>
        <v/>
      </c>
      <c r="N338">
        <f>IF($F338=1,FIND(MID($B338,8,1),"0123456789")-1,"")</f>
        <v/>
      </c>
      <c r="O338">
        <f>IF($F338=1,FIND(MID($B338,9,1),"0123456789")-1,"")</f>
        <v/>
      </c>
      <c r="P338">
        <f>IF($F338=1,FIND(MID($B338,10,1),"0123456789")-1,"")</f>
        <v/>
      </c>
      <c r="Q338">
        <f>IF($F338=1,SUMPRODUCT($G338:$P338,{1,2,4,8,16,32,64,128,256,512}),"")</f>
        <v/>
      </c>
      <c r="R338">
        <f>IF($F338=1,MOD(MOD($Q338,11),10),"")</f>
        <v/>
      </c>
    </row>
    <row r="339">
      <c r="A339" s="6" t="n"/>
      <c r="B339" s="7">
        <f>IF($A339="","",UPPER(SUBSTITUTE(SUBSTITUTE(SUBSTITUTE(SUBSTITUTE(SUBSTITUTE(SUBSTITUTE($A339," ",""),"-",""),".",""),"/",""),"i","I"),"ı","?")))</f>
        <v/>
      </c>
      <c r="C339" s="8">
        <f>IF($F339=1,$R339,"")</f>
        <v/>
      </c>
      <c r="D339" s="7">
        <f>IF($A339="","",IF($F339=0,"Biçim hatalı",IF(FIND(MID($B339,11,1),"0123456789")-1=$R339,"Geçerli","Kontrol hanesi hatalı (doğrusu: "&amp;$R339&amp;")")))</f>
        <v/>
      </c>
      <c r="F339">
        <f>IF($A339="","",IF(AND(LEN($B339)=11,SUMPRODUCT(--ISNUMBER(FIND(MID($B339,{1,2,3},1),"ABCDEFGHIJKLMNOPQRSTUVWXYZ")))=3,ISNUMBER(FIND(MID($B339,4,1),"UJZ")),SUMPRODUCT(--ISNUMBER(FIND(MID($B339,{5,6,7,8,9,10,11},1),"0123456789")))=7),1,0))</f>
        <v/>
      </c>
      <c r="G339">
        <f>IF($F339=1,INDEX({10,12,13,14,15,16,17,18,19,20,21,23,24,25,26,27,28,29,30,31,32,34,35,36,37,38},1,FIND(MID($B339,1,1),"ABCDEFGHIJKLMNOPQRSTUVWXYZ")),"")</f>
        <v/>
      </c>
      <c r="H339">
        <f>IF($F339=1,INDEX({10,12,13,14,15,16,17,18,19,20,21,23,24,25,26,27,28,29,30,31,32,34,35,36,37,38},1,FIND(MID($B339,2,1),"ABCDEFGHIJKLMNOPQRSTUVWXYZ")),"")</f>
        <v/>
      </c>
      <c r="I339">
        <f>IF($F339=1,INDEX({10,12,13,14,15,16,17,18,19,20,21,23,24,25,26,27,28,29,30,31,32,34,35,36,37,38},1,FIND(MID($B339,3,1),"ABCDEFGHIJKLMNOPQRSTUVWXYZ")),"")</f>
        <v/>
      </c>
      <c r="J339">
        <f>IF($F339=1,INDEX({10,12,13,14,15,16,17,18,19,20,21,23,24,25,26,27,28,29,30,31,32,34,35,36,37,38},1,FIND(MID($B339,4,1),"ABCDEFGHIJKLMNOPQRSTUVWXYZ")),"")</f>
        <v/>
      </c>
      <c r="K339">
        <f>IF($F339=1,FIND(MID($B339,5,1),"0123456789")-1,"")</f>
        <v/>
      </c>
      <c r="L339">
        <f>IF($F339=1,FIND(MID($B339,6,1),"0123456789")-1,"")</f>
        <v/>
      </c>
      <c r="M339">
        <f>IF($F339=1,FIND(MID($B339,7,1),"0123456789")-1,"")</f>
        <v/>
      </c>
      <c r="N339">
        <f>IF($F339=1,FIND(MID($B339,8,1),"0123456789")-1,"")</f>
        <v/>
      </c>
      <c r="O339">
        <f>IF($F339=1,FIND(MID($B339,9,1),"0123456789")-1,"")</f>
        <v/>
      </c>
      <c r="P339">
        <f>IF($F339=1,FIND(MID($B339,10,1),"0123456789")-1,"")</f>
        <v/>
      </c>
      <c r="Q339">
        <f>IF($F339=1,SUMPRODUCT($G339:$P339,{1,2,4,8,16,32,64,128,256,512}),"")</f>
        <v/>
      </c>
      <c r="R339">
        <f>IF($F339=1,MOD(MOD($Q339,11),10),"")</f>
        <v/>
      </c>
    </row>
    <row r="340">
      <c r="A340" s="6" t="n"/>
      <c r="B340" s="7">
        <f>IF($A340="","",UPPER(SUBSTITUTE(SUBSTITUTE(SUBSTITUTE(SUBSTITUTE(SUBSTITUTE(SUBSTITUTE($A340," ",""),"-",""),".",""),"/",""),"i","I"),"ı","?")))</f>
        <v/>
      </c>
      <c r="C340" s="8">
        <f>IF($F340=1,$R340,"")</f>
        <v/>
      </c>
      <c r="D340" s="7">
        <f>IF($A340="","",IF($F340=0,"Biçim hatalı",IF(FIND(MID($B340,11,1),"0123456789")-1=$R340,"Geçerli","Kontrol hanesi hatalı (doğrusu: "&amp;$R340&amp;")")))</f>
        <v/>
      </c>
      <c r="F340">
        <f>IF($A340="","",IF(AND(LEN($B340)=11,SUMPRODUCT(--ISNUMBER(FIND(MID($B340,{1,2,3},1),"ABCDEFGHIJKLMNOPQRSTUVWXYZ")))=3,ISNUMBER(FIND(MID($B340,4,1),"UJZ")),SUMPRODUCT(--ISNUMBER(FIND(MID($B340,{5,6,7,8,9,10,11},1),"0123456789")))=7),1,0))</f>
        <v/>
      </c>
      <c r="G340">
        <f>IF($F340=1,INDEX({10,12,13,14,15,16,17,18,19,20,21,23,24,25,26,27,28,29,30,31,32,34,35,36,37,38},1,FIND(MID($B340,1,1),"ABCDEFGHIJKLMNOPQRSTUVWXYZ")),"")</f>
        <v/>
      </c>
      <c r="H340">
        <f>IF($F340=1,INDEX({10,12,13,14,15,16,17,18,19,20,21,23,24,25,26,27,28,29,30,31,32,34,35,36,37,38},1,FIND(MID($B340,2,1),"ABCDEFGHIJKLMNOPQRSTUVWXYZ")),"")</f>
        <v/>
      </c>
      <c r="I340">
        <f>IF($F340=1,INDEX({10,12,13,14,15,16,17,18,19,20,21,23,24,25,26,27,28,29,30,31,32,34,35,36,37,38},1,FIND(MID($B340,3,1),"ABCDEFGHIJKLMNOPQRSTUVWXYZ")),"")</f>
        <v/>
      </c>
      <c r="J340">
        <f>IF($F340=1,INDEX({10,12,13,14,15,16,17,18,19,20,21,23,24,25,26,27,28,29,30,31,32,34,35,36,37,38},1,FIND(MID($B340,4,1),"ABCDEFGHIJKLMNOPQRSTUVWXYZ")),"")</f>
        <v/>
      </c>
      <c r="K340">
        <f>IF($F340=1,FIND(MID($B340,5,1),"0123456789")-1,"")</f>
        <v/>
      </c>
      <c r="L340">
        <f>IF($F340=1,FIND(MID($B340,6,1),"0123456789")-1,"")</f>
        <v/>
      </c>
      <c r="M340">
        <f>IF($F340=1,FIND(MID($B340,7,1),"0123456789")-1,"")</f>
        <v/>
      </c>
      <c r="N340">
        <f>IF($F340=1,FIND(MID($B340,8,1),"0123456789")-1,"")</f>
        <v/>
      </c>
      <c r="O340">
        <f>IF($F340=1,FIND(MID($B340,9,1),"0123456789")-1,"")</f>
        <v/>
      </c>
      <c r="P340">
        <f>IF($F340=1,FIND(MID($B340,10,1),"0123456789")-1,"")</f>
        <v/>
      </c>
      <c r="Q340">
        <f>IF($F340=1,SUMPRODUCT($G340:$P340,{1,2,4,8,16,32,64,128,256,512}),"")</f>
        <v/>
      </c>
      <c r="R340">
        <f>IF($F340=1,MOD(MOD($Q340,11),10),"")</f>
        <v/>
      </c>
    </row>
    <row r="341">
      <c r="A341" s="6" t="n"/>
      <c r="B341" s="7">
        <f>IF($A341="","",UPPER(SUBSTITUTE(SUBSTITUTE(SUBSTITUTE(SUBSTITUTE(SUBSTITUTE(SUBSTITUTE($A341," ",""),"-",""),".",""),"/",""),"i","I"),"ı","?")))</f>
        <v/>
      </c>
      <c r="C341" s="8">
        <f>IF($F341=1,$R341,"")</f>
        <v/>
      </c>
      <c r="D341" s="7">
        <f>IF($A341="","",IF($F341=0,"Biçim hatalı",IF(FIND(MID($B341,11,1),"0123456789")-1=$R341,"Geçerli","Kontrol hanesi hatalı (doğrusu: "&amp;$R341&amp;")")))</f>
        <v/>
      </c>
      <c r="F341">
        <f>IF($A341="","",IF(AND(LEN($B341)=11,SUMPRODUCT(--ISNUMBER(FIND(MID($B341,{1,2,3},1),"ABCDEFGHIJKLMNOPQRSTUVWXYZ")))=3,ISNUMBER(FIND(MID($B341,4,1),"UJZ")),SUMPRODUCT(--ISNUMBER(FIND(MID($B341,{5,6,7,8,9,10,11},1),"0123456789")))=7),1,0))</f>
        <v/>
      </c>
      <c r="G341">
        <f>IF($F341=1,INDEX({10,12,13,14,15,16,17,18,19,20,21,23,24,25,26,27,28,29,30,31,32,34,35,36,37,38},1,FIND(MID($B341,1,1),"ABCDEFGHIJKLMNOPQRSTUVWXYZ")),"")</f>
        <v/>
      </c>
      <c r="H341">
        <f>IF($F341=1,INDEX({10,12,13,14,15,16,17,18,19,20,21,23,24,25,26,27,28,29,30,31,32,34,35,36,37,38},1,FIND(MID($B341,2,1),"ABCDEFGHIJKLMNOPQRSTUVWXYZ")),"")</f>
        <v/>
      </c>
      <c r="I341">
        <f>IF($F341=1,INDEX({10,12,13,14,15,16,17,18,19,20,21,23,24,25,26,27,28,29,30,31,32,34,35,36,37,38},1,FIND(MID($B341,3,1),"ABCDEFGHIJKLMNOPQRSTUVWXYZ")),"")</f>
        <v/>
      </c>
      <c r="J341">
        <f>IF($F341=1,INDEX({10,12,13,14,15,16,17,18,19,20,21,23,24,25,26,27,28,29,30,31,32,34,35,36,37,38},1,FIND(MID($B341,4,1),"ABCDEFGHIJKLMNOPQRSTUVWXYZ")),"")</f>
        <v/>
      </c>
      <c r="K341">
        <f>IF($F341=1,FIND(MID($B341,5,1),"0123456789")-1,"")</f>
        <v/>
      </c>
      <c r="L341">
        <f>IF($F341=1,FIND(MID($B341,6,1),"0123456789")-1,"")</f>
        <v/>
      </c>
      <c r="M341">
        <f>IF($F341=1,FIND(MID($B341,7,1),"0123456789")-1,"")</f>
        <v/>
      </c>
      <c r="N341">
        <f>IF($F341=1,FIND(MID($B341,8,1),"0123456789")-1,"")</f>
        <v/>
      </c>
      <c r="O341">
        <f>IF($F341=1,FIND(MID($B341,9,1),"0123456789")-1,"")</f>
        <v/>
      </c>
      <c r="P341">
        <f>IF($F341=1,FIND(MID($B341,10,1),"0123456789")-1,"")</f>
        <v/>
      </c>
      <c r="Q341">
        <f>IF($F341=1,SUMPRODUCT($G341:$P341,{1,2,4,8,16,32,64,128,256,512}),"")</f>
        <v/>
      </c>
      <c r="R341">
        <f>IF($F341=1,MOD(MOD($Q341,11),10),"")</f>
        <v/>
      </c>
    </row>
    <row r="342">
      <c r="A342" s="6" t="n"/>
      <c r="B342" s="7">
        <f>IF($A342="","",UPPER(SUBSTITUTE(SUBSTITUTE(SUBSTITUTE(SUBSTITUTE(SUBSTITUTE(SUBSTITUTE($A342," ",""),"-",""),".",""),"/",""),"i","I"),"ı","?")))</f>
        <v/>
      </c>
      <c r="C342" s="8">
        <f>IF($F342=1,$R342,"")</f>
        <v/>
      </c>
      <c r="D342" s="7">
        <f>IF($A342="","",IF($F342=0,"Biçim hatalı",IF(FIND(MID($B342,11,1),"0123456789")-1=$R342,"Geçerli","Kontrol hanesi hatalı (doğrusu: "&amp;$R342&amp;")")))</f>
        <v/>
      </c>
      <c r="F342">
        <f>IF($A342="","",IF(AND(LEN($B342)=11,SUMPRODUCT(--ISNUMBER(FIND(MID($B342,{1,2,3},1),"ABCDEFGHIJKLMNOPQRSTUVWXYZ")))=3,ISNUMBER(FIND(MID($B342,4,1),"UJZ")),SUMPRODUCT(--ISNUMBER(FIND(MID($B342,{5,6,7,8,9,10,11},1),"0123456789")))=7),1,0))</f>
        <v/>
      </c>
      <c r="G342">
        <f>IF($F342=1,INDEX({10,12,13,14,15,16,17,18,19,20,21,23,24,25,26,27,28,29,30,31,32,34,35,36,37,38},1,FIND(MID($B342,1,1),"ABCDEFGHIJKLMNOPQRSTUVWXYZ")),"")</f>
        <v/>
      </c>
      <c r="H342">
        <f>IF($F342=1,INDEX({10,12,13,14,15,16,17,18,19,20,21,23,24,25,26,27,28,29,30,31,32,34,35,36,37,38},1,FIND(MID($B342,2,1),"ABCDEFGHIJKLMNOPQRSTUVWXYZ")),"")</f>
        <v/>
      </c>
      <c r="I342">
        <f>IF($F342=1,INDEX({10,12,13,14,15,16,17,18,19,20,21,23,24,25,26,27,28,29,30,31,32,34,35,36,37,38},1,FIND(MID($B342,3,1),"ABCDEFGHIJKLMNOPQRSTUVWXYZ")),"")</f>
        <v/>
      </c>
      <c r="J342">
        <f>IF($F342=1,INDEX({10,12,13,14,15,16,17,18,19,20,21,23,24,25,26,27,28,29,30,31,32,34,35,36,37,38},1,FIND(MID($B342,4,1),"ABCDEFGHIJKLMNOPQRSTUVWXYZ")),"")</f>
        <v/>
      </c>
      <c r="K342">
        <f>IF($F342=1,FIND(MID($B342,5,1),"0123456789")-1,"")</f>
        <v/>
      </c>
      <c r="L342">
        <f>IF($F342=1,FIND(MID($B342,6,1),"0123456789")-1,"")</f>
        <v/>
      </c>
      <c r="M342">
        <f>IF($F342=1,FIND(MID($B342,7,1),"0123456789")-1,"")</f>
        <v/>
      </c>
      <c r="N342">
        <f>IF($F342=1,FIND(MID($B342,8,1),"0123456789")-1,"")</f>
        <v/>
      </c>
      <c r="O342">
        <f>IF($F342=1,FIND(MID($B342,9,1),"0123456789")-1,"")</f>
        <v/>
      </c>
      <c r="P342">
        <f>IF($F342=1,FIND(MID($B342,10,1),"0123456789")-1,"")</f>
        <v/>
      </c>
      <c r="Q342">
        <f>IF($F342=1,SUMPRODUCT($G342:$P342,{1,2,4,8,16,32,64,128,256,512}),"")</f>
        <v/>
      </c>
      <c r="R342">
        <f>IF($F342=1,MOD(MOD($Q342,11),10),"")</f>
        <v/>
      </c>
    </row>
    <row r="343">
      <c r="A343" s="6" t="n"/>
      <c r="B343" s="7">
        <f>IF($A343="","",UPPER(SUBSTITUTE(SUBSTITUTE(SUBSTITUTE(SUBSTITUTE(SUBSTITUTE(SUBSTITUTE($A343," ",""),"-",""),".",""),"/",""),"i","I"),"ı","?")))</f>
        <v/>
      </c>
      <c r="C343" s="8">
        <f>IF($F343=1,$R343,"")</f>
        <v/>
      </c>
      <c r="D343" s="7">
        <f>IF($A343="","",IF($F343=0,"Biçim hatalı",IF(FIND(MID($B343,11,1),"0123456789")-1=$R343,"Geçerli","Kontrol hanesi hatalı (doğrusu: "&amp;$R343&amp;")")))</f>
        <v/>
      </c>
      <c r="F343">
        <f>IF($A343="","",IF(AND(LEN($B343)=11,SUMPRODUCT(--ISNUMBER(FIND(MID($B343,{1,2,3},1),"ABCDEFGHIJKLMNOPQRSTUVWXYZ")))=3,ISNUMBER(FIND(MID($B343,4,1),"UJZ")),SUMPRODUCT(--ISNUMBER(FIND(MID($B343,{5,6,7,8,9,10,11},1),"0123456789")))=7),1,0))</f>
        <v/>
      </c>
      <c r="G343">
        <f>IF($F343=1,INDEX({10,12,13,14,15,16,17,18,19,20,21,23,24,25,26,27,28,29,30,31,32,34,35,36,37,38},1,FIND(MID($B343,1,1),"ABCDEFGHIJKLMNOPQRSTUVWXYZ")),"")</f>
        <v/>
      </c>
      <c r="H343">
        <f>IF($F343=1,INDEX({10,12,13,14,15,16,17,18,19,20,21,23,24,25,26,27,28,29,30,31,32,34,35,36,37,38},1,FIND(MID($B343,2,1),"ABCDEFGHIJKLMNOPQRSTUVWXYZ")),"")</f>
        <v/>
      </c>
      <c r="I343">
        <f>IF($F343=1,INDEX({10,12,13,14,15,16,17,18,19,20,21,23,24,25,26,27,28,29,30,31,32,34,35,36,37,38},1,FIND(MID($B343,3,1),"ABCDEFGHIJKLMNOPQRSTUVWXYZ")),"")</f>
        <v/>
      </c>
      <c r="J343">
        <f>IF($F343=1,INDEX({10,12,13,14,15,16,17,18,19,20,21,23,24,25,26,27,28,29,30,31,32,34,35,36,37,38},1,FIND(MID($B343,4,1),"ABCDEFGHIJKLMNOPQRSTUVWXYZ")),"")</f>
        <v/>
      </c>
      <c r="K343">
        <f>IF($F343=1,FIND(MID($B343,5,1),"0123456789")-1,"")</f>
        <v/>
      </c>
      <c r="L343">
        <f>IF($F343=1,FIND(MID($B343,6,1),"0123456789")-1,"")</f>
        <v/>
      </c>
      <c r="M343">
        <f>IF($F343=1,FIND(MID($B343,7,1),"0123456789")-1,"")</f>
        <v/>
      </c>
      <c r="N343">
        <f>IF($F343=1,FIND(MID($B343,8,1),"0123456789")-1,"")</f>
        <v/>
      </c>
      <c r="O343">
        <f>IF($F343=1,FIND(MID($B343,9,1),"0123456789")-1,"")</f>
        <v/>
      </c>
      <c r="P343">
        <f>IF($F343=1,FIND(MID($B343,10,1),"0123456789")-1,"")</f>
        <v/>
      </c>
      <c r="Q343">
        <f>IF($F343=1,SUMPRODUCT($G343:$P343,{1,2,4,8,16,32,64,128,256,512}),"")</f>
        <v/>
      </c>
      <c r="R343">
        <f>IF($F343=1,MOD(MOD($Q343,11),10),"")</f>
        <v/>
      </c>
    </row>
    <row r="344">
      <c r="A344" s="6" t="n"/>
      <c r="B344" s="7">
        <f>IF($A344="","",UPPER(SUBSTITUTE(SUBSTITUTE(SUBSTITUTE(SUBSTITUTE(SUBSTITUTE(SUBSTITUTE($A344," ",""),"-",""),".",""),"/",""),"i","I"),"ı","?")))</f>
        <v/>
      </c>
      <c r="C344" s="8">
        <f>IF($F344=1,$R344,"")</f>
        <v/>
      </c>
      <c r="D344" s="7">
        <f>IF($A344="","",IF($F344=0,"Biçim hatalı",IF(FIND(MID($B344,11,1),"0123456789")-1=$R344,"Geçerli","Kontrol hanesi hatalı (doğrusu: "&amp;$R344&amp;")")))</f>
        <v/>
      </c>
      <c r="F344">
        <f>IF($A344="","",IF(AND(LEN($B344)=11,SUMPRODUCT(--ISNUMBER(FIND(MID($B344,{1,2,3},1),"ABCDEFGHIJKLMNOPQRSTUVWXYZ")))=3,ISNUMBER(FIND(MID($B344,4,1),"UJZ")),SUMPRODUCT(--ISNUMBER(FIND(MID($B344,{5,6,7,8,9,10,11},1),"0123456789")))=7),1,0))</f>
        <v/>
      </c>
      <c r="G344">
        <f>IF($F344=1,INDEX({10,12,13,14,15,16,17,18,19,20,21,23,24,25,26,27,28,29,30,31,32,34,35,36,37,38},1,FIND(MID($B344,1,1),"ABCDEFGHIJKLMNOPQRSTUVWXYZ")),"")</f>
        <v/>
      </c>
      <c r="H344">
        <f>IF($F344=1,INDEX({10,12,13,14,15,16,17,18,19,20,21,23,24,25,26,27,28,29,30,31,32,34,35,36,37,38},1,FIND(MID($B344,2,1),"ABCDEFGHIJKLMNOPQRSTUVWXYZ")),"")</f>
        <v/>
      </c>
      <c r="I344">
        <f>IF($F344=1,INDEX({10,12,13,14,15,16,17,18,19,20,21,23,24,25,26,27,28,29,30,31,32,34,35,36,37,38},1,FIND(MID($B344,3,1),"ABCDEFGHIJKLMNOPQRSTUVWXYZ")),"")</f>
        <v/>
      </c>
      <c r="J344">
        <f>IF($F344=1,INDEX({10,12,13,14,15,16,17,18,19,20,21,23,24,25,26,27,28,29,30,31,32,34,35,36,37,38},1,FIND(MID($B344,4,1),"ABCDEFGHIJKLMNOPQRSTUVWXYZ")),"")</f>
        <v/>
      </c>
      <c r="K344">
        <f>IF($F344=1,FIND(MID($B344,5,1),"0123456789")-1,"")</f>
        <v/>
      </c>
      <c r="L344">
        <f>IF($F344=1,FIND(MID($B344,6,1),"0123456789")-1,"")</f>
        <v/>
      </c>
      <c r="M344">
        <f>IF($F344=1,FIND(MID($B344,7,1),"0123456789")-1,"")</f>
        <v/>
      </c>
      <c r="N344">
        <f>IF($F344=1,FIND(MID($B344,8,1),"0123456789")-1,"")</f>
        <v/>
      </c>
      <c r="O344">
        <f>IF($F344=1,FIND(MID($B344,9,1),"0123456789")-1,"")</f>
        <v/>
      </c>
      <c r="P344">
        <f>IF($F344=1,FIND(MID($B344,10,1),"0123456789")-1,"")</f>
        <v/>
      </c>
      <c r="Q344">
        <f>IF($F344=1,SUMPRODUCT($G344:$P344,{1,2,4,8,16,32,64,128,256,512}),"")</f>
        <v/>
      </c>
      <c r="R344">
        <f>IF($F344=1,MOD(MOD($Q344,11),10),"")</f>
        <v/>
      </c>
    </row>
    <row r="345">
      <c r="A345" s="6" t="n"/>
      <c r="B345" s="7">
        <f>IF($A345="","",UPPER(SUBSTITUTE(SUBSTITUTE(SUBSTITUTE(SUBSTITUTE(SUBSTITUTE(SUBSTITUTE($A345," ",""),"-",""),".",""),"/",""),"i","I"),"ı","?")))</f>
        <v/>
      </c>
      <c r="C345" s="8">
        <f>IF($F345=1,$R345,"")</f>
        <v/>
      </c>
      <c r="D345" s="7">
        <f>IF($A345="","",IF($F345=0,"Biçim hatalı",IF(FIND(MID($B345,11,1),"0123456789")-1=$R345,"Geçerli","Kontrol hanesi hatalı (doğrusu: "&amp;$R345&amp;")")))</f>
        <v/>
      </c>
      <c r="F345">
        <f>IF($A345="","",IF(AND(LEN($B345)=11,SUMPRODUCT(--ISNUMBER(FIND(MID($B345,{1,2,3},1),"ABCDEFGHIJKLMNOPQRSTUVWXYZ")))=3,ISNUMBER(FIND(MID($B345,4,1),"UJZ")),SUMPRODUCT(--ISNUMBER(FIND(MID($B345,{5,6,7,8,9,10,11},1),"0123456789")))=7),1,0))</f>
        <v/>
      </c>
      <c r="G345">
        <f>IF($F345=1,INDEX({10,12,13,14,15,16,17,18,19,20,21,23,24,25,26,27,28,29,30,31,32,34,35,36,37,38},1,FIND(MID($B345,1,1),"ABCDEFGHIJKLMNOPQRSTUVWXYZ")),"")</f>
        <v/>
      </c>
      <c r="H345">
        <f>IF($F345=1,INDEX({10,12,13,14,15,16,17,18,19,20,21,23,24,25,26,27,28,29,30,31,32,34,35,36,37,38},1,FIND(MID($B345,2,1),"ABCDEFGHIJKLMNOPQRSTUVWXYZ")),"")</f>
        <v/>
      </c>
      <c r="I345">
        <f>IF($F345=1,INDEX({10,12,13,14,15,16,17,18,19,20,21,23,24,25,26,27,28,29,30,31,32,34,35,36,37,38},1,FIND(MID($B345,3,1),"ABCDEFGHIJKLMNOPQRSTUVWXYZ")),"")</f>
        <v/>
      </c>
      <c r="J345">
        <f>IF($F345=1,INDEX({10,12,13,14,15,16,17,18,19,20,21,23,24,25,26,27,28,29,30,31,32,34,35,36,37,38},1,FIND(MID($B345,4,1),"ABCDEFGHIJKLMNOPQRSTUVWXYZ")),"")</f>
        <v/>
      </c>
      <c r="K345">
        <f>IF($F345=1,FIND(MID($B345,5,1),"0123456789")-1,"")</f>
        <v/>
      </c>
      <c r="L345">
        <f>IF($F345=1,FIND(MID($B345,6,1),"0123456789")-1,"")</f>
        <v/>
      </c>
      <c r="M345">
        <f>IF($F345=1,FIND(MID($B345,7,1),"0123456789")-1,"")</f>
        <v/>
      </c>
      <c r="N345">
        <f>IF($F345=1,FIND(MID($B345,8,1),"0123456789")-1,"")</f>
        <v/>
      </c>
      <c r="O345">
        <f>IF($F345=1,FIND(MID($B345,9,1),"0123456789")-1,"")</f>
        <v/>
      </c>
      <c r="P345">
        <f>IF($F345=1,FIND(MID($B345,10,1),"0123456789")-1,"")</f>
        <v/>
      </c>
      <c r="Q345">
        <f>IF($F345=1,SUMPRODUCT($G345:$P345,{1,2,4,8,16,32,64,128,256,512}),"")</f>
        <v/>
      </c>
      <c r="R345">
        <f>IF($F345=1,MOD(MOD($Q345,11),10),"")</f>
        <v/>
      </c>
    </row>
    <row r="346">
      <c r="A346" s="6" t="n"/>
      <c r="B346" s="7">
        <f>IF($A346="","",UPPER(SUBSTITUTE(SUBSTITUTE(SUBSTITUTE(SUBSTITUTE(SUBSTITUTE(SUBSTITUTE($A346," ",""),"-",""),".",""),"/",""),"i","I"),"ı","?")))</f>
        <v/>
      </c>
      <c r="C346" s="8">
        <f>IF($F346=1,$R346,"")</f>
        <v/>
      </c>
      <c r="D346" s="7">
        <f>IF($A346="","",IF($F346=0,"Biçim hatalı",IF(FIND(MID($B346,11,1),"0123456789")-1=$R346,"Geçerli","Kontrol hanesi hatalı (doğrusu: "&amp;$R346&amp;")")))</f>
        <v/>
      </c>
      <c r="F346">
        <f>IF($A346="","",IF(AND(LEN($B346)=11,SUMPRODUCT(--ISNUMBER(FIND(MID($B346,{1,2,3},1),"ABCDEFGHIJKLMNOPQRSTUVWXYZ")))=3,ISNUMBER(FIND(MID($B346,4,1),"UJZ")),SUMPRODUCT(--ISNUMBER(FIND(MID($B346,{5,6,7,8,9,10,11},1),"0123456789")))=7),1,0))</f>
        <v/>
      </c>
      <c r="G346">
        <f>IF($F346=1,INDEX({10,12,13,14,15,16,17,18,19,20,21,23,24,25,26,27,28,29,30,31,32,34,35,36,37,38},1,FIND(MID($B346,1,1),"ABCDEFGHIJKLMNOPQRSTUVWXYZ")),"")</f>
        <v/>
      </c>
      <c r="H346">
        <f>IF($F346=1,INDEX({10,12,13,14,15,16,17,18,19,20,21,23,24,25,26,27,28,29,30,31,32,34,35,36,37,38},1,FIND(MID($B346,2,1),"ABCDEFGHIJKLMNOPQRSTUVWXYZ")),"")</f>
        <v/>
      </c>
      <c r="I346">
        <f>IF($F346=1,INDEX({10,12,13,14,15,16,17,18,19,20,21,23,24,25,26,27,28,29,30,31,32,34,35,36,37,38},1,FIND(MID($B346,3,1),"ABCDEFGHIJKLMNOPQRSTUVWXYZ")),"")</f>
        <v/>
      </c>
      <c r="J346">
        <f>IF($F346=1,INDEX({10,12,13,14,15,16,17,18,19,20,21,23,24,25,26,27,28,29,30,31,32,34,35,36,37,38},1,FIND(MID($B346,4,1),"ABCDEFGHIJKLMNOPQRSTUVWXYZ")),"")</f>
        <v/>
      </c>
      <c r="K346">
        <f>IF($F346=1,FIND(MID($B346,5,1),"0123456789")-1,"")</f>
        <v/>
      </c>
      <c r="L346">
        <f>IF($F346=1,FIND(MID($B346,6,1),"0123456789")-1,"")</f>
        <v/>
      </c>
      <c r="M346">
        <f>IF($F346=1,FIND(MID($B346,7,1),"0123456789")-1,"")</f>
        <v/>
      </c>
      <c r="N346">
        <f>IF($F346=1,FIND(MID($B346,8,1),"0123456789")-1,"")</f>
        <v/>
      </c>
      <c r="O346">
        <f>IF($F346=1,FIND(MID($B346,9,1),"0123456789")-1,"")</f>
        <v/>
      </c>
      <c r="P346">
        <f>IF($F346=1,FIND(MID($B346,10,1),"0123456789")-1,"")</f>
        <v/>
      </c>
      <c r="Q346">
        <f>IF($F346=1,SUMPRODUCT($G346:$P346,{1,2,4,8,16,32,64,128,256,512}),"")</f>
        <v/>
      </c>
      <c r="R346">
        <f>IF($F346=1,MOD(MOD($Q346,11),10),"")</f>
        <v/>
      </c>
    </row>
    <row r="347">
      <c r="A347" s="6" t="n"/>
      <c r="B347" s="7">
        <f>IF($A347="","",UPPER(SUBSTITUTE(SUBSTITUTE(SUBSTITUTE(SUBSTITUTE(SUBSTITUTE(SUBSTITUTE($A347," ",""),"-",""),".",""),"/",""),"i","I"),"ı","?")))</f>
        <v/>
      </c>
      <c r="C347" s="8">
        <f>IF($F347=1,$R347,"")</f>
        <v/>
      </c>
      <c r="D347" s="7">
        <f>IF($A347="","",IF($F347=0,"Biçim hatalı",IF(FIND(MID($B347,11,1),"0123456789")-1=$R347,"Geçerli","Kontrol hanesi hatalı (doğrusu: "&amp;$R347&amp;")")))</f>
        <v/>
      </c>
      <c r="F347">
        <f>IF($A347="","",IF(AND(LEN($B347)=11,SUMPRODUCT(--ISNUMBER(FIND(MID($B347,{1,2,3},1),"ABCDEFGHIJKLMNOPQRSTUVWXYZ")))=3,ISNUMBER(FIND(MID($B347,4,1),"UJZ")),SUMPRODUCT(--ISNUMBER(FIND(MID($B347,{5,6,7,8,9,10,11},1),"0123456789")))=7),1,0))</f>
        <v/>
      </c>
      <c r="G347">
        <f>IF($F347=1,INDEX({10,12,13,14,15,16,17,18,19,20,21,23,24,25,26,27,28,29,30,31,32,34,35,36,37,38},1,FIND(MID($B347,1,1),"ABCDEFGHIJKLMNOPQRSTUVWXYZ")),"")</f>
        <v/>
      </c>
      <c r="H347">
        <f>IF($F347=1,INDEX({10,12,13,14,15,16,17,18,19,20,21,23,24,25,26,27,28,29,30,31,32,34,35,36,37,38},1,FIND(MID($B347,2,1),"ABCDEFGHIJKLMNOPQRSTUVWXYZ")),"")</f>
        <v/>
      </c>
      <c r="I347">
        <f>IF($F347=1,INDEX({10,12,13,14,15,16,17,18,19,20,21,23,24,25,26,27,28,29,30,31,32,34,35,36,37,38},1,FIND(MID($B347,3,1),"ABCDEFGHIJKLMNOPQRSTUVWXYZ")),"")</f>
        <v/>
      </c>
      <c r="J347">
        <f>IF($F347=1,INDEX({10,12,13,14,15,16,17,18,19,20,21,23,24,25,26,27,28,29,30,31,32,34,35,36,37,38},1,FIND(MID($B347,4,1),"ABCDEFGHIJKLMNOPQRSTUVWXYZ")),"")</f>
        <v/>
      </c>
      <c r="K347">
        <f>IF($F347=1,FIND(MID($B347,5,1),"0123456789")-1,"")</f>
        <v/>
      </c>
      <c r="L347">
        <f>IF($F347=1,FIND(MID($B347,6,1),"0123456789")-1,"")</f>
        <v/>
      </c>
      <c r="M347">
        <f>IF($F347=1,FIND(MID($B347,7,1),"0123456789")-1,"")</f>
        <v/>
      </c>
      <c r="N347">
        <f>IF($F347=1,FIND(MID($B347,8,1),"0123456789")-1,"")</f>
        <v/>
      </c>
      <c r="O347">
        <f>IF($F347=1,FIND(MID($B347,9,1),"0123456789")-1,"")</f>
        <v/>
      </c>
      <c r="P347">
        <f>IF($F347=1,FIND(MID($B347,10,1),"0123456789")-1,"")</f>
        <v/>
      </c>
      <c r="Q347">
        <f>IF($F347=1,SUMPRODUCT($G347:$P347,{1,2,4,8,16,32,64,128,256,512}),"")</f>
        <v/>
      </c>
      <c r="R347">
        <f>IF($F347=1,MOD(MOD($Q347,11),10),"")</f>
        <v/>
      </c>
    </row>
    <row r="348">
      <c r="A348" s="6" t="n"/>
      <c r="B348" s="7">
        <f>IF($A348="","",UPPER(SUBSTITUTE(SUBSTITUTE(SUBSTITUTE(SUBSTITUTE(SUBSTITUTE(SUBSTITUTE($A348," ",""),"-",""),".",""),"/",""),"i","I"),"ı","?")))</f>
        <v/>
      </c>
      <c r="C348" s="8">
        <f>IF($F348=1,$R348,"")</f>
        <v/>
      </c>
      <c r="D348" s="7">
        <f>IF($A348="","",IF($F348=0,"Biçim hatalı",IF(FIND(MID($B348,11,1),"0123456789")-1=$R348,"Geçerli","Kontrol hanesi hatalı (doğrusu: "&amp;$R348&amp;")")))</f>
        <v/>
      </c>
      <c r="F348">
        <f>IF($A348="","",IF(AND(LEN($B348)=11,SUMPRODUCT(--ISNUMBER(FIND(MID($B348,{1,2,3},1),"ABCDEFGHIJKLMNOPQRSTUVWXYZ")))=3,ISNUMBER(FIND(MID($B348,4,1),"UJZ")),SUMPRODUCT(--ISNUMBER(FIND(MID($B348,{5,6,7,8,9,10,11},1),"0123456789")))=7),1,0))</f>
        <v/>
      </c>
      <c r="G348">
        <f>IF($F348=1,INDEX({10,12,13,14,15,16,17,18,19,20,21,23,24,25,26,27,28,29,30,31,32,34,35,36,37,38},1,FIND(MID($B348,1,1),"ABCDEFGHIJKLMNOPQRSTUVWXYZ")),"")</f>
        <v/>
      </c>
      <c r="H348">
        <f>IF($F348=1,INDEX({10,12,13,14,15,16,17,18,19,20,21,23,24,25,26,27,28,29,30,31,32,34,35,36,37,38},1,FIND(MID($B348,2,1),"ABCDEFGHIJKLMNOPQRSTUVWXYZ")),"")</f>
        <v/>
      </c>
      <c r="I348">
        <f>IF($F348=1,INDEX({10,12,13,14,15,16,17,18,19,20,21,23,24,25,26,27,28,29,30,31,32,34,35,36,37,38},1,FIND(MID($B348,3,1),"ABCDEFGHIJKLMNOPQRSTUVWXYZ")),"")</f>
        <v/>
      </c>
      <c r="J348">
        <f>IF($F348=1,INDEX({10,12,13,14,15,16,17,18,19,20,21,23,24,25,26,27,28,29,30,31,32,34,35,36,37,38},1,FIND(MID($B348,4,1),"ABCDEFGHIJKLMNOPQRSTUVWXYZ")),"")</f>
        <v/>
      </c>
      <c r="K348">
        <f>IF($F348=1,FIND(MID($B348,5,1),"0123456789")-1,"")</f>
        <v/>
      </c>
      <c r="L348">
        <f>IF($F348=1,FIND(MID($B348,6,1),"0123456789")-1,"")</f>
        <v/>
      </c>
      <c r="M348">
        <f>IF($F348=1,FIND(MID($B348,7,1),"0123456789")-1,"")</f>
        <v/>
      </c>
      <c r="N348">
        <f>IF($F348=1,FIND(MID($B348,8,1),"0123456789")-1,"")</f>
        <v/>
      </c>
      <c r="O348">
        <f>IF($F348=1,FIND(MID($B348,9,1),"0123456789")-1,"")</f>
        <v/>
      </c>
      <c r="P348">
        <f>IF($F348=1,FIND(MID($B348,10,1),"0123456789")-1,"")</f>
        <v/>
      </c>
      <c r="Q348">
        <f>IF($F348=1,SUMPRODUCT($G348:$P348,{1,2,4,8,16,32,64,128,256,512}),"")</f>
        <v/>
      </c>
      <c r="R348">
        <f>IF($F348=1,MOD(MOD($Q348,11),10),"")</f>
        <v/>
      </c>
    </row>
    <row r="349">
      <c r="A349" s="6" t="n"/>
      <c r="B349" s="7">
        <f>IF($A349="","",UPPER(SUBSTITUTE(SUBSTITUTE(SUBSTITUTE(SUBSTITUTE(SUBSTITUTE(SUBSTITUTE($A349," ",""),"-",""),".",""),"/",""),"i","I"),"ı","?")))</f>
        <v/>
      </c>
      <c r="C349" s="8">
        <f>IF($F349=1,$R349,"")</f>
        <v/>
      </c>
      <c r="D349" s="7">
        <f>IF($A349="","",IF($F349=0,"Biçim hatalı",IF(FIND(MID($B349,11,1),"0123456789")-1=$R349,"Geçerli","Kontrol hanesi hatalı (doğrusu: "&amp;$R349&amp;")")))</f>
        <v/>
      </c>
      <c r="F349">
        <f>IF($A349="","",IF(AND(LEN($B349)=11,SUMPRODUCT(--ISNUMBER(FIND(MID($B349,{1,2,3},1),"ABCDEFGHIJKLMNOPQRSTUVWXYZ")))=3,ISNUMBER(FIND(MID($B349,4,1),"UJZ")),SUMPRODUCT(--ISNUMBER(FIND(MID($B349,{5,6,7,8,9,10,11},1),"0123456789")))=7),1,0))</f>
        <v/>
      </c>
      <c r="G349">
        <f>IF($F349=1,INDEX({10,12,13,14,15,16,17,18,19,20,21,23,24,25,26,27,28,29,30,31,32,34,35,36,37,38},1,FIND(MID($B349,1,1),"ABCDEFGHIJKLMNOPQRSTUVWXYZ")),"")</f>
        <v/>
      </c>
      <c r="H349">
        <f>IF($F349=1,INDEX({10,12,13,14,15,16,17,18,19,20,21,23,24,25,26,27,28,29,30,31,32,34,35,36,37,38},1,FIND(MID($B349,2,1),"ABCDEFGHIJKLMNOPQRSTUVWXYZ")),"")</f>
        <v/>
      </c>
      <c r="I349">
        <f>IF($F349=1,INDEX({10,12,13,14,15,16,17,18,19,20,21,23,24,25,26,27,28,29,30,31,32,34,35,36,37,38},1,FIND(MID($B349,3,1),"ABCDEFGHIJKLMNOPQRSTUVWXYZ")),"")</f>
        <v/>
      </c>
      <c r="J349">
        <f>IF($F349=1,INDEX({10,12,13,14,15,16,17,18,19,20,21,23,24,25,26,27,28,29,30,31,32,34,35,36,37,38},1,FIND(MID($B349,4,1),"ABCDEFGHIJKLMNOPQRSTUVWXYZ")),"")</f>
        <v/>
      </c>
      <c r="K349">
        <f>IF($F349=1,FIND(MID($B349,5,1),"0123456789")-1,"")</f>
        <v/>
      </c>
      <c r="L349">
        <f>IF($F349=1,FIND(MID($B349,6,1),"0123456789")-1,"")</f>
        <v/>
      </c>
      <c r="M349">
        <f>IF($F349=1,FIND(MID($B349,7,1),"0123456789")-1,"")</f>
        <v/>
      </c>
      <c r="N349">
        <f>IF($F349=1,FIND(MID($B349,8,1),"0123456789")-1,"")</f>
        <v/>
      </c>
      <c r="O349">
        <f>IF($F349=1,FIND(MID($B349,9,1),"0123456789")-1,"")</f>
        <v/>
      </c>
      <c r="P349">
        <f>IF($F349=1,FIND(MID($B349,10,1),"0123456789")-1,"")</f>
        <v/>
      </c>
      <c r="Q349">
        <f>IF($F349=1,SUMPRODUCT($G349:$P349,{1,2,4,8,16,32,64,128,256,512}),"")</f>
        <v/>
      </c>
      <c r="R349">
        <f>IF($F349=1,MOD(MOD($Q349,11),10),"")</f>
        <v/>
      </c>
    </row>
    <row r="350">
      <c r="A350" s="6" t="n"/>
      <c r="B350" s="7">
        <f>IF($A350="","",UPPER(SUBSTITUTE(SUBSTITUTE(SUBSTITUTE(SUBSTITUTE(SUBSTITUTE(SUBSTITUTE($A350," ",""),"-",""),".",""),"/",""),"i","I"),"ı","?")))</f>
        <v/>
      </c>
      <c r="C350" s="8">
        <f>IF($F350=1,$R350,"")</f>
        <v/>
      </c>
      <c r="D350" s="7">
        <f>IF($A350="","",IF($F350=0,"Biçim hatalı",IF(FIND(MID($B350,11,1),"0123456789")-1=$R350,"Geçerli","Kontrol hanesi hatalı (doğrusu: "&amp;$R350&amp;")")))</f>
        <v/>
      </c>
      <c r="F350">
        <f>IF($A350="","",IF(AND(LEN($B350)=11,SUMPRODUCT(--ISNUMBER(FIND(MID($B350,{1,2,3},1),"ABCDEFGHIJKLMNOPQRSTUVWXYZ")))=3,ISNUMBER(FIND(MID($B350,4,1),"UJZ")),SUMPRODUCT(--ISNUMBER(FIND(MID($B350,{5,6,7,8,9,10,11},1),"0123456789")))=7),1,0))</f>
        <v/>
      </c>
      <c r="G350">
        <f>IF($F350=1,INDEX({10,12,13,14,15,16,17,18,19,20,21,23,24,25,26,27,28,29,30,31,32,34,35,36,37,38},1,FIND(MID($B350,1,1),"ABCDEFGHIJKLMNOPQRSTUVWXYZ")),"")</f>
        <v/>
      </c>
      <c r="H350">
        <f>IF($F350=1,INDEX({10,12,13,14,15,16,17,18,19,20,21,23,24,25,26,27,28,29,30,31,32,34,35,36,37,38},1,FIND(MID($B350,2,1),"ABCDEFGHIJKLMNOPQRSTUVWXYZ")),"")</f>
        <v/>
      </c>
      <c r="I350">
        <f>IF($F350=1,INDEX({10,12,13,14,15,16,17,18,19,20,21,23,24,25,26,27,28,29,30,31,32,34,35,36,37,38},1,FIND(MID($B350,3,1),"ABCDEFGHIJKLMNOPQRSTUVWXYZ")),"")</f>
        <v/>
      </c>
      <c r="J350">
        <f>IF($F350=1,INDEX({10,12,13,14,15,16,17,18,19,20,21,23,24,25,26,27,28,29,30,31,32,34,35,36,37,38},1,FIND(MID($B350,4,1),"ABCDEFGHIJKLMNOPQRSTUVWXYZ")),"")</f>
        <v/>
      </c>
      <c r="K350">
        <f>IF($F350=1,FIND(MID($B350,5,1),"0123456789")-1,"")</f>
        <v/>
      </c>
      <c r="L350">
        <f>IF($F350=1,FIND(MID($B350,6,1),"0123456789")-1,"")</f>
        <v/>
      </c>
      <c r="M350">
        <f>IF($F350=1,FIND(MID($B350,7,1),"0123456789")-1,"")</f>
        <v/>
      </c>
      <c r="N350">
        <f>IF($F350=1,FIND(MID($B350,8,1),"0123456789")-1,"")</f>
        <v/>
      </c>
      <c r="O350">
        <f>IF($F350=1,FIND(MID($B350,9,1),"0123456789")-1,"")</f>
        <v/>
      </c>
      <c r="P350">
        <f>IF($F350=1,FIND(MID($B350,10,1),"0123456789")-1,"")</f>
        <v/>
      </c>
      <c r="Q350">
        <f>IF($F350=1,SUMPRODUCT($G350:$P350,{1,2,4,8,16,32,64,128,256,512}),"")</f>
        <v/>
      </c>
      <c r="R350">
        <f>IF($F350=1,MOD(MOD($Q350,11),10),"")</f>
        <v/>
      </c>
    </row>
    <row r="351">
      <c r="A351" s="6" t="n"/>
      <c r="B351" s="7">
        <f>IF($A351="","",UPPER(SUBSTITUTE(SUBSTITUTE(SUBSTITUTE(SUBSTITUTE(SUBSTITUTE(SUBSTITUTE($A351," ",""),"-",""),".",""),"/",""),"i","I"),"ı","?")))</f>
        <v/>
      </c>
      <c r="C351" s="8">
        <f>IF($F351=1,$R351,"")</f>
        <v/>
      </c>
      <c r="D351" s="7">
        <f>IF($A351="","",IF($F351=0,"Biçim hatalı",IF(FIND(MID($B351,11,1),"0123456789")-1=$R351,"Geçerli","Kontrol hanesi hatalı (doğrusu: "&amp;$R351&amp;")")))</f>
        <v/>
      </c>
      <c r="F351">
        <f>IF($A351="","",IF(AND(LEN($B351)=11,SUMPRODUCT(--ISNUMBER(FIND(MID($B351,{1,2,3},1),"ABCDEFGHIJKLMNOPQRSTUVWXYZ")))=3,ISNUMBER(FIND(MID($B351,4,1),"UJZ")),SUMPRODUCT(--ISNUMBER(FIND(MID($B351,{5,6,7,8,9,10,11},1),"0123456789")))=7),1,0))</f>
        <v/>
      </c>
      <c r="G351">
        <f>IF($F351=1,INDEX({10,12,13,14,15,16,17,18,19,20,21,23,24,25,26,27,28,29,30,31,32,34,35,36,37,38},1,FIND(MID($B351,1,1),"ABCDEFGHIJKLMNOPQRSTUVWXYZ")),"")</f>
        <v/>
      </c>
      <c r="H351">
        <f>IF($F351=1,INDEX({10,12,13,14,15,16,17,18,19,20,21,23,24,25,26,27,28,29,30,31,32,34,35,36,37,38},1,FIND(MID($B351,2,1),"ABCDEFGHIJKLMNOPQRSTUVWXYZ")),"")</f>
        <v/>
      </c>
      <c r="I351">
        <f>IF($F351=1,INDEX({10,12,13,14,15,16,17,18,19,20,21,23,24,25,26,27,28,29,30,31,32,34,35,36,37,38},1,FIND(MID($B351,3,1),"ABCDEFGHIJKLMNOPQRSTUVWXYZ")),"")</f>
        <v/>
      </c>
      <c r="J351">
        <f>IF($F351=1,INDEX({10,12,13,14,15,16,17,18,19,20,21,23,24,25,26,27,28,29,30,31,32,34,35,36,37,38},1,FIND(MID($B351,4,1),"ABCDEFGHIJKLMNOPQRSTUVWXYZ")),"")</f>
        <v/>
      </c>
      <c r="K351">
        <f>IF($F351=1,FIND(MID($B351,5,1),"0123456789")-1,"")</f>
        <v/>
      </c>
      <c r="L351">
        <f>IF($F351=1,FIND(MID($B351,6,1),"0123456789")-1,"")</f>
        <v/>
      </c>
      <c r="M351">
        <f>IF($F351=1,FIND(MID($B351,7,1),"0123456789")-1,"")</f>
        <v/>
      </c>
      <c r="N351">
        <f>IF($F351=1,FIND(MID($B351,8,1),"0123456789")-1,"")</f>
        <v/>
      </c>
      <c r="O351">
        <f>IF($F351=1,FIND(MID($B351,9,1),"0123456789")-1,"")</f>
        <v/>
      </c>
      <c r="P351">
        <f>IF($F351=1,FIND(MID($B351,10,1),"0123456789")-1,"")</f>
        <v/>
      </c>
      <c r="Q351">
        <f>IF($F351=1,SUMPRODUCT($G351:$P351,{1,2,4,8,16,32,64,128,256,512}),"")</f>
        <v/>
      </c>
      <c r="R351">
        <f>IF($F351=1,MOD(MOD($Q351,11),10),"")</f>
        <v/>
      </c>
    </row>
    <row r="352">
      <c r="A352" s="6" t="n"/>
      <c r="B352" s="7">
        <f>IF($A352="","",UPPER(SUBSTITUTE(SUBSTITUTE(SUBSTITUTE(SUBSTITUTE(SUBSTITUTE(SUBSTITUTE($A352," ",""),"-",""),".",""),"/",""),"i","I"),"ı","?")))</f>
        <v/>
      </c>
      <c r="C352" s="8">
        <f>IF($F352=1,$R352,"")</f>
        <v/>
      </c>
      <c r="D352" s="7">
        <f>IF($A352="","",IF($F352=0,"Biçim hatalı",IF(FIND(MID($B352,11,1),"0123456789")-1=$R352,"Geçerli","Kontrol hanesi hatalı (doğrusu: "&amp;$R352&amp;")")))</f>
        <v/>
      </c>
      <c r="F352">
        <f>IF($A352="","",IF(AND(LEN($B352)=11,SUMPRODUCT(--ISNUMBER(FIND(MID($B352,{1,2,3},1),"ABCDEFGHIJKLMNOPQRSTUVWXYZ")))=3,ISNUMBER(FIND(MID($B352,4,1),"UJZ")),SUMPRODUCT(--ISNUMBER(FIND(MID($B352,{5,6,7,8,9,10,11},1),"0123456789")))=7),1,0))</f>
        <v/>
      </c>
      <c r="G352">
        <f>IF($F352=1,INDEX({10,12,13,14,15,16,17,18,19,20,21,23,24,25,26,27,28,29,30,31,32,34,35,36,37,38},1,FIND(MID($B352,1,1),"ABCDEFGHIJKLMNOPQRSTUVWXYZ")),"")</f>
        <v/>
      </c>
      <c r="H352">
        <f>IF($F352=1,INDEX({10,12,13,14,15,16,17,18,19,20,21,23,24,25,26,27,28,29,30,31,32,34,35,36,37,38},1,FIND(MID($B352,2,1),"ABCDEFGHIJKLMNOPQRSTUVWXYZ")),"")</f>
        <v/>
      </c>
      <c r="I352">
        <f>IF($F352=1,INDEX({10,12,13,14,15,16,17,18,19,20,21,23,24,25,26,27,28,29,30,31,32,34,35,36,37,38},1,FIND(MID($B352,3,1),"ABCDEFGHIJKLMNOPQRSTUVWXYZ")),"")</f>
        <v/>
      </c>
      <c r="J352">
        <f>IF($F352=1,INDEX({10,12,13,14,15,16,17,18,19,20,21,23,24,25,26,27,28,29,30,31,32,34,35,36,37,38},1,FIND(MID($B352,4,1),"ABCDEFGHIJKLMNOPQRSTUVWXYZ")),"")</f>
        <v/>
      </c>
      <c r="K352">
        <f>IF($F352=1,FIND(MID($B352,5,1),"0123456789")-1,"")</f>
        <v/>
      </c>
      <c r="L352">
        <f>IF($F352=1,FIND(MID($B352,6,1),"0123456789")-1,"")</f>
        <v/>
      </c>
      <c r="M352">
        <f>IF($F352=1,FIND(MID($B352,7,1),"0123456789")-1,"")</f>
        <v/>
      </c>
      <c r="N352">
        <f>IF($F352=1,FIND(MID($B352,8,1),"0123456789")-1,"")</f>
        <v/>
      </c>
      <c r="O352">
        <f>IF($F352=1,FIND(MID($B352,9,1),"0123456789")-1,"")</f>
        <v/>
      </c>
      <c r="P352">
        <f>IF($F352=1,FIND(MID($B352,10,1),"0123456789")-1,"")</f>
        <v/>
      </c>
      <c r="Q352">
        <f>IF($F352=1,SUMPRODUCT($G352:$P352,{1,2,4,8,16,32,64,128,256,512}),"")</f>
        <v/>
      </c>
      <c r="R352">
        <f>IF($F352=1,MOD(MOD($Q352,11),10),"")</f>
        <v/>
      </c>
    </row>
    <row r="353">
      <c r="A353" s="6" t="n"/>
      <c r="B353" s="7">
        <f>IF($A353="","",UPPER(SUBSTITUTE(SUBSTITUTE(SUBSTITUTE(SUBSTITUTE(SUBSTITUTE(SUBSTITUTE($A353," ",""),"-",""),".",""),"/",""),"i","I"),"ı","?")))</f>
        <v/>
      </c>
      <c r="C353" s="8">
        <f>IF($F353=1,$R353,"")</f>
        <v/>
      </c>
      <c r="D353" s="7">
        <f>IF($A353="","",IF($F353=0,"Biçim hatalı",IF(FIND(MID($B353,11,1),"0123456789")-1=$R353,"Geçerli","Kontrol hanesi hatalı (doğrusu: "&amp;$R353&amp;")")))</f>
        <v/>
      </c>
      <c r="F353">
        <f>IF($A353="","",IF(AND(LEN($B353)=11,SUMPRODUCT(--ISNUMBER(FIND(MID($B353,{1,2,3},1),"ABCDEFGHIJKLMNOPQRSTUVWXYZ")))=3,ISNUMBER(FIND(MID($B353,4,1),"UJZ")),SUMPRODUCT(--ISNUMBER(FIND(MID($B353,{5,6,7,8,9,10,11},1),"0123456789")))=7),1,0))</f>
        <v/>
      </c>
      <c r="G353">
        <f>IF($F353=1,INDEX({10,12,13,14,15,16,17,18,19,20,21,23,24,25,26,27,28,29,30,31,32,34,35,36,37,38},1,FIND(MID($B353,1,1),"ABCDEFGHIJKLMNOPQRSTUVWXYZ")),"")</f>
        <v/>
      </c>
      <c r="H353">
        <f>IF($F353=1,INDEX({10,12,13,14,15,16,17,18,19,20,21,23,24,25,26,27,28,29,30,31,32,34,35,36,37,38},1,FIND(MID($B353,2,1),"ABCDEFGHIJKLMNOPQRSTUVWXYZ")),"")</f>
        <v/>
      </c>
      <c r="I353">
        <f>IF($F353=1,INDEX({10,12,13,14,15,16,17,18,19,20,21,23,24,25,26,27,28,29,30,31,32,34,35,36,37,38},1,FIND(MID($B353,3,1),"ABCDEFGHIJKLMNOPQRSTUVWXYZ")),"")</f>
        <v/>
      </c>
      <c r="J353">
        <f>IF($F353=1,INDEX({10,12,13,14,15,16,17,18,19,20,21,23,24,25,26,27,28,29,30,31,32,34,35,36,37,38},1,FIND(MID($B353,4,1),"ABCDEFGHIJKLMNOPQRSTUVWXYZ")),"")</f>
        <v/>
      </c>
      <c r="K353">
        <f>IF($F353=1,FIND(MID($B353,5,1),"0123456789")-1,"")</f>
        <v/>
      </c>
      <c r="L353">
        <f>IF($F353=1,FIND(MID($B353,6,1),"0123456789")-1,"")</f>
        <v/>
      </c>
      <c r="M353">
        <f>IF($F353=1,FIND(MID($B353,7,1),"0123456789")-1,"")</f>
        <v/>
      </c>
      <c r="N353">
        <f>IF($F353=1,FIND(MID($B353,8,1),"0123456789")-1,"")</f>
        <v/>
      </c>
      <c r="O353">
        <f>IF($F353=1,FIND(MID($B353,9,1),"0123456789")-1,"")</f>
        <v/>
      </c>
      <c r="P353">
        <f>IF($F353=1,FIND(MID($B353,10,1),"0123456789")-1,"")</f>
        <v/>
      </c>
      <c r="Q353">
        <f>IF($F353=1,SUMPRODUCT($G353:$P353,{1,2,4,8,16,32,64,128,256,512}),"")</f>
        <v/>
      </c>
      <c r="R353">
        <f>IF($F353=1,MOD(MOD($Q353,11),10),"")</f>
        <v/>
      </c>
    </row>
    <row r="354">
      <c r="A354" s="6" t="n"/>
      <c r="B354" s="7">
        <f>IF($A354="","",UPPER(SUBSTITUTE(SUBSTITUTE(SUBSTITUTE(SUBSTITUTE(SUBSTITUTE(SUBSTITUTE($A354," ",""),"-",""),".",""),"/",""),"i","I"),"ı","?")))</f>
        <v/>
      </c>
      <c r="C354" s="8">
        <f>IF($F354=1,$R354,"")</f>
        <v/>
      </c>
      <c r="D354" s="7">
        <f>IF($A354="","",IF($F354=0,"Biçim hatalı",IF(FIND(MID($B354,11,1),"0123456789")-1=$R354,"Geçerli","Kontrol hanesi hatalı (doğrusu: "&amp;$R354&amp;")")))</f>
        <v/>
      </c>
      <c r="F354">
        <f>IF($A354="","",IF(AND(LEN($B354)=11,SUMPRODUCT(--ISNUMBER(FIND(MID($B354,{1,2,3},1),"ABCDEFGHIJKLMNOPQRSTUVWXYZ")))=3,ISNUMBER(FIND(MID($B354,4,1),"UJZ")),SUMPRODUCT(--ISNUMBER(FIND(MID($B354,{5,6,7,8,9,10,11},1),"0123456789")))=7),1,0))</f>
        <v/>
      </c>
      <c r="G354">
        <f>IF($F354=1,INDEX({10,12,13,14,15,16,17,18,19,20,21,23,24,25,26,27,28,29,30,31,32,34,35,36,37,38},1,FIND(MID($B354,1,1),"ABCDEFGHIJKLMNOPQRSTUVWXYZ")),"")</f>
        <v/>
      </c>
      <c r="H354">
        <f>IF($F354=1,INDEX({10,12,13,14,15,16,17,18,19,20,21,23,24,25,26,27,28,29,30,31,32,34,35,36,37,38},1,FIND(MID($B354,2,1),"ABCDEFGHIJKLMNOPQRSTUVWXYZ")),"")</f>
        <v/>
      </c>
      <c r="I354">
        <f>IF($F354=1,INDEX({10,12,13,14,15,16,17,18,19,20,21,23,24,25,26,27,28,29,30,31,32,34,35,36,37,38},1,FIND(MID($B354,3,1),"ABCDEFGHIJKLMNOPQRSTUVWXYZ")),"")</f>
        <v/>
      </c>
      <c r="J354">
        <f>IF($F354=1,INDEX({10,12,13,14,15,16,17,18,19,20,21,23,24,25,26,27,28,29,30,31,32,34,35,36,37,38},1,FIND(MID($B354,4,1),"ABCDEFGHIJKLMNOPQRSTUVWXYZ")),"")</f>
        <v/>
      </c>
      <c r="K354">
        <f>IF($F354=1,FIND(MID($B354,5,1),"0123456789")-1,"")</f>
        <v/>
      </c>
      <c r="L354">
        <f>IF($F354=1,FIND(MID($B354,6,1),"0123456789")-1,"")</f>
        <v/>
      </c>
      <c r="M354">
        <f>IF($F354=1,FIND(MID($B354,7,1),"0123456789")-1,"")</f>
        <v/>
      </c>
      <c r="N354">
        <f>IF($F354=1,FIND(MID($B354,8,1),"0123456789")-1,"")</f>
        <v/>
      </c>
      <c r="O354">
        <f>IF($F354=1,FIND(MID($B354,9,1),"0123456789")-1,"")</f>
        <v/>
      </c>
      <c r="P354">
        <f>IF($F354=1,FIND(MID($B354,10,1),"0123456789")-1,"")</f>
        <v/>
      </c>
      <c r="Q354">
        <f>IF($F354=1,SUMPRODUCT($G354:$P354,{1,2,4,8,16,32,64,128,256,512}),"")</f>
        <v/>
      </c>
      <c r="R354">
        <f>IF($F354=1,MOD(MOD($Q354,11),10),"")</f>
        <v/>
      </c>
    </row>
    <row r="355">
      <c r="A355" s="6" t="n"/>
      <c r="B355" s="7">
        <f>IF($A355="","",UPPER(SUBSTITUTE(SUBSTITUTE(SUBSTITUTE(SUBSTITUTE(SUBSTITUTE(SUBSTITUTE($A355," ",""),"-",""),".",""),"/",""),"i","I"),"ı","?")))</f>
        <v/>
      </c>
      <c r="C355" s="8">
        <f>IF($F355=1,$R355,"")</f>
        <v/>
      </c>
      <c r="D355" s="7">
        <f>IF($A355="","",IF($F355=0,"Biçim hatalı",IF(FIND(MID($B355,11,1),"0123456789")-1=$R355,"Geçerli","Kontrol hanesi hatalı (doğrusu: "&amp;$R355&amp;")")))</f>
        <v/>
      </c>
      <c r="F355">
        <f>IF($A355="","",IF(AND(LEN($B355)=11,SUMPRODUCT(--ISNUMBER(FIND(MID($B355,{1,2,3},1),"ABCDEFGHIJKLMNOPQRSTUVWXYZ")))=3,ISNUMBER(FIND(MID($B355,4,1),"UJZ")),SUMPRODUCT(--ISNUMBER(FIND(MID($B355,{5,6,7,8,9,10,11},1),"0123456789")))=7),1,0))</f>
        <v/>
      </c>
      <c r="G355">
        <f>IF($F355=1,INDEX({10,12,13,14,15,16,17,18,19,20,21,23,24,25,26,27,28,29,30,31,32,34,35,36,37,38},1,FIND(MID($B355,1,1),"ABCDEFGHIJKLMNOPQRSTUVWXYZ")),"")</f>
        <v/>
      </c>
      <c r="H355">
        <f>IF($F355=1,INDEX({10,12,13,14,15,16,17,18,19,20,21,23,24,25,26,27,28,29,30,31,32,34,35,36,37,38},1,FIND(MID($B355,2,1),"ABCDEFGHIJKLMNOPQRSTUVWXYZ")),"")</f>
        <v/>
      </c>
      <c r="I355">
        <f>IF($F355=1,INDEX({10,12,13,14,15,16,17,18,19,20,21,23,24,25,26,27,28,29,30,31,32,34,35,36,37,38},1,FIND(MID($B355,3,1),"ABCDEFGHIJKLMNOPQRSTUVWXYZ")),"")</f>
        <v/>
      </c>
      <c r="J355">
        <f>IF($F355=1,INDEX({10,12,13,14,15,16,17,18,19,20,21,23,24,25,26,27,28,29,30,31,32,34,35,36,37,38},1,FIND(MID($B355,4,1),"ABCDEFGHIJKLMNOPQRSTUVWXYZ")),"")</f>
        <v/>
      </c>
      <c r="K355">
        <f>IF($F355=1,FIND(MID($B355,5,1),"0123456789")-1,"")</f>
        <v/>
      </c>
      <c r="L355">
        <f>IF($F355=1,FIND(MID($B355,6,1),"0123456789")-1,"")</f>
        <v/>
      </c>
      <c r="M355">
        <f>IF($F355=1,FIND(MID($B355,7,1),"0123456789")-1,"")</f>
        <v/>
      </c>
      <c r="N355">
        <f>IF($F355=1,FIND(MID($B355,8,1),"0123456789")-1,"")</f>
        <v/>
      </c>
      <c r="O355">
        <f>IF($F355=1,FIND(MID($B355,9,1),"0123456789")-1,"")</f>
        <v/>
      </c>
      <c r="P355">
        <f>IF($F355=1,FIND(MID($B355,10,1),"0123456789")-1,"")</f>
        <v/>
      </c>
      <c r="Q355">
        <f>IF($F355=1,SUMPRODUCT($G355:$P355,{1,2,4,8,16,32,64,128,256,512}),"")</f>
        <v/>
      </c>
      <c r="R355">
        <f>IF($F355=1,MOD(MOD($Q355,11),10),"")</f>
        <v/>
      </c>
    </row>
    <row r="356">
      <c r="A356" s="6" t="n"/>
      <c r="B356" s="7">
        <f>IF($A356="","",UPPER(SUBSTITUTE(SUBSTITUTE(SUBSTITUTE(SUBSTITUTE(SUBSTITUTE(SUBSTITUTE($A356," ",""),"-",""),".",""),"/",""),"i","I"),"ı","?")))</f>
        <v/>
      </c>
      <c r="C356" s="8">
        <f>IF($F356=1,$R356,"")</f>
        <v/>
      </c>
      <c r="D356" s="7">
        <f>IF($A356="","",IF($F356=0,"Biçim hatalı",IF(FIND(MID($B356,11,1),"0123456789")-1=$R356,"Geçerli","Kontrol hanesi hatalı (doğrusu: "&amp;$R356&amp;")")))</f>
        <v/>
      </c>
      <c r="F356">
        <f>IF($A356="","",IF(AND(LEN($B356)=11,SUMPRODUCT(--ISNUMBER(FIND(MID($B356,{1,2,3},1),"ABCDEFGHIJKLMNOPQRSTUVWXYZ")))=3,ISNUMBER(FIND(MID($B356,4,1),"UJZ")),SUMPRODUCT(--ISNUMBER(FIND(MID($B356,{5,6,7,8,9,10,11},1),"0123456789")))=7),1,0))</f>
        <v/>
      </c>
      <c r="G356">
        <f>IF($F356=1,INDEX({10,12,13,14,15,16,17,18,19,20,21,23,24,25,26,27,28,29,30,31,32,34,35,36,37,38},1,FIND(MID($B356,1,1),"ABCDEFGHIJKLMNOPQRSTUVWXYZ")),"")</f>
        <v/>
      </c>
      <c r="H356">
        <f>IF($F356=1,INDEX({10,12,13,14,15,16,17,18,19,20,21,23,24,25,26,27,28,29,30,31,32,34,35,36,37,38},1,FIND(MID($B356,2,1),"ABCDEFGHIJKLMNOPQRSTUVWXYZ")),"")</f>
        <v/>
      </c>
      <c r="I356">
        <f>IF($F356=1,INDEX({10,12,13,14,15,16,17,18,19,20,21,23,24,25,26,27,28,29,30,31,32,34,35,36,37,38},1,FIND(MID($B356,3,1),"ABCDEFGHIJKLMNOPQRSTUVWXYZ")),"")</f>
        <v/>
      </c>
      <c r="J356">
        <f>IF($F356=1,INDEX({10,12,13,14,15,16,17,18,19,20,21,23,24,25,26,27,28,29,30,31,32,34,35,36,37,38},1,FIND(MID($B356,4,1),"ABCDEFGHIJKLMNOPQRSTUVWXYZ")),"")</f>
        <v/>
      </c>
      <c r="K356">
        <f>IF($F356=1,FIND(MID($B356,5,1),"0123456789")-1,"")</f>
        <v/>
      </c>
      <c r="L356">
        <f>IF($F356=1,FIND(MID($B356,6,1),"0123456789")-1,"")</f>
        <v/>
      </c>
      <c r="M356">
        <f>IF($F356=1,FIND(MID($B356,7,1),"0123456789")-1,"")</f>
        <v/>
      </c>
      <c r="N356">
        <f>IF($F356=1,FIND(MID($B356,8,1),"0123456789")-1,"")</f>
        <v/>
      </c>
      <c r="O356">
        <f>IF($F356=1,FIND(MID($B356,9,1),"0123456789")-1,"")</f>
        <v/>
      </c>
      <c r="P356">
        <f>IF($F356=1,FIND(MID($B356,10,1),"0123456789")-1,"")</f>
        <v/>
      </c>
      <c r="Q356">
        <f>IF($F356=1,SUMPRODUCT($G356:$P356,{1,2,4,8,16,32,64,128,256,512}),"")</f>
        <v/>
      </c>
      <c r="R356">
        <f>IF($F356=1,MOD(MOD($Q356,11),10),"")</f>
        <v/>
      </c>
    </row>
    <row r="357">
      <c r="A357" s="6" t="n"/>
      <c r="B357" s="7">
        <f>IF($A357="","",UPPER(SUBSTITUTE(SUBSTITUTE(SUBSTITUTE(SUBSTITUTE(SUBSTITUTE(SUBSTITUTE($A357," ",""),"-",""),".",""),"/",""),"i","I"),"ı","?")))</f>
        <v/>
      </c>
      <c r="C357" s="8">
        <f>IF($F357=1,$R357,"")</f>
        <v/>
      </c>
      <c r="D357" s="7">
        <f>IF($A357="","",IF($F357=0,"Biçim hatalı",IF(FIND(MID($B357,11,1),"0123456789")-1=$R357,"Geçerli","Kontrol hanesi hatalı (doğrusu: "&amp;$R357&amp;")")))</f>
        <v/>
      </c>
      <c r="F357">
        <f>IF($A357="","",IF(AND(LEN($B357)=11,SUMPRODUCT(--ISNUMBER(FIND(MID($B357,{1,2,3},1),"ABCDEFGHIJKLMNOPQRSTUVWXYZ")))=3,ISNUMBER(FIND(MID($B357,4,1),"UJZ")),SUMPRODUCT(--ISNUMBER(FIND(MID($B357,{5,6,7,8,9,10,11},1),"0123456789")))=7),1,0))</f>
        <v/>
      </c>
      <c r="G357">
        <f>IF($F357=1,INDEX({10,12,13,14,15,16,17,18,19,20,21,23,24,25,26,27,28,29,30,31,32,34,35,36,37,38},1,FIND(MID($B357,1,1),"ABCDEFGHIJKLMNOPQRSTUVWXYZ")),"")</f>
        <v/>
      </c>
      <c r="H357">
        <f>IF($F357=1,INDEX({10,12,13,14,15,16,17,18,19,20,21,23,24,25,26,27,28,29,30,31,32,34,35,36,37,38},1,FIND(MID($B357,2,1),"ABCDEFGHIJKLMNOPQRSTUVWXYZ")),"")</f>
        <v/>
      </c>
      <c r="I357">
        <f>IF($F357=1,INDEX({10,12,13,14,15,16,17,18,19,20,21,23,24,25,26,27,28,29,30,31,32,34,35,36,37,38},1,FIND(MID($B357,3,1),"ABCDEFGHIJKLMNOPQRSTUVWXYZ")),"")</f>
        <v/>
      </c>
      <c r="J357">
        <f>IF($F357=1,INDEX({10,12,13,14,15,16,17,18,19,20,21,23,24,25,26,27,28,29,30,31,32,34,35,36,37,38},1,FIND(MID($B357,4,1),"ABCDEFGHIJKLMNOPQRSTUVWXYZ")),"")</f>
        <v/>
      </c>
      <c r="K357">
        <f>IF($F357=1,FIND(MID($B357,5,1),"0123456789")-1,"")</f>
        <v/>
      </c>
      <c r="L357">
        <f>IF($F357=1,FIND(MID($B357,6,1),"0123456789")-1,"")</f>
        <v/>
      </c>
      <c r="M357">
        <f>IF($F357=1,FIND(MID($B357,7,1),"0123456789")-1,"")</f>
        <v/>
      </c>
      <c r="N357">
        <f>IF($F357=1,FIND(MID($B357,8,1),"0123456789")-1,"")</f>
        <v/>
      </c>
      <c r="O357">
        <f>IF($F357=1,FIND(MID($B357,9,1),"0123456789")-1,"")</f>
        <v/>
      </c>
      <c r="P357">
        <f>IF($F357=1,FIND(MID($B357,10,1),"0123456789")-1,"")</f>
        <v/>
      </c>
      <c r="Q357">
        <f>IF($F357=1,SUMPRODUCT($G357:$P357,{1,2,4,8,16,32,64,128,256,512}),"")</f>
        <v/>
      </c>
      <c r="R357">
        <f>IF($F357=1,MOD(MOD($Q357,11),10),"")</f>
        <v/>
      </c>
    </row>
    <row r="358">
      <c r="A358" s="6" t="n"/>
      <c r="B358" s="7">
        <f>IF($A358="","",UPPER(SUBSTITUTE(SUBSTITUTE(SUBSTITUTE(SUBSTITUTE(SUBSTITUTE(SUBSTITUTE($A358," ",""),"-",""),".",""),"/",""),"i","I"),"ı","?")))</f>
        <v/>
      </c>
      <c r="C358" s="8">
        <f>IF($F358=1,$R358,"")</f>
        <v/>
      </c>
      <c r="D358" s="7">
        <f>IF($A358="","",IF($F358=0,"Biçim hatalı",IF(FIND(MID($B358,11,1),"0123456789")-1=$R358,"Geçerli","Kontrol hanesi hatalı (doğrusu: "&amp;$R358&amp;")")))</f>
        <v/>
      </c>
      <c r="F358">
        <f>IF($A358="","",IF(AND(LEN($B358)=11,SUMPRODUCT(--ISNUMBER(FIND(MID($B358,{1,2,3},1),"ABCDEFGHIJKLMNOPQRSTUVWXYZ")))=3,ISNUMBER(FIND(MID($B358,4,1),"UJZ")),SUMPRODUCT(--ISNUMBER(FIND(MID($B358,{5,6,7,8,9,10,11},1),"0123456789")))=7),1,0))</f>
        <v/>
      </c>
      <c r="G358">
        <f>IF($F358=1,INDEX({10,12,13,14,15,16,17,18,19,20,21,23,24,25,26,27,28,29,30,31,32,34,35,36,37,38},1,FIND(MID($B358,1,1),"ABCDEFGHIJKLMNOPQRSTUVWXYZ")),"")</f>
        <v/>
      </c>
      <c r="H358">
        <f>IF($F358=1,INDEX({10,12,13,14,15,16,17,18,19,20,21,23,24,25,26,27,28,29,30,31,32,34,35,36,37,38},1,FIND(MID($B358,2,1),"ABCDEFGHIJKLMNOPQRSTUVWXYZ")),"")</f>
        <v/>
      </c>
      <c r="I358">
        <f>IF($F358=1,INDEX({10,12,13,14,15,16,17,18,19,20,21,23,24,25,26,27,28,29,30,31,32,34,35,36,37,38},1,FIND(MID($B358,3,1),"ABCDEFGHIJKLMNOPQRSTUVWXYZ")),"")</f>
        <v/>
      </c>
      <c r="J358">
        <f>IF($F358=1,INDEX({10,12,13,14,15,16,17,18,19,20,21,23,24,25,26,27,28,29,30,31,32,34,35,36,37,38},1,FIND(MID($B358,4,1),"ABCDEFGHIJKLMNOPQRSTUVWXYZ")),"")</f>
        <v/>
      </c>
      <c r="K358">
        <f>IF($F358=1,FIND(MID($B358,5,1),"0123456789")-1,"")</f>
        <v/>
      </c>
      <c r="L358">
        <f>IF($F358=1,FIND(MID($B358,6,1),"0123456789")-1,"")</f>
        <v/>
      </c>
      <c r="M358">
        <f>IF($F358=1,FIND(MID($B358,7,1),"0123456789")-1,"")</f>
        <v/>
      </c>
      <c r="N358">
        <f>IF($F358=1,FIND(MID($B358,8,1),"0123456789")-1,"")</f>
        <v/>
      </c>
      <c r="O358">
        <f>IF($F358=1,FIND(MID($B358,9,1),"0123456789")-1,"")</f>
        <v/>
      </c>
      <c r="P358">
        <f>IF($F358=1,FIND(MID($B358,10,1),"0123456789")-1,"")</f>
        <v/>
      </c>
      <c r="Q358">
        <f>IF($F358=1,SUMPRODUCT($G358:$P358,{1,2,4,8,16,32,64,128,256,512}),"")</f>
        <v/>
      </c>
      <c r="R358">
        <f>IF($F358=1,MOD(MOD($Q358,11),10),"")</f>
        <v/>
      </c>
    </row>
    <row r="359">
      <c r="A359" s="6" t="n"/>
      <c r="B359" s="7">
        <f>IF($A359="","",UPPER(SUBSTITUTE(SUBSTITUTE(SUBSTITUTE(SUBSTITUTE(SUBSTITUTE(SUBSTITUTE($A359," ",""),"-",""),".",""),"/",""),"i","I"),"ı","?")))</f>
        <v/>
      </c>
      <c r="C359" s="8">
        <f>IF($F359=1,$R359,"")</f>
        <v/>
      </c>
      <c r="D359" s="7">
        <f>IF($A359="","",IF($F359=0,"Biçim hatalı",IF(FIND(MID($B359,11,1),"0123456789")-1=$R359,"Geçerli","Kontrol hanesi hatalı (doğrusu: "&amp;$R359&amp;")")))</f>
        <v/>
      </c>
      <c r="F359">
        <f>IF($A359="","",IF(AND(LEN($B359)=11,SUMPRODUCT(--ISNUMBER(FIND(MID($B359,{1,2,3},1),"ABCDEFGHIJKLMNOPQRSTUVWXYZ")))=3,ISNUMBER(FIND(MID($B359,4,1),"UJZ")),SUMPRODUCT(--ISNUMBER(FIND(MID($B359,{5,6,7,8,9,10,11},1),"0123456789")))=7),1,0))</f>
        <v/>
      </c>
      <c r="G359">
        <f>IF($F359=1,INDEX({10,12,13,14,15,16,17,18,19,20,21,23,24,25,26,27,28,29,30,31,32,34,35,36,37,38},1,FIND(MID($B359,1,1),"ABCDEFGHIJKLMNOPQRSTUVWXYZ")),"")</f>
        <v/>
      </c>
      <c r="H359">
        <f>IF($F359=1,INDEX({10,12,13,14,15,16,17,18,19,20,21,23,24,25,26,27,28,29,30,31,32,34,35,36,37,38},1,FIND(MID($B359,2,1),"ABCDEFGHIJKLMNOPQRSTUVWXYZ")),"")</f>
        <v/>
      </c>
      <c r="I359">
        <f>IF($F359=1,INDEX({10,12,13,14,15,16,17,18,19,20,21,23,24,25,26,27,28,29,30,31,32,34,35,36,37,38},1,FIND(MID($B359,3,1),"ABCDEFGHIJKLMNOPQRSTUVWXYZ")),"")</f>
        <v/>
      </c>
      <c r="J359">
        <f>IF($F359=1,INDEX({10,12,13,14,15,16,17,18,19,20,21,23,24,25,26,27,28,29,30,31,32,34,35,36,37,38},1,FIND(MID($B359,4,1),"ABCDEFGHIJKLMNOPQRSTUVWXYZ")),"")</f>
        <v/>
      </c>
      <c r="K359">
        <f>IF($F359=1,FIND(MID($B359,5,1),"0123456789")-1,"")</f>
        <v/>
      </c>
      <c r="L359">
        <f>IF($F359=1,FIND(MID($B359,6,1),"0123456789")-1,"")</f>
        <v/>
      </c>
      <c r="M359">
        <f>IF($F359=1,FIND(MID($B359,7,1),"0123456789")-1,"")</f>
        <v/>
      </c>
      <c r="N359">
        <f>IF($F359=1,FIND(MID($B359,8,1),"0123456789")-1,"")</f>
        <v/>
      </c>
      <c r="O359">
        <f>IF($F359=1,FIND(MID($B359,9,1),"0123456789")-1,"")</f>
        <v/>
      </c>
      <c r="P359">
        <f>IF($F359=1,FIND(MID($B359,10,1),"0123456789")-1,"")</f>
        <v/>
      </c>
      <c r="Q359">
        <f>IF($F359=1,SUMPRODUCT($G359:$P359,{1,2,4,8,16,32,64,128,256,512}),"")</f>
        <v/>
      </c>
      <c r="R359">
        <f>IF($F359=1,MOD(MOD($Q359,11),10),"")</f>
        <v/>
      </c>
    </row>
    <row r="360">
      <c r="A360" s="6" t="n"/>
      <c r="B360" s="7">
        <f>IF($A360="","",UPPER(SUBSTITUTE(SUBSTITUTE(SUBSTITUTE(SUBSTITUTE(SUBSTITUTE(SUBSTITUTE($A360," ",""),"-",""),".",""),"/",""),"i","I"),"ı","?")))</f>
        <v/>
      </c>
      <c r="C360" s="8">
        <f>IF($F360=1,$R360,"")</f>
        <v/>
      </c>
      <c r="D360" s="7">
        <f>IF($A360="","",IF($F360=0,"Biçim hatalı",IF(FIND(MID($B360,11,1),"0123456789")-1=$R360,"Geçerli","Kontrol hanesi hatalı (doğrusu: "&amp;$R360&amp;")")))</f>
        <v/>
      </c>
      <c r="F360">
        <f>IF($A360="","",IF(AND(LEN($B360)=11,SUMPRODUCT(--ISNUMBER(FIND(MID($B360,{1,2,3},1),"ABCDEFGHIJKLMNOPQRSTUVWXYZ")))=3,ISNUMBER(FIND(MID($B360,4,1),"UJZ")),SUMPRODUCT(--ISNUMBER(FIND(MID($B360,{5,6,7,8,9,10,11},1),"0123456789")))=7),1,0))</f>
        <v/>
      </c>
      <c r="G360">
        <f>IF($F360=1,INDEX({10,12,13,14,15,16,17,18,19,20,21,23,24,25,26,27,28,29,30,31,32,34,35,36,37,38},1,FIND(MID($B360,1,1),"ABCDEFGHIJKLMNOPQRSTUVWXYZ")),"")</f>
        <v/>
      </c>
      <c r="H360">
        <f>IF($F360=1,INDEX({10,12,13,14,15,16,17,18,19,20,21,23,24,25,26,27,28,29,30,31,32,34,35,36,37,38},1,FIND(MID($B360,2,1),"ABCDEFGHIJKLMNOPQRSTUVWXYZ")),"")</f>
        <v/>
      </c>
      <c r="I360">
        <f>IF($F360=1,INDEX({10,12,13,14,15,16,17,18,19,20,21,23,24,25,26,27,28,29,30,31,32,34,35,36,37,38},1,FIND(MID($B360,3,1),"ABCDEFGHIJKLMNOPQRSTUVWXYZ")),"")</f>
        <v/>
      </c>
      <c r="J360">
        <f>IF($F360=1,INDEX({10,12,13,14,15,16,17,18,19,20,21,23,24,25,26,27,28,29,30,31,32,34,35,36,37,38},1,FIND(MID($B360,4,1),"ABCDEFGHIJKLMNOPQRSTUVWXYZ")),"")</f>
        <v/>
      </c>
      <c r="K360">
        <f>IF($F360=1,FIND(MID($B360,5,1),"0123456789")-1,"")</f>
        <v/>
      </c>
      <c r="L360">
        <f>IF($F360=1,FIND(MID($B360,6,1),"0123456789")-1,"")</f>
        <v/>
      </c>
      <c r="M360">
        <f>IF($F360=1,FIND(MID($B360,7,1),"0123456789")-1,"")</f>
        <v/>
      </c>
      <c r="N360">
        <f>IF($F360=1,FIND(MID($B360,8,1),"0123456789")-1,"")</f>
        <v/>
      </c>
      <c r="O360">
        <f>IF($F360=1,FIND(MID($B360,9,1),"0123456789")-1,"")</f>
        <v/>
      </c>
      <c r="P360">
        <f>IF($F360=1,FIND(MID($B360,10,1),"0123456789")-1,"")</f>
        <v/>
      </c>
      <c r="Q360">
        <f>IF($F360=1,SUMPRODUCT($G360:$P360,{1,2,4,8,16,32,64,128,256,512}),"")</f>
        <v/>
      </c>
      <c r="R360">
        <f>IF($F360=1,MOD(MOD($Q360,11),10),"")</f>
        <v/>
      </c>
    </row>
    <row r="361">
      <c r="A361" s="6" t="n"/>
      <c r="B361" s="7">
        <f>IF($A361="","",UPPER(SUBSTITUTE(SUBSTITUTE(SUBSTITUTE(SUBSTITUTE(SUBSTITUTE(SUBSTITUTE($A361," ",""),"-",""),".",""),"/",""),"i","I"),"ı","?")))</f>
        <v/>
      </c>
      <c r="C361" s="8">
        <f>IF($F361=1,$R361,"")</f>
        <v/>
      </c>
      <c r="D361" s="7">
        <f>IF($A361="","",IF($F361=0,"Biçim hatalı",IF(FIND(MID($B361,11,1),"0123456789")-1=$R361,"Geçerli","Kontrol hanesi hatalı (doğrusu: "&amp;$R361&amp;")")))</f>
        <v/>
      </c>
      <c r="F361">
        <f>IF($A361="","",IF(AND(LEN($B361)=11,SUMPRODUCT(--ISNUMBER(FIND(MID($B361,{1,2,3},1),"ABCDEFGHIJKLMNOPQRSTUVWXYZ")))=3,ISNUMBER(FIND(MID($B361,4,1),"UJZ")),SUMPRODUCT(--ISNUMBER(FIND(MID($B361,{5,6,7,8,9,10,11},1),"0123456789")))=7),1,0))</f>
        <v/>
      </c>
      <c r="G361">
        <f>IF($F361=1,INDEX({10,12,13,14,15,16,17,18,19,20,21,23,24,25,26,27,28,29,30,31,32,34,35,36,37,38},1,FIND(MID($B361,1,1),"ABCDEFGHIJKLMNOPQRSTUVWXYZ")),"")</f>
        <v/>
      </c>
      <c r="H361">
        <f>IF($F361=1,INDEX({10,12,13,14,15,16,17,18,19,20,21,23,24,25,26,27,28,29,30,31,32,34,35,36,37,38},1,FIND(MID($B361,2,1),"ABCDEFGHIJKLMNOPQRSTUVWXYZ")),"")</f>
        <v/>
      </c>
      <c r="I361">
        <f>IF($F361=1,INDEX({10,12,13,14,15,16,17,18,19,20,21,23,24,25,26,27,28,29,30,31,32,34,35,36,37,38},1,FIND(MID($B361,3,1),"ABCDEFGHIJKLMNOPQRSTUVWXYZ")),"")</f>
        <v/>
      </c>
      <c r="J361">
        <f>IF($F361=1,INDEX({10,12,13,14,15,16,17,18,19,20,21,23,24,25,26,27,28,29,30,31,32,34,35,36,37,38},1,FIND(MID($B361,4,1),"ABCDEFGHIJKLMNOPQRSTUVWXYZ")),"")</f>
        <v/>
      </c>
      <c r="K361">
        <f>IF($F361=1,FIND(MID($B361,5,1),"0123456789")-1,"")</f>
        <v/>
      </c>
      <c r="L361">
        <f>IF($F361=1,FIND(MID($B361,6,1),"0123456789")-1,"")</f>
        <v/>
      </c>
      <c r="M361">
        <f>IF($F361=1,FIND(MID($B361,7,1),"0123456789")-1,"")</f>
        <v/>
      </c>
      <c r="N361">
        <f>IF($F361=1,FIND(MID($B361,8,1),"0123456789")-1,"")</f>
        <v/>
      </c>
      <c r="O361">
        <f>IF($F361=1,FIND(MID($B361,9,1),"0123456789")-1,"")</f>
        <v/>
      </c>
      <c r="P361">
        <f>IF($F361=1,FIND(MID($B361,10,1),"0123456789")-1,"")</f>
        <v/>
      </c>
      <c r="Q361">
        <f>IF($F361=1,SUMPRODUCT($G361:$P361,{1,2,4,8,16,32,64,128,256,512}),"")</f>
        <v/>
      </c>
      <c r="R361">
        <f>IF($F361=1,MOD(MOD($Q361,11),10),"")</f>
        <v/>
      </c>
    </row>
    <row r="362">
      <c r="A362" s="6" t="n"/>
      <c r="B362" s="7">
        <f>IF($A362="","",UPPER(SUBSTITUTE(SUBSTITUTE(SUBSTITUTE(SUBSTITUTE(SUBSTITUTE(SUBSTITUTE($A362," ",""),"-",""),".",""),"/",""),"i","I"),"ı","?")))</f>
        <v/>
      </c>
      <c r="C362" s="8">
        <f>IF($F362=1,$R362,"")</f>
        <v/>
      </c>
      <c r="D362" s="7">
        <f>IF($A362="","",IF($F362=0,"Biçim hatalı",IF(FIND(MID($B362,11,1),"0123456789")-1=$R362,"Geçerli","Kontrol hanesi hatalı (doğrusu: "&amp;$R362&amp;")")))</f>
        <v/>
      </c>
      <c r="F362">
        <f>IF($A362="","",IF(AND(LEN($B362)=11,SUMPRODUCT(--ISNUMBER(FIND(MID($B362,{1,2,3},1),"ABCDEFGHIJKLMNOPQRSTUVWXYZ")))=3,ISNUMBER(FIND(MID($B362,4,1),"UJZ")),SUMPRODUCT(--ISNUMBER(FIND(MID($B362,{5,6,7,8,9,10,11},1),"0123456789")))=7),1,0))</f>
        <v/>
      </c>
      <c r="G362">
        <f>IF($F362=1,INDEX({10,12,13,14,15,16,17,18,19,20,21,23,24,25,26,27,28,29,30,31,32,34,35,36,37,38},1,FIND(MID($B362,1,1),"ABCDEFGHIJKLMNOPQRSTUVWXYZ")),"")</f>
        <v/>
      </c>
      <c r="H362">
        <f>IF($F362=1,INDEX({10,12,13,14,15,16,17,18,19,20,21,23,24,25,26,27,28,29,30,31,32,34,35,36,37,38},1,FIND(MID($B362,2,1),"ABCDEFGHIJKLMNOPQRSTUVWXYZ")),"")</f>
        <v/>
      </c>
      <c r="I362">
        <f>IF($F362=1,INDEX({10,12,13,14,15,16,17,18,19,20,21,23,24,25,26,27,28,29,30,31,32,34,35,36,37,38},1,FIND(MID($B362,3,1),"ABCDEFGHIJKLMNOPQRSTUVWXYZ")),"")</f>
        <v/>
      </c>
      <c r="J362">
        <f>IF($F362=1,INDEX({10,12,13,14,15,16,17,18,19,20,21,23,24,25,26,27,28,29,30,31,32,34,35,36,37,38},1,FIND(MID($B362,4,1),"ABCDEFGHIJKLMNOPQRSTUVWXYZ")),"")</f>
        <v/>
      </c>
      <c r="K362">
        <f>IF($F362=1,FIND(MID($B362,5,1),"0123456789")-1,"")</f>
        <v/>
      </c>
      <c r="L362">
        <f>IF($F362=1,FIND(MID($B362,6,1),"0123456789")-1,"")</f>
        <v/>
      </c>
      <c r="M362">
        <f>IF($F362=1,FIND(MID($B362,7,1),"0123456789")-1,"")</f>
        <v/>
      </c>
      <c r="N362">
        <f>IF($F362=1,FIND(MID($B362,8,1),"0123456789")-1,"")</f>
        <v/>
      </c>
      <c r="O362">
        <f>IF($F362=1,FIND(MID($B362,9,1),"0123456789")-1,"")</f>
        <v/>
      </c>
      <c r="P362">
        <f>IF($F362=1,FIND(MID($B362,10,1),"0123456789")-1,"")</f>
        <v/>
      </c>
      <c r="Q362">
        <f>IF($F362=1,SUMPRODUCT($G362:$P362,{1,2,4,8,16,32,64,128,256,512}),"")</f>
        <v/>
      </c>
      <c r="R362">
        <f>IF($F362=1,MOD(MOD($Q362,11),10),"")</f>
        <v/>
      </c>
    </row>
    <row r="363">
      <c r="A363" s="6" t="n"/>
      <c r="B363" s="7">
        <f>IF($A363="","",UPPER(SUBSTITUTE(SUBSTITUTE(SUBSTITUTE(SUBSTITUTE(SUBSTITUTE(SUBSTITUTE($A363," ",""),"-",""),".",""),"/",""),"i","I"),"ı","?")))</f>
        <v/>
      </c>
      <c r="C363" s="8">
        <f>IF($F363=1,$R363,"")</f>
        <v/>
      </c>
      <c r="D363" s="7">
        <f>IF($A363="","",IF($F363=0,"Biçim hatalı",IF(FIND(MID($B363,11,1),"0123456789")-1=$R363,"Geçerli","Kontrol hanesi hatalı (doğrusu: "&amp;$R363&amp;")")))</f>
        <v/>
      </c>
      <c r="F363">
        <f>IF($A363="","",IF(AND(LEN($B363)=11,SUMPRODUCT(--ISNUMBER(FIND(MID($B363,{1,2,3},1),"ABCDEFGHIJKLMNOPQRSTUVWXYZ")))=3,ISNUMBER(FIND(MID($B363,4,1),"UJZ")),SUMPRODUCT(--ISNUMBER(FIND(MID($B363,{5,6,7,8,9,10,11},1),"0123456789")))=7),1,0))</f>
        <v/>
      </c>
      <c r="G363">
        <f>IF($F363=1,INDEX({10,12,13,14,15,16,17,18,19,20,21,23,24,25,26,27,28,29,30,31,32,34,35,36,37,38},1,FIND(MID($B363,1,1),"ABCDEFGHIJKLMNOPQRSTUVWXYZ")),"")</f>
        <v/>
      </c>
      <c r="H363">
        <f>IF($F363=1,INDEX({10,12,13,14,15,16,17,18,19,20,21,23,24,25,26,27,28,29,30,31,32,34,35,36,37,38},1,FIND(MID($B363,2,1),"ABCDEFGHIJKLMNOPQRSTUVWXYZ")),"")</f>
        <v/>
      </c>
      <c r="I363">
        <f>IF($F363=1,INDEX({10,12,13,14,15,16,17,18,19,20,21,23,24,25,26,27,28,29,30,31,32,34,35,36,37,38},1,FIND(MID($B363,3,1),"ABCDEFGHIJKLMNOPQRSTUVWXYZ")),"")</f>
        <v/>
      </c>
      <c r="J363">
        <f>IF($F363=1,INDEX({10,12,13,14,15,16,17,18,19,20,21,23,24,25,26,27,28,29,30,31,32,34,35,36,37,38},1,FIND(MID($B363,4,1),"ABCDEFGHIJKLMNOPQRSTUVWXYZ")),"")</f>
        <v/>
      </c>
      <c r="K363">
        <f>IF($F363=1,FIND(MID($B363,5,1),"0123456789")-1,"")</f>
        <v/>
      </c>
      <c r="L363">
        <f>IF($F363=1,FIND(MID($B363,6,1),"0123456789")-1,"")</f>
        <v/>
      </c>
      <c r="M363">
        <f>IF($F363=1,FIND(MID($B363,7,1),"0123456789")-1,"")</f>
        <v/>
      </c>
      <c r="N363">
        <f>IF($F363=1,FIND(MID($B363,8,1),"0123456789")-1,"")</f>
        <v/>
      </c>
      <c r="O363">
        <f>IF($F363=1,FIND(MID($B363,9,1),"0123456789")-1,"")</f>
        <v/>
      </c>
      <c r="P363">
        <f>IF($F363=1,FIND(MID($B363,10,1),"0123456789")-1,"")</f>
        <v/>
      </c>
      <c r="Q363">
        <f>IF($F363=1,SUMPRODUCT($G363:$P363,{1,2,4,8,16,32,64,128,256,512}),"")</f>
        <v/>
      </c>
      <c r="R363">
        <f>IF($F363=1,MOD(MOD($Q363,11),10),"")</f>
        <v/>
      </c>
    </row>
    <row r="364">
      <c r="A364" s="6" t="n"/>
      <c r="B364" s="7">
        <f>IF($A364="","",UPPER(SUBSTITUTE(SUBSTITUTE(SUBSTITUTE(SUBSTITUTE(SUBSTITUTE(SUBSTITUTE($A364," ",""),"-",""),".",""),"/",""),"i","I"),"ı","?")))</f>
        <v/>
      </c>
      <c r="C364" s="8">
        <f>IF($F364=1,$R364,"")</f>
        <v/>
      </c>
      <c r="D364" s="7">
        <f>IF($A364="","",IF($F364=0,"Biçim hatalı",IF(FIND(MID($B364,11,1),"0123456789")-1=$R364,"Geçerli","Kontrol hanesi hatalı (doğrusu: "&amp;$R364&amp;")")))</f>
        <v/>
      </c>
      <c r="F364">
        <f>IF($A364="","",IF(AND(LEN($B364)=11,SUMPRODUCT(--ISNUMBER(FIND(MID($B364,{1,2,3},1),"ABCDEFGHIJKLMNOPQRSTUVWXYZ")))=3,ISNUMBER(FIND(MID($B364,4,1),"UJZ")),SUMPRODUCT(--ISNUMBER(FIND(MID($B364,{5,6,7,8,9,10,11},1),"0123456789")))=7),1,0))</f>
        <v/>
      </c>
      <c r="G364">
        <f>IF($F364=1,INDEX({10,12,13,14,15,16,17,18,19,20,21,23,24,25,26,27,28,29,30,31,32,34,35,36,37,38},1,FIND(MID($B364,1,1),"ABCDEFGHIJKLMNOPQRSTUVWXYZ")),"")</f>
        <v/>
      </c>
      <c r="H364">
        <f>IF($F364=1,INDEX({10,12,13,14,15,16,17,18,19,20,21,23,24,25,26,27,28,29,30,31,32,34,35,36,37,38},1,FIND(MID($B364,2,1),"ABCDEFGHIJKLMNOPQRSTUVWXYZ")),"")</f>
        <v/>
      </c>
      <c r="I364">
        <f>IF($F364=1,INDEX({10,12,13,14,15,16,17,18,19,20,21,23,24,25,26,27,28,29,30,31,32,34,35,36,37,38},1,FIND(MID($B364,3,1),"ABCDEFGHIJKLMNOPQRSTUVWXYZ")),"")</f>
        <v/>
      </c>
      <c r="J364">
        <f>IF($F364=1,INDEX({10,12,13,14,15,16,17,18,19,20,21,23,24,25,26,27,28,29,30,31,32,34,35,36,37,38},1,FIND(MID($B364,4,1),"ABCDEFGHIJKLMNOPQRSTUVWXYZ")),"")</f>
        <v/>
      </c>
      <c r="K364">
        <f>IF($F364=1,FIND(MID($B364,5,1),"0123456789")-1,"")</f>
        <v/>
      </c>
      <c r="L364">
        <f>IF($F364=1,FIND(MID($B364,6,1),"0123456789")-1,"")</f>
        <v/>
      </c>
      <c r="M364">
        <f>IF($F364=1,FIND(MID($B364,7,1),"0123456789")-1,"")</f>
        <v/>
      </c>
      <c r="N364">
        <f>IF($F364=1,FIND(MID($B364,8,1),"0123456789")-1,"")</f>
        <v/>
      </c>
      <c r="O364">
        <f>IF($F364=1,FIND(MID($B364,9,1),"0123456789")-1,"")</f>
        <v/>
      </c>
      <c r="P364">
        <f>IF($F364=1,FIND(MID($B364,10,1),"0123456789")-1,"")</f>
        <v/>
      </c>
      <c r="Q364">
        <f>IF($F364=1,SUMPRODUCT($G364:$P364,{1,2,4,8,16,32,64,128,256,512}),"")</f>
        <v/>
      </c>
      <c r="R364">
        <f>IF($F364=1,MOD(MOD($Q364,11),10),"")</f>
        <v/>
      </c>
    </row>
    <row r="365">
      <c r="A365" s="6" t="n"/>
      <c r="B365" s="7">
        <f>IF($A365="","",UPPER(SUBSTITUTE(SUBSTITUTE(SUBSTITUTE(SUBSTITUTE(SUBSTITUTE(SUBSTITUTE($A365," ",""),"-",""),".",""),"/",""),"i","I"),"ı","?")))</f>
        <v/>
      </c>
      <c r="C365" s="8">
        <f>IF($F365=1,$R365,"")</f>
        <v/>
      </c>
      <c r="D365" s="7">
        <f>IF($A365="","",IF($F365=0,"Biçim hatalı",IF(FIND(MID($B365,11,1),"0123456789")-1=$R365,"Geçerli","Kontrol hanesi hatalı (doğrusu: "&amp;$R365&amp;")")))</f>
        <v/>
      </c>
      <c r="F365">
        <f>IF($A365="","",IF(AND(LEN($B365)=11,SUMPRODUCT(--ISNUMBER(FIND(MID($B365,{1,2,3},1),"ABCDEFGHIJKLMNOPQRSTUVWXYZ")))=3,ISNUMBER(FIND(MID($B365,4,1),"UJZ")),SUMPRODUCT(--ISNUMBER(FIND(MID($B365,{5,6,7,8,9,10,11},1),"0123456789")))=7),1,0))</f>
        <v/>
      </c>
      <c r="G365">
        <f>IF($F365=1,INDEX({10,12,13,14,15,16,17,18,19,20,21,23,24,25,26,27,28,29,30,31,32,34,35,36,37,38},1,FIND(MID($B365,1,1),"ABCDEFGHIJKLMNOPQRSTUVWXYZ")),"")</f>
        <v/>
      </c>
      <c r="H365">
        <f>IF($F365=1,INDEX({10,12,13,14,15,16,17,18,19,20,21,23,24,25,26,27,28,29,30,31,32,34,35,36,37,38},1,FIND(MID($B365,2,1),"ABCDEFGHIJKLMNOPQRSTUVWXYZ")),"")</f>
        <v/>
      </c>
      <c r="I365">
        <f>IF($F365=1,INDEX({10,12,13,14,15,16,17,18,19,20,21,23,24,25,26,27,28,29,30,31,32,34,35,36,37,38},1,FIND(MID($B365,3,1),"ABCDEFGHIJKLMNOPQRSTUVWXYZ")),"")</f>
        <v/>
      </c>
      <c r="J365">
        <f>IF($F365=1,INDEX({10,12,13,14,15,16,17,18,19,20,21,23,24,25,26,27,28,29,30,31,32,34,35,36,37,38},1,FIND(MID($B365,4,1),"ABCDEFGHIJKLMNOPQRSTUVWXYZ")),"")</f>
        <v/>
      </c>
      <c r="K365">
        <f>IF($F365=1,FIND(MID($B365,5,1),"0123456789")-1,"")</f>
        <v/>
      </c>
      <c r="L365">
        <f>IF($F365=1,FIND(MID($B365,6,1),"0123456789")-1,"")</f>
        <v/>
      </c>
      <c r="M365">
        <f>IF($F365=1,FIND(MID($B365,7,1),"0123456789")-1,"")</f>
        <v/>
      </c>
      <c r="N365">
        <f>IF($F365=1,FIND(MID($B365,8,1),"0123456789")-1,"")</f>
        <v/>
      </c>
      <c r="O365">
        <f>IF($F365=1,FIND(MID($B365,9,1),"0123456789")-1,"")</f>
        <v/>
      </c>
      <c r="P365">
        <f>IF($F365=1,FIND(MID($B365,10,1),"0123456789")-1,"")</f>
        <v/>
      </c>
      <c r="Q365">
        <f>IF($F365=1,SUMPRODUCT($G365:$P365,{1,2,4,8,16,32,64,128,256,512}),"")</f>
        <v/>
      </c>
      <c r="R365">
        <f>IF($F365=1,MOD(MOD($Q365,11),10),"")</f>
        <v/>
      </c>
    </row>
    <row r="366">
      <c r="A366" s="6" t="n"/>
      <c r="B366" s="7">
        <f>IF($A366="","",UPPER(SUBSTITUTE(SUBSTITUTE(SUBSTITUTE(SUBSTITUTE(SUBSTITUTE(SUBSTITUTE($A366," ",""),"-",""),".",""),"/",""),"i","I"),"ı","?")))</f>
        <v/>
      </c>
      <c r="C366" s="8">
        <f>IF($F366=1,$R366,"")</f>
        <v/>
      </c>
      <c r="D366" s="7">
        <f>IF($A366="","",IF($F366=0,"Biçim hatalı",IF(FIND(MID($B366,11,1),"0123456789")-1=$R366,"Geçerli","Kontrol hanesi hatalı (doğrusu: "&amp;$R366&amp;")")))</f>
        <v/>
      </c>
      <c r="F366">
        <f>IF($A366="","",IF(AND(LEN($B366)=11,SUMPRODUCT(--ISNUMBER(FIND(MID($B366,{1,2,3},1),"ABCDEFGHIJKLMNOPQRSTUVWXYZ")))=3,ISNUMBER(FIND(MID($B366,4,1),"UJZ")),SUMPRODUCT(--ISNUMBER(FIND(MID($B366,{5,6,7,8,9,10,11},1),"0123456789")))=7),1,0))</f>
        <v/>
      </c>
      <c r="G366">
        <f>IF($F366=1,INDEX({10,12,13,14,15,16,17,18,19,20,21,23,24,25,26,27,28,29,30,31,32,34,35,36,37,38},1,FIND(MID($B366,1,1),"ABCDEFGHIJKLMNOPQRSTUVWXYZ")),"")</f>
        <v/>
      </c>
      <c r="H366">
        <f>IF($F366=1,INDEX({10,12,13,14,15,16,17,18,19,20,21,23,24,25,26,27,28,29,30,31,32,34,35,36,37,38},1,FIND(MID($B366,2,1),"ABCDEFGHIJKLMNOPQRSTUVWXYZ")),"")</f>
        <v/>
      </c>
      <c r="I366">
        <f>IF($F366=1,INDEX({10,12,13,14,15,16,17,18,19,20,21,23,24,25,26,27,28,29,30,31,32,34,35,36,37,38},1,FIND(MID($B366,3,1),"ABCDEFGHIJKLMNOPQRSTUVWXYZ")),"")</f>
        <v/>
      </c>
      <c r="J366">
        <f>IF($F366=1,INDEX({10,12,13,14,15,16,17,18,19,20,21,23,24,25,26,27,28,29,30,31,32,34,35,36,37,38},1,FIND(MID($B366,4,1),"ABCDEFGHIJKLMNOPQRSTUVWXYZ")),"")</f>
        <v/>
      </c>
      <c r="K366">
        <f>IF($F366=1,FIND(MID($B366,5,1),"0123456789")-1,"")</f>
        <v/>
      </c>
      <c r="L366">
        <f>IF($F366=1,FIND(MID($B366,6,1),"0123456789")-1,"")</f>
        <v/>
      </c>
      <c r="M366">
        <f>IF($F366=1,FIND(MID($B366,7,1),"0123456789")-1,"")</f>
        <v/>
      </c>
      <c r="N366">
        <f>IF($F366=1,FIND(MID($B366,8,1),"0123456789")-1,"")</f>
        <v/>
      </c>
      <c r="O366">
        <f>IF($F366=1,FIND(MID($B366,9,1),"0123456789")-1,"")</f>
        <v/>
      </c>
      <c r="P366">
        <f>IF($F366=1,FIND(MID($B366,10,1),"0123456789")-1,"")</f>
        <v/>
      </c>
      <c r="Q366">
        <f>IF($F366=1,SUMPRODUCT($G366:$P366,{1,2,4,8,16,32,64,128,256,512}),"")</f>
        <v/>
      </c>
      <c r="R366">
        <f>IF($F366=1,MOD(MOD($Q366,11),10),"")</f>
        <v/>
      </c>
    </row>
    <row r="367">
      <c r="A367" s="6" t="n"/>
      <c r="B367" s="7">
        <f>IF($A367="","",UPPER(SUBSTITUTE(SUBSTITUTE(SUBSTITUTE(SUBSTITUTE(SUBSTITUTE(SUBSTITUTE($A367," ",""),"-",""),".",""),"/",""),"i","I"),"ı","?")))</f>
        <v/>
      </c>
      <c r="C367" s="8">
        <f>IF($F367=1,$R367,"")</f>
        <v/>
      </c>
      <c r="D367" s="7">
        <f>IF($A367="","",IF($F367=0,"Biçim hatalı",IF(FIND(MID($B367,11,1),"0123456789")-1=$R367,"Geçerli","Kontrol hanesi hatalı (doğrusu: "&amp;$R367&amp;")")))</f>
        <v/>
      </c>
      <c r="F367">
        <f>IF($A367="","",IF(AND(LEN($B367)=11,SUMPRODUCT(--ISNUMBER(FIND(MID($B367,{1,2,3},1),"ABCDEFGHIJKLMNOPQRSTUVWXYZ")))=3,ISNUMBER(FIND(MID($B367,4,1),"UJZ")),SUMPRODUCT(--ISNUMBER(FIND(MID($B367,{5,6,7,8,9,10,11},1),"0123456789")))=7),1,0))</f>
        <v/>
      </c>
      <c r="G367">
        <f>IF($F367=1,INDEX({10,12,13,14,15,16,17,18,19,20,21,23,24,25,26,27,28,29,30,31,32,34,35,36,37,38},1,FIND(MID($B367,1,1),"ABCDEFGHIJKLMNOPQRSTUVWXYZ")),"")</f>
        <v/>
      </c>
      <c r="H367">
        <f>IF($F367=1,INDEX({10,12,13,14,15,16,17,18,19,20,21,23,24,25,26,27,28,29,30,31,32,34,35,36,37,38},1,FIND(MID($B367,2,1),"ABCDEFGHIJKLMNOPQRSTUVWXYZ")),"")</f>
        <v/>
      </c>
      <c r="I367">
        <f>IF($F367=1,INDEX({10,12,13,14,15,16,17,18,19,20,21,23,24,25,26,27,28,29,30,31,32,34,35,36,37,38},1,FIND(MID($B367,3,1),"ABCDEFGHIJKLMNOPQRSTUVWXYZ")),"")</f>
        <v/>
      </c>
      <c r="J367">
        <f>IF($F367=1,INDEX({10,12,13,14,15,16,17,18,19,20,21,23,24,25,26,27,28,29,30,31,32,34,35,36,37,38},1,FIND(MID($B367,4,1),"ABCDEFGHIJKLMNOPQRSTUVWXYZ")),"")</f>
        <v/>
      </c>
      <c r="K367">
        <f>IF($F367=1,FIND(MID($B367,5,1),"0123456789")-1,"")</f>
        <v/>
      </c>
      <c r="L367">
        <f>IF($F367=1,FIND(MID($B367,6,1),"0123456789")-1,"")</f>
        <v/>
      </c>
      <c r="M367">
        <f>IF($F367=1,FIND(MID($B367,7,1),"0123456789")-1,"")</f>
        <v/>
      </c>
      <c r="N367">
        <f>IF($F367=1,FIND(MID($B367,8,1),"0123456789")-1,"")</f>
        <v/>
      </c>
      <c r="O367">
        <f>IF($F367=1,FIND(MID($B367,9,1),"0123456789")-1,"")</f>
        <v/>
      </c>
      <c r="P367">
        <f>IF($F367=1,FIND(MID($B367,10,1),"0123456789")-1,"")</f>
        <v/>
      </c>
      <c r="Q367">
        <f>IF($F367=1,SUMPRODUCT($G367:$P367,{1,2,4,8,16,32,64,128,256,512}),"")</f>
        <v/>
      </c>
      <c r="R367">
        <f>IF($F367=1,MOD(MOD($Q367,11),10),"")</f>
        <v/>
      </c>
    </row>
    <row r="368">
      <c r="A368" s="6" t="n"/>
      <c r="B368" s="7">
        <f>IF($A368="","",UPPER(SUBSTITUTE(SUBSTITUTE(SUBSTITUTE(SUBSTITUTE(SUBSTITUTE(SUBSTITUTE($A368," ",""),"-",""),".",""),"/",""),"i","I"),"ı","?")))</f>
        <v/>
      </c>
      <c r="C368" s="8">
        <f>IF($F368=1,$R368,"")</f>
        <v/>
      </c>
      <c r="D368" s="7">
        <f>IF($A368="","",IF($F368=0,"Biçim hatalı",IF(FIND(MID($B368,11,1),"0123456789")-1=$R368,"Geçerli","Kontrol hanesi hatalı (doğrusu: "&amp;$R368&amp;")")))</f>
        <v/>
      </c>
      <c r="F368">
        <f>IF($A368="","",IF(AND(LEN($B368)=11,SUMPRODUCT(--ISNUMBER(FIND(MID($B368,{1,2,3},1),"ABCDEFGHIJKLMNOPQRSTUVWXYZ")))=3,ISNUMBER(FIND(MID($B368,4,1),"UJZ")),SUMPRODUCT(--ISNUMBER(FIND(MID($B368,{5,6,7,8,9,10,11},1),"0123456789")))=7),1,0))</f>
        <v/>
      </c>
      <c r="G368">
        <f>IF($F368=1,INDEX({10,12,13,14,15,16,17,18,19,20,21,23,24,25,26,27,28,29,30,31,32,34,35,36,37,38},1,FIND(MID($B368,1,1),"ABCDEFGHIJKLMNOPQRSTUVWXYZ")),"")</f>
        <v/>
      </c>
      <c r="H368">
        <f>IF($F368=1,INDEX({10,12,13,14,15,16,17,18,19,20,21,23,24,25,26,27,28,29,30,31,32,34,35,36,37,38},1,FIND(MID($B368,2,1),"ABCDEFGHIJKLMNOPQRSTUVWXYZ")),"")</f>
        <v/>
      </c>
      <c r="I368">
        <f>IF($F368=1,INDEX({10,12,13,14,15,16,17,18,19,20,21,23,24,25,26,27,28,29,30,31,32,34,35,36,37,38},1,FIND(MID($B368,3,1),"ABCDEFGHIJKLMNOPQRSTUVWXYZ")),"")</f>
        <v/>
      </c>
      <c r="J368">
        <f>IF($F368=1,INDEX({10,12,13,14,15,16,17,18,19,20,21,23,24,25,26,27,28,29,30,31,32,34,35,36,37,38},1,FIND(MID($B368,4,1),"ABCDEFGHIJKLMNOPQRSTUVWXYZ")),"")</f>
        <v/>
      </c>
      <c r="K368">
        <f>IF($F368=1,FIND(MID($B368,5,1),"0123456789")-1,"")</f>
        <v/>
      </c>
      <c r="L368">
        <f>IF($F368=1,FIND(MID($B368,6,1),"0123456789")-1,"")</f>
        <v/>
      </c>
      <c r="M368">
        <f>IF($F368=1,FIND(MID($B368,7,1),"0123456789")-1,"")</f>
        <v/>
      </c>
      <c r="N368">
        <f>IF($F368=1,FIND(MID($B368,8,1),"0123456789")-1,"")</f>
        <v/>
      </c>
      <c r="O368">
        <f>IF($F368=1,FIND(MID($B368,9,1),"0123456789")-1,"")</f>
        <v/>
      </c>
      <c r="P368">
        <f>IF($F368=1,FIND(MID($B368,10,1),"0123456789")-1,"")</f>
        <v/>
      </c>
      <c r="Q368">
        <f>IF($F368=1,SUMPRODUCT($G368:$P368,{1,2,4,8,16,32,64,128,256,512}),"")</f>
        <v/>
      </c>
      <c r="R368">
        <f>IF($F368=1,MOD(MOD($Q368,11),10),"")</f>
        <v/>
      </c>
    </row>
    <row r="369">
      <c r="A369" s="6" t="n"/>
      <c r="B369" s="7">
        <f>IF($A369="","",UPPER(SUBSTITUTE(SUBSTITUTE(SUBSTITUTE(SUBSTITUTE(SUBSTITUTE(SUBSTITUTE($A369," ",""),"-",""),".",""),"/",""),"i","I"),"ı","?")))</f>
        <v/>
      </c>
      <c r="C369" s="8">
        <f>IF($F369=1,$R369,"")</f>
        <v/>
      </c>
      <c r="D369" s="7">
        <f>IF($A369="","",IF($F369=0,"Biçim hatalı",IF(FIND(MID($B369,11,1),"0123456789")-1=$R369,"Geçerli","Kontrol hanesi hatalı (doğrusu: "&amp;$R369&amp;")")))</f>
        <v/>
      </c>
      <c r="F369">
        <f>IF($A369="","",IF(AND(LEN($B369)=11,SUMPRODUCT(--ISNUMBER(FIND(MID($B369,{1,2,3},1),"ABCDEFGHIJKLMNOPQRSTUVWXYZ")))=3,ISNUMBER(FIND(MID($B369,4,1),"UJZ")),SUMPRODUCT(--ISNUMBER(FIND(MID($B369,{5,6,7,8,9,10,11},1),"0123456789")))=7),1,0))</f>
        <v/>
      </c>
      <c r="G369">
        <f>IF($F369=1,INDEX({10,12,13,14,15,16,17,18,19,20,21,23,24,25,26,27,28,29,30,31,32,34,35,36,37,38},1,FIND(MID($B369,1,1),"ABCDEFGHIJKLMNOPQRSTUVWXYZ")),"")</f>
        <v/>
      </c>
      <c r="H369">
        <f>IF($F369=1,INDEX({10,12,13,14,15,16,17,18,19,20,21,23,24,25,26,27,28,29,30,31,32,34,35,36,37,38},1,FIND(MID($B369,2,1),"ABCDEFGHIJKLMNOPQRSTUVWXYZ")),"")</f>
        <v/>
      </c>
      <c r="I369">
        <f>IF($F369=1,INDEX({10,12,13,14,15,16,17,18,19,20,21,23,24,25,26,27,28,29,30,31,32,34,35,36,37,38},1,FIND(MID($B369,3,1),"ABCDEFGHIJKLMNOPQRSTUVWXYZ")),"")</f>
        <v/>
      </c>
      <c r="J369">
        <f>IF($F369=1,INDEX({10,12,13,14,15,16,17,18,19,20,21,23,24,25,26,27,28,29,30,31,32,34,35,36,37,38},1,FIND(MID($B369,4,1),"ABCDEFGHIJKLMNOPQRSTUVWXYZ")),"")</f>
        <v/>
      </c>
      <c r="K369">
        <f>IF($F369=1,FIND(MID($B369,5,1),"0123456789")-1,"")</f>
        <v/>
      </c>
      <c r="L369">
        <f>IF($F369=1,FIND(MID($B369,6,1),"0123456789")-1,"")</f>
        <v/>
      </c>
      <c r="M369">
        <f>IF($F369=1,FIND(MID($B369,7,1),"0123456789")-1,"")</f>
        <v/>
      </c>
      <c r="N369">
        <f>IF($F369=1,FIND(MID($B369,8,1),"0123456789")-1,"")</f>
        <v/>
      </c>
      <c r="O369">
        <f>IF($F369=1,FIND(MID($B369,9,1),"0123456789")-1,"")</f>
        <v/>
      </c>
      <c r="P369">
        <f>IF($F369=1,FIND(MID($B369,10,1),"0123456789")-1,"")</f>
        <v/>
      </c>
      <c r="Q369">
        <f>IF($F369=1,SUMPRODUCT($G369:$P369,{1,2,4,8,16,32,64,128,256,512}),"")</f>
        <v/>
      </c>
      <c r="R369">
        <f>IF($F369=1,MOD(MOD($Q369,11),10),"")</f>
        <v/>
      </c>
    </row>
    <row r="370">
      <c r="A370" s="6" t="n"/>
      <c r="B370" s="7">
        <f>IF($A370="","",UPPER(SUBSTITUTE(SUBSTITUTE(SUBSTITUTE(SUBSTITUTE(SUBSTITUTE(SUBSTITUTE($A370," ",""),"-",""),".",""),"/",""),"i","I"),"ı","?")))</f>
        <v/>
      </c>
      <c r="C370" s="8">
        <f>IF($F370=1,$R370,"")</f>
        <v/>
      </c>
      <c r="D370" s="7">
        <f>IF($A370="","",IF($F370=0,"Biçim hatalı",IF(FIND(MID($B370,11,1),"0123456789")-1=$R370,"Geçerli","Kontrol hanesi hatalı (doğrusu: "&amp;$R370&amp;")")))</f>
        <v/>
      </c>
      <c r="F370">
        <f>IF($A370="","",IF(AND(LEN($B370)=11,SUMPRODUCT(--ISNUMBER(FIND(MID($B370,{1,2,3},1),"ABCDEFGHIJKLMNOPQRSTUVWXYZ")))=3,ISNUMBER(FIND(MID($B370,4,1),"UJZ")),SUMPRODUCT(--ISNUMBER(FIND(MID($B370,{5,6,7,8,9,10,11},1),"0123456789")))=7),1,0))</f>
        <v/>
      </c>
      <c r="G370">
        <f>IF($F370=1,INDEX({10,12,13,14,15,16,17,18,19,20,21,23,24,25,26,27,28,29,30,31,32,34,35,36,37,38},1,FIND(MID($B370,1,1),"ABCDEFGHIJKLMNOPQRSTUVWXYZ")),"")</f>
        <v/>
      </c>
      <c r="H370">
        <f>IF($F370=1,INDEX({10,12,13,14,15,16,17,18,19,20,21,23,24,25,26,27,28,29,30,31,32,34,35,36,37,38},1,FIND(MID($B370,2,1),"ABCDEFGHIJKLMNOPQRSTUVWXYZ")),"")</f>
        <v/>
      </c>
      <c r="I370">
        <f>IF($F370=1,INDEX({10,12,13,14,15,16,17,18,19,20,21,23,24,25,26,27,28,29,30,31,32,34,35,36,37,38},1,FIND(MID($B370,3,1),"ABCDEFGHIJKLMNOPQRSTUVWXYZ")),"")</f>
        <v/>
      </c>
      <c r="J370">
        <f>IF($F370=1,INDEX({10,12,13,14,15,16,17,18,19,20,21,23,24,25,26,27,28,29,30,31,32,34,35,36,37,38},1,FIND(MID($B370,4,1),"ABCDEFGHIJKLMNOPQRSTUVWXYZ")),"")</f>
        <v/>
      </c>
      <c r="K370">
        <f>IF($F370=1,FIND(MID($B370,5,1),"0123456789")-1,"")</f>
        <v/>
      </c>
      <c r="L370">
        <f>IF($F370=1,FIND(MID($B370,6,1),"0123456789")-1,"")</f>
        <v/>
      </c>
      <c r="M370">
        <f>IF($F370=1,FIND(MID($B370,7,1),"0123456789")-1,"")</f>
        <v/>
      </c>
      <c r="N370">
        <f>IF($F370=1,FIND(MID($B370,8,1),"0123456789")-1,"")</f>
        <v/>
      </c>
      <c r="O370">
        <f>IF($F370=1,FIND(MID($B370,9,1),"0123456789")-1,"")</f>
        <v/>
      </c>
      <c r="P370">
        <f>IF($F370=1,FIND(MID($B370,10,1),"0123456789")-1,"")</f>
        <v/>
      </c>
      <c r="Q370">
        <f>IF($F370=1,SUMPRODUCT($G370:$P370,{1,2,4,8,16,32,64,128,256,512}),"")</f>
        <v/>
      </c>
      <c r="R370">
        <f>IF($F370=1,MOD(MOD($Q370,11),10),"")</f>
        <v/>
      </c>
    </row>
    <row r="371">
      <c r="A371" s="6" t="n"/>
      <c r="B371" s="7">
        <f>IF($A371="","",UPPER(SUBSTITUTE(SUBSTITUTE(SUBSTITUTE(SUBSTITUTE(SUBSTITUTE(SUBSTITUTE($A371," ",""),"-",""),".",""),"/",""),"i","I"),"ı","?")))</f>
        <v/>
      </c>
      <c r="C371" s="8">
        <f>IF($F371=1,$R371,"")</f>
        <v/>
      </c>
      <c r="D371" s="7">
        <f>IF($A371="","",IF($F371=0,"Biçim hatalı",IF(FIND(MID($B371,11,1),"0123456789")-1=$R371,"Geçerli","Kontrol hanesi hatalı (doğrusu: "&amp;$R371&amp;")")))</f>
        <v/>
      </c>
      <c r="F371">
        <f>IF($A371="","",IF(AND(LEN($B371)=11,SUMPRODUCT(--ISNUMBER(FIND(MID($B371,{1,2,3},1),"ABCDEFGHIJKLMNOPQRSTUVWXYZ")))=3,ISNUMBER(FIND(MID($B371,4,1),"UJZ")),SUMPRODUCT(--ISNUMBER(FIND(MID($B371,{5,6,7,8,9,10,11},1),"0123456789")))=7),1,0))</f>
        <v/>
      </c>
      <c r="G371">
        <f>IF($F371=1,INDEX({10,12,13,14,15,16,17,18,19,20,21,23,24,25,26,27,28,29,30,31,32,34,35,36,37,38},1,FIND(MID($B371,1,1),"ABCDEFGHIJKLMNOPQRSTUVWXYZ")),"")</f>
        <v/>
      </c>
      <c r="H371">
        <f>IF($F371=1,INDEX({10,12,13,14,15,16,17,18,19,20,21,23,24,25,26,27,28,29,30,31,32,34,35,36,37,38},1,FIND(MID($B371,2,1),"ABCDEFGHIJKLMNOPQRSTUVWXYZ")),"")</f>
        <v/>
      </c>
      <c r="I371">
        <f>IF($F371=1,INDEX({10,12,13,14,15,16,17,18,19,20,21,23,24,25,26,27,28,29,30,31,32,34,35,36,37,38},1,FIND(MID($B371,3,1),"ABCDEFGHIJKLMNOPQRSTUVWXYZ")),"")</f>
        <v/>
      </c>
      <c r="J371">
        <f>IF($F371=1,INDEX({10,12,13,14,15,16,17,18,19,20,21,23,24,25,26,27,28,29,30,31,32,34,35,36,37,38},1,FIND(MID($B371,4,1),"ABCDEFGHIJKLMNOPQRSTUVWXYZ")),"")</f>
        <v/>
      </c>
      <c r="K371">
        <f>IF($F371=1,FIND(MID($B371,5,1),"0123456789")-1,"")</f>
        <v/>
      </c>
      <c r="L371">
        <f>IF($F371=1,FIND(MID($B371,6,1),"0123456789")-1,"")</f>
        <v/>
      </c>
      <c r="M371">
        <f>IF($F371=1,FIND(MID($B371,7,1),"0123456789")-1,"")</f>
        <v/>
      </c>
      <c r="N371">
        <f>IF($F371=1,FIND(MID($B371,8,1),"0123456789")-1,"")</f>
        <v/>
      </c>
      <c r="O371">
        <f>IF($F371=1,FIND(MID($B371,9,1),"0123456789")-1,"")</f>
        <v/>
      </c>
      <c r="P371">
        <f>IF($F371=1,FIND(MID($B371,10,1),"0123456789")-1,"")</f>
        <v/>
      </c>
      <c r="Q371">
        <f>IF($F371=1,SUMPRODUCT($G371:$P371,{1,2,4,8,16,32,64,128,256,512}),"")</f>
        <v/>
      </c>
      <c r="R371">
        <f>IF($F371=1,MOD(MOD($Q371,11),10),"")</f>
        <v/>
      </c>
    </row>
    <row r="372">
      <c r="A372" s="6" t="n"/>
      <c r="B372" s="7">
        <f>IF($A372="","",UPPER(SUBSTITUTE(SUBSTITUTE(SUBSTITUTE(SUBSTITUTE(SUBSTITUTE(SUBSTITUTE($A372," ",""),"-",""),".",""),"/",""),"i","I"),"ı","?")))</f>
        <v/>
      </c>
      <c r="C372" s="8">
        <f>IF($F372=1,$R372,"")</f>
        <v/>
      </c>
      <c r="D372" s="7">
        <f>IF($A372="","",IF($F372=0,"Biçim hatalı",IF(FIND(MID($B372,11,1),"0123456789")-1=$R372,"Geçerli","Kontrol hanesi hatalı (doğrusu: "&amp;$R372&amp;")")))</f>
        <v/>
      </c>
      <c r="F372">
        <f>IF($A372="","",IF(AND(LEN($B372)=11,SUMPRODUCT(--ISNUMBER(FIND(MID($B372,{1,2,3},1),"ABCDEFGHIJKLMNOPQRSTUVWXYZ")))=3,ISNUMBER(FIND(MID($B372,4,1),"UJZ")),SUMPRODUCT(--ISNUMBER(FIND(MID($B372,{5,6,7,8,9,10,11},1),"0123456789")))=7),1,0))</f>
        <v/>
      </c>
      <c r="G372">
        <f>IF($F372=1,INDEX({10,12,13,14,15,16,17,18,19,20,21,23,24,25,26,27,28,29,30,31,32,34,35,36,37,38},1,FIND(MID($B372,1,1),"ABCDEFGHIJKLMNOPQRSTUVWXYZ")),"")</f>
        <v/>
      </c>
      <c r="H372">
        <f>IF($F372=1,INDEX({10,12,13,14,15,16,17,18,19,20,21,23,24,25,26,27,28,29,30,31,32,34,35,36,37,38},1,FIND(MID($B372,2,1),"ABCDEFGHIJKLMNOPQRSTUVWXYZ")),"")</f>
        <v/>
      </c>
      <c r="I372">
        <f>IF($F372=1,INDEX({10,12,13,14,15,16,17,18,19,20,21,23,24,25,26,27,28,29,30,31,32,34,35,36,37,38},1,FIND(MID($B372,3,1),"ABCDEFGHIJKLMNOPQRSTUVWXYZ")),"")</f>
        <v/>
      </c>
      <c r="J372">
        <f>IF($F372=1,INDEX({10,12,13,14,15,16,17,18,19,20,21,23,24,25,26,27,28,29,30,31,32,34,35,36,37,38},1,FIND(MID($B372,4,1),"ABCDEFGHIJKLMNOPQRSTUVWXYZ")),"")</f>
        <v/>
      </c>
      <c r="K372">
        <f>IF($F372=1,FIND(MID($B372,5,1),"0123456789")-1,"")</f>
        <v/>
      </c>
      <c r="L372">
        <f>IF($F372=1,FIND(MID($B372,6,1),"0123456789")-1,"")</f>
        <v/>
      </c>
      <c r="M372">
        <f>IF($F372=1,FIND(MID($B372,7,1),"0123456789")-1,"")</f>
        <v/>
      </c>
      <c r="N372">
        <f>IF($F372=1,FIND(MID($B372,8,1),"0123456789")-1,"")</f>
        <v/>
      </c>
      <c r="O372">
        <f>IF($F372=1,FIND(MID($B372,9,1),"0123456789")-1,"")</f>
        <v/>
      </c>
      <c r="P372">
        <f>IF($F372=1,FIND(MID($B372,10,1),"0123456789")-1,"")</f>
        <v/>
      </c>
      <c r="Q372">
        <f>IF($F372=1,SUMPRODUCT($G372:$P372,{1,2,4,8,16,32,64,128,256,512}),"")</f>
        <v/>
      </c>
      <c r="R372">
        <f>IF($F372=1,MOD(MOD($Q372,11),10),"")</f>
        <v/>
      </c>
    </row>
    <row r="373">
      <c r="A373" s="6" t="n"/>
      <c r="B373" s="7">
        <f>IF($A373="","",UPPER(SUBSTITUTE(SUBSTITUTE(SUBSTITUTE(SUBSTITUTE(SUBSTITUTE(SUBSTITUTE($A373," ",""),"-",""),".",""),"/",""),"i","I"),"ı","?")))</f>
        <v/>
      </c>
      <c r="C373" s="8">
        <f>IF($F373=1,$R373,"")</f>
        <v/>
      </c>
      <c r="D373" s="7">
        <f>IF($A373="","",IF($F373=0,"Biçim hatalı",IF(FIND(MID($B373,11,1),"0123456789")-1=$R373,"Geçerli","Kontrol hanesi hatalı (doğrusu: "&amp;$R373&amp;")")))</f>
        <v/>
      </c>
      <c r="F373">
        <f>IF($A373="","",IF(AND(LEN($B373)=11,SUMPRODUCT(--ISNUMBER(FIND(MID($B373,{1,2,3},1),"ABCDEFGHIJKLMNOPQRSTUVWXYZ")))=3,ISNUMBER(FIND(MID($B373,4,1),"UJZ")),SUMPRODUCT(--ISNUMBER(FIND(MID($B373,{5,6,7,8,9,10,11},1),"0123456789")))=7),1,0))</f>
        <v/>
      </c>
      <c r="G373">
        <f>IF($F373=1,INDEX({10,12,13,14,15,16,17,18,19,20,21,23,24,25,26,27,28,29,30,31,32,34,35,36,37,38},1,FIND(MID($B373,1,1),"ABCDEFGHIJKLMNOPQRSTUVWXYZ")),"")</f>
        <v/>
      </c>
      <c r="H373">
        <f>IF($F373=1,INDEX({10,12,13,14,15,16,17,18,19,20,21,23,24,25,26,27,28,29,30,31,32,34,35,36,37,38},1,FIND(MID($B373,2,1),"ABCDEFGHIJKLMNOPQRSTUVWXYZ")),"")</f>
        <v/>
      </c>
      <c r="I373">
        <f>IF($F373=1,INDEX({10,12,13,14,15,16,17,18,19,20,21,23,24,25,26,27,28,29,30,31,32,34,35,36,37,38},1,FIND(MID($B373,3,1),"ABCDEFGHIJKLMNOPQRSTUVWXYZ")),"")</f>
        <v/>
      </c>
      <c r="J373">
        <f>IF($F373=1,INDEX({10,12,13,14,15,16,17,18,19,20,21,23,24,25,26,27,28,29,30,31,32,34,35,36,37,38},1,FIND(MID($B373,4,1),"ABCDEFGHIJKLMNOPQRSTUVWXYZ")),"")</f>
        <v/>
      </c>
      <c r="K373">
        <f>IF($F373=1,FIND(MID($B373,5,1),"0123456789")-1,"")</f>
        <v/>
      </c>
      <c r="L373">
        <f>IF($F373=1,FIND(MID($B373,6,1),"0123456789")-1,"")</f>
        <v/>
      </c>
      <c r="M373">
        <f>IF($F373=1,FIND(MID($B373,7,1),"0123456789")-1,"")</f>
        <v/>
      </c>
      <c r="N373">
        <f>IF($F373=1,FIND(MID($B373,8,1),"0123456789")-1,"")</f>
        <v/>
      </c>
      <c r="O373">
        <f>IF($F373=1,FIND(MID($B373,9,1),"0123456789")-1,"")</f>
        <v/>
      </c>
      <c r="P373">
        <f>IF($F373=1,FIND(MID($B373,10,1),"0123456789")-1,"")</f>
        <v/>
      </c>
      <c r="Q373">
        <f>IF($F373=1,SUMPRODUCT($G373:$P373,{1,2,4,8,16,32,64,128,256,512}),"")</f>
        <v/>
      </c>
      <c r="R373">
        <f>IF($F373=1,MOD(MOD($Q373,11),10),"")</f>
        <v/>
      </c>
    </row>
    <row r="374">
      <c r="A374" s="6" t="n"/>
      <c r="B374" s="7">
        <f>IF($A374="","",UPPER(SUBSTITUTE(SUBSTITUTE(SUBSTITUTE(SUBSTITUTE(SUBSTITUTE(SUBSTITUTE($A374," ",""),"-",""),".",""),"/",""),"i","I"),"ı","?")))</f>
        <v/>
      </c>
      <c r="C374" s="8">
        <f>IF($F374=1,$R374,"")</f>
        <v/>
      </c>
      <c r="D374" s="7">
        <f>IF($A374="","",IF($F374=0,"Biçim hatalı",IF(FIND(MID($B374,11,1),"0123456789")-1=$R374,"Geçerli","Kontrol hanesi hatalı (doğrusu: "&amp;$R374&amp;")")))</f>
        <v/>
      </c>
      <c r="F374">
        <f>IF($A374="","",IF(AND(LEN($B374)=11,SUMPRODUCT(--ISNUMBER(FIND(MID($B374,{1,2,3},1),"ABCDEFGHIJKLMNOPQRSTUVWXYZ")))=3,ISNUMBER(FIND(MID($B374,4,1),"UJZ")),SUMPRODUCT(--ISNUMBER(FIND(MID($B374,{5,6,7,8,9,10,11},1),"0123456789")))=7),1,0))</f>
        <v/>
      </c>
      <c r="G374">
        <f>IF($F374=1,INDEX({10,12,13,14,15,16,17,18,19,20,21,23,24,25,26,27,28,29,30,31,32,34,35,36,37,38},1,FIND(MID($B374,1,1),"ABCDEFGHIJKLMNOPQRSTUVWXYZ")),"")</f>
        <v/>
      </c>
      <c r="H374">
        <f>IF($F374=1,INDEX({10,12,13,14,15,16,17,18,19,20,21,23,24,25,26,27,28,29,30,31,32,34,35,36,37,38},1,FIND(MID($B374,2,1),"ABCDEFGHIJKLMNOPQRSTUVWXYZ")),"")</f>
        <v/>
      </c>
      <c r="I374">
        <f>IF($F374=1,INDEX({10,12,13,14,15,16,17,18,19,20,21,23,24,25,26,27,28,29,30,31,32,34,35,36,37,38},1,FIND(MID($B374,3,1),"ABCDEFGHIJKLMNOPQRSTUVWXYZ")),"")</f>
        <v/>
      </c>
      <c r="J374">
        <f>IF($F374=1,INDEX({10,12,13,14,15,16,17,18,19,20,21,23,24,25,26,27,28,29,30,31,32,34,35,36,37,38},1,FIND(MID($B374,4,1),"ABCDEFGHIJKLMNOPQRSTUVWXYZ")),"")</f>
        <v/>
      </c>
      <c r="K374">
        <f>IF($F374=1,FIND(MID($B374,5,1),"0123456789")-1,"")</f>
        <v/>
      </c>
      <c r="L374">
        <f>IF($F374=1,FIND(MID($B374,6,1),"0123456789")-1,"")</f>
        <v/>
      </c>
      <c r="M374">
        <f>IF($F374=1,FIND(MID($B374,7,1),"0123456789")-1,"")</f>
        <v/>
      </c>
      <c r="N374">
        <f>IF($F374=1,FIND(MID($B374,8,1),"0123456789")-1,"")</f>
        <v/>
      </c>
      <c r="O374">
        <f>IF($F374=1,FIND(MID($B374,9,1),"0123456789")-1,"")</f>
        <v/>
      </c>
      <c r="P374">
        <f>IF($F374=1,FIND(MID($B374,10,1),"0123456789")-1,"")</f>
        <v/>
      </c>
      <c r="Q374">
        <f>IF($F374=1,SUMPRODUCT($G374:$P374,{1,2,4,8,16,32,64,128,256,512}),"")</f>
        <v/>
      </c>
      <c r="R374">
        <f>IF($F374=1,MOD(MOD($Q374,11),10),"")</f>
        <v/>
      </c>
    </row>
    <row r="375">
      <c r="A375" s="6" t="n"/>
      <c r="B375" s="7">
        <f>IF($A375="","",UPPER(SUBSTITUTE(SUBSTITUTE(SUBSTITUTE(SUBSTITUTE(SUBSTITUTE(SUBSTITUTE($A375," ",""),"-",""),".",""),"/",""),"i","I"),"ı","?")))</f>
        <v/>
      </c>
      <c r="C375" s="8">
        <f>IF($F375=1,$R375,"")</f>
        <v/>
      </c>
      <c r="D375" s="7">
        <f>IF($A375="","",IF($F375=0,"Biçim hatalı",IF(FIND(MID($B375,11,1),"0123456789")-1=$R375,"Geçerli","Kontrol hanesi hatalı (doğrusu: "&amp;$R375&amp;")")))</f>
        <v/>
      </c>
      <c r="F375">
        <f>IF($A375="","",IF(AND(LEN($B375)=11,SUMPRODUCT(--ISNUMBER(FIND(MID($B375,{1,2,3},1),"ABCDEFGHIJKLMNOPQRSTUVWXYZ")))=3,ISNUMBER(FIND(MID($B375,4,1),"UJZ")),SUMPRODUCT(--ISNUMBER(FIND(MID($B375,{5,6,7,8,9,10,11},1),"0123456789")))=7),1,0))</f>
        <v/>
      </c>
      <c r="G375">
        <f>IF($F375=1,INDEX({10,12,13,14,15,16,17,18,19,20,21,23,24,25,26,27,28,29,30,31,32,34,35,36,37,38},1,FIND(MID($B375,1,1),"ABCDEFGHIJKLMNOPQRSTUVWXYZ")),"")</f>
        <v/>
      </c>
      <c r="H375">
        <f>IF($F375=1,INDEX({10,12,13,14,15,16,17,18,19,20,21,23,24,25,26,27,28,29,30,31,32,34,35,36,37,38},1,FIND(MID($B375,2,1),"ABCDEFGHIJKLMNOPQRSTUVWXYZ")),"")</f>
        <v/>
      </c>
      <c r="I375">
        <f>IF($F375=1,INDEX({10,12,13,14,15,16,17,18,19,20,21,23,24,25,26,27,28,29,30,31,32,34,35,36,37,38},1,FIND(MID($B375,3,1),"ABCDEFGHIJKLMNOPQRSTUVWXYZ")),"")</f>
        <v/>
      </c>
      <c r="J375">
        <f>IF($F375=1,INDEX({10,12,13,14,15,16,17,18,19,20,21,23,24,25,26,27,28,29,30,31,32,34,35,36,37,38},1,FIND(MID($B375,4,1),"ABCDEFGHIJKLMNOPQRSTUVWXYZ")),"")</f>
        <v/>
      </c>
      <c r="K375">
        <f>IF($F375=1,FIND(MID($B375,5,1),"0123456789")-1,"")</f>
        <v/>
      </c>
      <c r="L375">
        <f>IF($F375=1,FIND(MID($B375,6,1),"0123456789")-1,"")</f>
        <v/>
      </c>
      <c r="M375">
        <f>IF($F375=1,FIND(MID($B375,7,1),"0123456789")-1,"")</f>
        <v/>
      </c>
      <c r="N375">
        <f>IF($F375=1,FIND(MID($B375,8,1),"0123456789")-1,"")</f>
        <v/>
      </c>
      <c r="O375">
        <f>IF($F375=1,FIND(MID($B375,9,1),"0123456789")-1,"")</f>
        <v/>
      </c>
      <c r="P375">
        <f>IF($F375=1,FIND(MID($B375,10,1),"0123456789")-1,"")</f>
        <v/>
      </c>
      <c r="Q375">
        <f>IF($F375=1,SUMPRODUCT($G375:$P375,{1,2,4,8,16,32,64,128,256,512}),"")</f>
        <v/>
      </c>
      <c r="R375">
        <f>IF($F375=1,MOD(MOD($Q375,11),10),"")</f>
        <v/>
      </c>
    </row>
    <row r="376">
      <c r="A376" s="6" t="n"/>
      <c r="B376" s="7">
        <f>IF($A376="","",UPPER(SUBSTITUTE(SUBSTITUTE(SUBSTITUTE(SUBSTITUTE(SUBSTITUTE(SUBSTITUTE($A376," ",""),"-",""),".",""),"/",""),"i","I"),"ı","?")))</f>
        <v/>
      </c>
      <c r="C376" s="8">
        <f>IF($F376=1,$R376,"")</f>
        <v/>
      </c>
      <c r="D376" s="7">
        <f>IF($A376="","",IF($F376=0,"Biçim hatalı",IF(FIND(MID($B376,11,1),"0123456789")-1=$R376,"Geçerli","Kontrol hanesi hatalı (doğrusu: "&amp;$R376&amp;")")))</f>
        <v/>
      </c>
      <c r="F376">
        <f>IF($A376="","",IF(AND(LEN($B376)=11,SUMPRODUCT(--ISNUMBER(FIND(MID($B376,{1,2,3},1),"ABCDEFGHIJKLMNOPQRSTUVWXYZ")))=3,ISNUMBER(FIND(MID($B376,4,1),"UJZ")),SUMPRODUCT(--ISNUMBER(FIND(MID($B376,{5,6,7,8,9,10,11},1),"0123456789")))=7),1,0))</f>
        <v/>
      </c>
      <c r="G376">
        <f>IF($F376=1,INDEX({10,12,13,14,15,16,17,18,19,20,21,23,24,25,26,27,28,29,30,31,32,34,35,36,37,38},1,FIND(MID($B376,1,1),"ABCDEFGHIJKLMNOPQRSTUVWXYZ")),"")</f>
        <v/>
      </c>
      <c r="H376">
        <f>IF($F376=1,INDEX({10,12,13,14,15,16,17,18,19,20,21,23,24,25,26,27,28,29,30,31,32,34,35,36,37,38},1,FIND(MID($B376,2,1),"ABCDEFGHIJKLMNOPQRSTUVWXYZ")),"")</f>
        <v/>
      </c>
      <c r="I376">
        <f>IF($F376=1,INDEX({10,12,13,14,15,16,17,18,19,20,21,23,24,25,26,27,28,29,30,31,32,34,35,36,37,38},1,FIND(MID($B376,3,1),"ABCDEFGHIJKLMNOPQRSTUVWXYZ")),"")</f>
        <v/>
      </c>
      <c r="J376">
        <f>IF($F376=1,INDEX({10,12,13,14,15,16,17,18,19,20,21,23,24,25,26,27,28,29,30,31,32,34,35,36,37,38},1,FIND(MID($B376,4,1),"ABCDEFGHIJKLMNOPQRSTUVWXYZ")),"")</f>
        <v/>
      </c>
      <c r="K376">
        <f>IF($F376=1,FIND(MID($B376,5,1),"0123456789")-1,"")</f>
        <v/>
      </c>
      <c r="L376">
        <f>IF($F376=1,FIND(MID($B376,6,1),"0123456789")-1,"")</f>
        <v/>
      </c>
      <c r="M376">
        <f>IF($F376=1,FIND(MID($B376,7,1),"0123456789")-1,"")</f>
        <v/>
      </c>
      <c r="N376">
        <f>IF($F376=1,FIND(MID($B376,8,1),"0123456789")-1,"")</f>
        <v/>
      </c>
      <c r="O376">
        <f>IF($F376=1,FIND(MID($B376,9,1),"0123456789")-1,"")</f>
        <v/>
      </c>
      <c r="P376">
        <f>IF($F376=1,FIND(MID($B376,10,1),"0123456789")-1,"")</f>
        <v/>
      </c>
      <c r="Q376">
        <f>IF($F376=1,SUMPRODUCT($G376:$P376,{1,2,4,8,16,32,64,128,256,512}),"")</f>
        <v/>
      </c>
      <c r="R376">
        <f>IF($F376=1,MOD(MOD($Q376,11),10),"")</f>
        <v/>
      </c>
    </row>
    <row r="377">
      <c r="A377" s="6" t="n"/>
      <c r="B377" s="7">
        <f>IF($A377="","",UPPER(SUBSTITUTE(SUBSTITUTE(SUBSTITUTE(SUBSTITUTE(SUBSTITUTE(SUBSTITUTE($A377," ",""),"-",""),".",""),"/",""),"i","I"),"ı","?")))</f>
        <v/>
      </c>
      <c r="C377" s="8">
        <f>IF($F377=1,$R377,"")</f>
        <v/>
      </c>
      <c r="D377" s="7">
        <f>IF($A377="","",IF($F377=0,"Biçim hatalı",IF(FIND(MID($B377,11,1),"0123456789")-1=$R377,"Geçerli","Kontrol hanesi hatalı (doğrusu: "&amp;$R377&amp;")")))</f>
        <v/>
      </c>
      <c r="F377">
        <f>IF($A377="","",IF(AND(LEN($B377)=11,SUMPRODUCT(--ISNUMBER(FIND(MID($B377,{1,2,3},1),"ABCDEFGHIJKLMNOPQRSTUVWXYZ")))=3,ISNUMBER(FIND(MID($B377,4,1),"UJZ")),SUMPRODUCT(--ISNUMBER(FIND(MID($B377,{5,6,7,8,9,10,11},1),"0123456789")))=7),1,0))</f>
        <v/>
      </c>
      <c r="G377">
        <f>IF($F377=1,INDEX({10,12,13,14,15,16,17,18,19,20,21,23,24,25,26,27,28,29,30,31,32,34,35,36,37,38},1,FIND(MID($B377,1,1),"ABCDEFGHIJKLMNOPQRSTUVWXYZ")),"")</f>
        <v/>
      </c>
      <c r="H377">
        <f>IF($F377=1,INDEX({10,12,13,14,15,16,17,18,19,20,21,23,24,25,26,27,28,29,30,31,32,34,35,36,37,38},1,FIND(MID($B377,2,1),"ABCDEFGHIJKLMNOPQRSTUVWXYZ")),"")</f>
        <v/>
      </c>
      <c r="I377">
        <f>IF($F377=1,INDEX({10,12,13,14,15,16,17,18,19,20,21,23,24,25,26,27,28,29,30,31,32,34,35,36,37,38},1,FIND(MID($B377,3,1),"ABCDEFGHIJKLMNOPQRSTUVWXYZ")),"")</f>
        <v/>
      </c>
      <c r="J377">
        <f>IF($F377=1,INDEX({10,12,13,14,15,16,17,18,19,20,21,23,24,25,26,27,28,29,30,31,32,34,35,36,37,38},1,FIND(MID($B377,4,1),"ABCDEFGHIJKLMNOPQRSTUVWXYZ")),"")</f>
        <v/>
      </c>
      <c r="K377">
        <f>IF($F377=1,FIND(MID($B377,5,1),"0123456789")-1,"")</f>
        <v/>
      </c>
      <c r="L377">
        <f>IF($F377=1,FIND(MID($B377,6,1),"0123456789")-1,"")</f>
        <v/>
      </c>
      <c r="M377">
        <f>IF($F377=1,FIND(MID($B377,7,1),"0123456789")-1,"")</f>
        <v/>
      </c>
      <c r="N377">
        <f>IF($F377=1,FIND(MID($B377,8,1),"0123456789")-1,"")</f>
        <v/>
      </c>
      <c r="O377">
        <f>IF($F377=1,FIND(MID($B377,9,1),"0123456789")-1,"")</f>
        <v/>
      </c>
      <c r="P377">
        <f>IF($F377=1,FIND(MID($B377,10,1),"0123456789")-1,"")</f>
        <v/>
      </c>
      <c r="Q377">
        <f>IF($F377=1,SUMPRODUCT($G377:$P377,{1,2,4,8,16,32,64,128,256,512}),"")</f>
        <v/>
      </c>
      <c r="R377">
        <f>IF($F377=1,MOD(MOD($Q377,11),10),"")</f>
        <v/>
      </c>
    </row>
    <row r="378">
      <c r="A378" s="6" t="n"/>
      <c r="B378" s="7">
        <f>IF($A378="","",UPPER(SUBSTITUTE(SUBSTITUTE(SUBSTITUTE(SUBSTITUTE(SUBSTITUTE(SUBSTITUTE($A378," ",""),"-",""),".",""),"/",""),"i","I"),"ı","?")))</f>
        <v/>
      </c>
      <c r="C378" s="8">
        <f>IF($F378=1,$R378,"")</f>
        <v/>
      </c>
      <c r="D378" s="7">
        <f>IF($A378="","",IF($F378=0,"Biçim hatalı",IF(FIND(MID($B378,11,1),"0123456789")-1=$R378,"Geçerli","Kontrol hanesi hatalı (doğrusu: "&amp;$R378&amp;")")))</f>
        <v/>
      </c>
      <c r="F378">
        <f>IF($A378="","",IF(AND(LEN($B378)=11,SUMPRODUCT(--ISNUMBER(FIND(MID($B378,{1,2,3},1),"ABCDEFGHIJKLMNOPQRSTUVWXYZ")))=3,ISNUMBER(FIND(MID($B378,4,1),"UJZ")),SUMPRODUCT(--ISNUMBER(FIND(MID($B378,{5,6,7,8,9,10,11},1),"0123456789")))=7),1,0))</f>
        <v/>
      </c>
      <c r="G378">
        <f>IF($F378=1,INDEX({10,12,13,14,15,16,17,18,19,20,21,23,24,25,26,27,28,29,30,31,32,34,35,36,37,38},1,FIND(MID($B378,1,1),"ABCDEFGHIJKLMNOPQRSTUVWXYZ")),"")</f>
        <v/>
      </c>
      <c r="H378">
        <f>IF($F378=1,INDEX({10,12,13,14,15,16,17,18,19,20,21,23,24,25,26,27,28,29,30,31,32,34,35,36,37,38},1,FIND(MID($B378,2,1),"ABCDEFGHIJKLMNOPQRSTUVWXYZ")),"")</f>
        <v/>
      </c>
      <c r="I378">
        <f>IF($F378=1,INDEX({10,12,13,14,15,16,17,18,19,20,21,23,24,25,26,27,28,29,30,31,32,34,35,36,37,38},1,FIND(MID($B378,3,1),"ABCDEFGHIJKLMNOPQRSTUVWXYZ")),"")</f>
        <v/>
      </c>
      <c r="J378">
        <f>IF($F378=1,INDEX({10,12,13,14,15,16,17,18,19,20,21,23,24,25,26,27,28,29,30,31,32,34,35,36,37,38},1,FIND(MID($B378,4,1),"ABCDEFGHIJKLMNOPQRSTUVWXYZ")),"")</f>
        <v/>
      </c>
      <c r="K378">
        <f>IF($F378=1,FIND(MID($B378,5,1),"0123456789")-1,"")</f>
        <v/>
      </c>
      <c r="L378">
        <f>IF($F378=1,FIND(MID($B378,6,1),"0123456789")-1,"")</f>
        <v/>
      </c>
      <c r="M378">
        <f>IF($F378=1,FIND(MID($B378,7,1),"0123456789")-1,"")</f>
        <v/>
      </c>
      <c r="N378">
        <f>IF($F378=1,FIND(MID($B378,8,1),"0123456789")-1,"")</f>
        <v/>
      </c>
      <c r="O378">
        <f>IF($F378=1,FIND(MID($B378,9,1),"0123456789")-1,"")</f>
        <v/>
      </c>
      <c r="P378">
        <f>IF($F378=1,FIND(MID($B378,10,1),"0123456789")-1,"")</f>
        <v/>
      </c>
      <c r="Q378">
        <f>IF($F378=1,SUMPRODUCT($G378:$P378,{1,2,4,8,16,32,64,128,256,512}),"")</f>
        <v/>
      </c>
      <c r="R378">
        <f>IF($F378=1,MOD(MOD($Q378,11),10),"")</f>
        <v/>
      </c>
    </row>
    <row r="379">
      <c r="A379" s="6" t="n"/>
      <c r="B379" s="7">
        <f>IF($A379="","",UPPER(SUBSTITUTE(SUBSTITUTE(SUBSTITUTE(SUBSTITUTE(SUBSTITUTE(SUBSTITUTE($A379," ",""),"-",""),".",""),"/",""),"i","I"),"ı","?")))</f>
        <v/>
      </c>
      <c r="C379" s="8">
        <f>IF($F379=1,$R379,"")</f>
        <v/>
      </c>
      <c r="D379" s="7">
        <f>IF($A379="","",IF($F379=0,"Biçim hatalı",IF(FIND(MID($B379,11,1),"0123456789")-1=$R379,"Geçerli","Kontrol hanesi hatalı (doğrusu: "&amp;$R379&amp;")")))</f>
        <v/>
      </c>
      <c r="F379">
        <f>IF($A379="","",IF(AND(LEN($B379)=11,SUMPRODUCT(--ISNUMBER(FIND(MID($B379,{1,2,3},1),"ABCDEFGHIJKLMNOPQRSTUVWXYZ")))=3,ISNUMBER(FIND(MID($B379,4,1),"UJZ")),SUMPRODUCT(--ISNUMBER(FIND(MID($B379,{5,6,7,8,9,10,11},1),"0123456789")))=7),1,0))</f>
        <v/>
      </c>
      <c r="G379">
        <f>IF($F379=1,INDEX({10,12,13,14,15,16,17,18,19,20,21,23,24,25,26,27,28,29,30,31,32,34,35,36,37,38},1,FIND(MID($B379,1,1),"ABCDEFGHIJKLMNOPQRSTUVWXYZ")),"")</f>
        <v/>
      </c>
      <c r="H379">
        <f>IF($F379=1,INDEX({10,12,13,14,15,16,17,18,19,20,21,23,24,25,26,27,28,29,30,31,32,34,35,36,37,38},1,FIND(MID($B379,2,1),"ABCDEFGHIJKLMNOPQRSTUVWXYZ")),"")</f>
        <v/>
      </c>
      <c r="I379">
        <f>IF($F379=1,INDEX({10,12,13,14,15,16,17,18,19,20,21,23,24,25,26,27,28,29,30,31,32,34,35,36,37,38},1,FIND(MID($B379,3,1),"ABCDEFGHIJKLMNOPQRSTUVWXYZ")),"")</f>
        <v/>
      </c>
      <c r="J379">
        <f>IF($F379=1,INDEX({10,12,13,14,15,16,17,18,19,20,21,23,24,25,26,27,28,29,30,31,32,34,35,36,37,38},1,FIND(MID($B379,4,1),"ABCDEFGHIJKLMNOPQRSTUVWXYZ")),"")</f>
        <v/>
      </c>
      <c r="K379">
        <f>IF($F379=1,FIND(MID($B379,5,1),"0123456789")-1,"")</f>
        <v/>
      </c>
      <c r="L379">
        <f>IF($F379=1,FIND(MID($B379,6,1),"0123456789")-1,"")</f>
        <v/>
      </c>
      <c r="M379">
        <f>IF($F379=1,FIND(MID($B379,7,1),"0123456789")-1,"")</f>
        <v/>
      </c>
      <c r="N379">
        <f>IF($F379=1,FIND(MID($B379,8,1),"0123456789")-1,"")</f>
        <v/>
      </c>
      <c r="O379">
        <f>IF($F379=1,FIND(MID($B379,9,1),"0123456789")-1,"")</f>
        <v/>
      </c>
      <c r="P379">
        <f>IF($F379=1,FIND(MID($B379,10,1),"0123456789")-1,"")</f>
        <v/>
      </c>
      <c r="Q379">
        <f>IF($F379=1,SUMPRODUCT($G379:$P379,{1,2,4,8,16,32,64,128,256,512}),"")</f>
        <v/>
      </c>
      <c r="R379">
        <f>IF($F379=1,MOD(MOD($Q379,11),10),"")</f>
        <v/>
      </c>
    </row>
    <row r="380">
      <c r="A380" s="6" t="n"/>
      <c r="B380" s="7">
        <f>IF($A380="","",UPPER(SUBSTITUTE(SUBSTITUTE(SUBSTITUTE(SUBSTITUTE(SUBSTITUTE(SUBSTITUTE($A380," ",""),"-",""),".",""),"/",""),"i","I"),"ı","?")))</f>
        <v/>
      </c>
      <c r="C380" s="8">
        <f>IF($F380=1,$R380,"")</f>
        <v/>
      </c>
      <c r="D380" s="7">
        <f>IF($A380="","",IF($F380=0,"Biçim hatalı",IF(FIND(MID($B380,11,1),"0123456789")-1=$R380,"Geçerli","Kontrol hanesi hatalı (doğrusu: "&amp;$R380&amp;")")))</f>
        <v/>
      </c>
      <c r="F380">
        <f>IF($A380="","",IF(AND(LEN($B380)=11,SUMPRODUCT(--ISNUMBER(FIND(MID($B380,{1,2,3},1),"ABCDEFGHIJKLMNOPQRSTUVWXYZ")))=3,ISNUMBER(FIND(MID($B380,4,1),"UJZ")),SUMPRODUCT(--ISNUMBER(FIND(MID($B380,{5,6,7,8,9,10,11},1),"0123456789")))=7),1,0))</f>
        <v/>
      </c>
      <c r="G380">
        <f>IF($F380=1,INDEX({10,12,13,14,15,16,17,18,19,20,21,23,24,25,26,27,28,29,30,31,32,34,35,36,37,38},1,FIND(MID($B380,1,1),"ABCDEFGHIJKLMNOPQRSTUVWXYZ")),"")</f>
        <v/>
      </c>
      <c r="H380">
        <f>IF($F380=1,INDEX({10,12,13,14,15,16,17,18,19,20,21,23,24,25,26,27,28,29,30,31,32,34,35,36,37,38},1,FIND(MID($B380,2,1),"ABCDEFGHIJKLMNOPQRSTUVWXYZ")),"")</f>
        <v/>
      </c>
      <c r="I380">
        <f>IF($F380=1,INDEX({10,12,13,14,15,16,17,18,19,20,21,23,24,25,26,27,28,29,30,31,32,34,35,36,37,38},1,FIND(MID($B380,3,1),"ABCDEFGHIJKLMNOPQRSTUVWXYZ")),"")</f>
        <v/>
      </c>
      <c r="J380">
        <f>IF($F380=1,INDEX({10,12,13,14,15,16,17,18,19,20,21,23,24,25,26,27,28,29,30,31,32,34,35,36,37,38},1,FIND(MID($B380,4,1),"ABCDEFGHIJKLMNOPQRSTUVWXYZ")),"")</f>
        <v/>
      </c>
      <c r="K380">
        <f>IF($F380=1,FIND(MID($B380,5,1),"0123456789")-1,"")</f>
        <v/>
      </c>
      <c r="L380">
        <f>IF($F380=1,FIND(MID($B380,6,1),"0123456789")-1,"")</f>
        <v/>
      </c>
      <c r="M380">
        <f>IF($F380=1,FIND(MID($B380,7,1),"0123456789")-1,"")</f>
        <v/>
      </c>
      <c r="N380">
        <f>IF($F380=1,FIND(MID($B380,8,1),"0123456789")-1,"")</f>
        <v/>
      </c>
      <c r="O380">
        <f>IF($F380=1,FIND(MID($B380,9,1),"0123456789")-1,"")</f>
        <v/>
      </c>
      <c r="P380">
        <f>IF($F380=1,FIND(MID($B380,10,1),"0123456789")-1,"")</f>
        <v/>
      </c>
      <c r="Q380">
        <f>IF($F380=1,SUMPRODUCT($G380:$P380,{1,2,4,8,16,32,64,128,256,512}),"")</f>
        <v/>
      </c>
      <c r="R380">
        <f>IF($F380=1,MOD(MOD($Q380,11),10),"")</f>
        <v/>
      </c>
    </row>
    <row r="381">
      <c r="A381" s="6" t="n"/>
      <c r="B381" s="7">
        <f>IF($A381="","",UPPER(SUBSTITUTE(SUBSTITUTE(SUBSTITUTE(SUBSTITUTE(SUBSTITUTE(SUBSTITUTE($A381," ",""),"-",""),".",""),"/",""),"i","I"),"ı","?")))</f>
        <v/>
      </c>
      <c r="C381" s="8">
        <f>IF($F381=1,$R381,"")</f>
        <v/>
      </c>
      <c r="D381" s="7">
        <f>IF($A381="","",IF($F381=0,"Biçim hatalı",IF(FIND(MID($B381,11,1),"0123456789")-1=$R381,"Geçerli","Kontrol hanesi hatalı (doğrusu: "&amp;$R381&amp;")")))</f>
        <v/>
      </c>
      <c r="F381">
        <f>IF($A381="","",IF(AND(LEN($B381)=11,SUMPRODUCT(--ISNUMBER(FIND(MID($B381,{1,2,3},1),"ABCDEFGHIJKLMNOPQRSTUVWXYZ")))=3,ISNUMBER(FIND(MID($B381,4,1),"UJZ")),SUMPRODUCT(--ISNUMBER(FIND(MID($B381,{5,6,7,8,9,10,11},1),"0123456789")))=7),1,0))</f>
        <v/>
      </c>
      <c r="G381">
        <f>IF($F381=1,INDEX({10,12,13,14,15,16,17,18,19,20,21,23,24,25,26,27,28,29,30,31,32,34,35,36,37,38},1,FIND(MID($B381,1,1),"ABCDEFGHIJKLMNOPQRSTUVWXYZ")),"")</f>
        <v/>
      </c>
      <c r="H381">
        <f>IF($F381=1,INDEX({10,12,13,14,15,16,17,18,19,20,21,23,24,25,26,27,28,29,30,31,32,34,35,36,37,38},1,FIND(MID($B381,2,1),"ABCDEFGHIJKLMNOPQRSTUVWXYZ")),"")</f>
        <v/>
      </c>
      <c r="I381">
        <f>IF($F381=1,INDEX({10,12,13,14,15,16,17,18,19,20,21,23,24,25,26,27,28,29,30,31,32,34,35,36,37,38},1,FIND(MID($B381,3,1),"ABCDEFGHIJKLMNOPQRSTUVWXYZ")),"")</f>
        <v/>
      </c>
      <c r="J381">
        <f>IF($F381=1,INDEX({10,12,13,14,15,16,17,18,19,20,21,23,24,25,26,27,28,29,30,31,32,34,35,36,37,38},1,FIND(MID($B381,4,1),"ABCDEFGHIJKLMNOPQRSTUVWXYZ")),"")</f>
        <v/>
      </c>
      <c r="K381">
        <f>IF($F381=1,FIND(MID($B381,5,1),"0123456789")-1,"")</f>
        <v/>
      </c>
      <c r="L381">
        <f>IF($F381=1,FIND(MID($B381,6,1),"0123456789")-1,"")</f>
        <v/>
      </c>
      <c r="M381">
        <f>IF($F381=1,FIND(MID($B381,7,1),"0123456789")-1,"")</f>
        <v/>
      </c>
      <c r="N381">
        <f>IF($F381=1,FIND(MID($B381,8,1),"0123456789")-1,"")</f>
        <v/>
      </c>
      <c r="O381">
        <f>IF($F381=1,FIND(MID($B381,9,1),"0123456789")-1,"")</f>
        <v/>
      </c>
      <c r="P381">
        <f>IF($F381=1,FIND(MID($B381,10,1),"0123456789")-1,"")</f>
        <v/>
      </c>
      <c r="Q381">
        <f>IF($F381=1,SUMPRODUCT($G381:$P381,{1,2,4,8,16,32,64,128,256,512}),"")</f>
        <v/>
      </c>
      <c r="R381">
        <f>IF($F381=1,MOD(MOD($Q381,11),10),"")</f>
        <v/>
      </c>
    </row>
    <row r="382">
      <c r="A382" s="6" t="n"/>
      <c r="B382" s="7">
        <f>IF($A382="","",UPPER(SUBSTITUTE(SUBSTITUTE(SUBSTITUTE(SUBSTITUTE(SUBSTITUTE(SUBSTITUTE($A382," ",""),"-",""),".",""),"/",""),"i","I"),"ı","?")))</f>
        <v/>
      </c>
      <c r="C382" s="8">
        <f>IF($F382=1,$R382,"")</f>
        <v/>
      </c>
      <c r="D382" s="7">
        <f>IF($A382="","",IF($F382=0,"Biçim hatalı",IF(FIND(MID($B382,11,1),"0123456789")-1=$R382,"Geçerli","Kontrol hanesi hatalı (doğrusu: "&amp;$R382&amp;")")))</f>
        <v/>
      </c>
      <c r="F382">
        <f>IF($A382="","",IF(AND(LEN($B382)=11,SUMPRODUCT(--ISNUMBER(FIND(MID($B382,{1,2,3},1),"ABCDEFGHIJKLMNOPQRSTUVWXYZ")))=3,ISNUMBER(FIND(MID($B382,4,1),"UJZ")),SUMPRODUCT(--ISNUMBER(FIND(MID($B382,{5,6,7,8,9,10,11},1),"0123456789")))=7),1,0))</f>
        <v/>
      </c>
      <c r="G382">
        <f>IF($F382=1,INDEX({10,12,13,14,15,16,17,18,19,20,21,23,24,25,26,27,28,29,30,31,32,34,35,36,37,38},1,FIND(MID($B382,1,1),"ABCDEFGHIJKLMNOPQRSTUVWXYZ")),"")</f>
        <v/>
      </c>
      <c r="H382">
        <f>IF($F382=1,INDEX({10,12,13,14,15,16,17,18,19,20,21,23,24,25,26,27,28,29,30,31,32,34,35,36,37,38},1,FIND(MID($B382,2,1),"ABCDEFGHIJKLMNOPQRSTUVWXYZ")),"")</f>
        <v/>
      </c>
      <c r="I382">
        <f>IF($F382=1,INDEX({10,12,13,14,15,16,17,18,19,20,21,23,24,25,26,27,28,29,30,31,32,34,35,36,37,38},1,FIND(MID($B382,3,1),"ABCDEFGHIJKLMNOPQRSTUVWXYZ")),"")</f>
        <v/>
      </c>
      <c r="J382">
        <f>IF($F382=1,INDEX({10,12,13,14,15,16,17,18,19,20,21,23,24,25,26,27,28,29,30,31,32,34,35,36,37,38},1,FIND(MID($B382,4,1),"ABCDEFGHIJKLMNOPQRSTUVWXYZ")),"")</f>
        <v/>
      </c>
      <c r="K382">
        <f>IF($F382=1,FIND(MID($B382,5,1),"0123456789")-1,"")</f>
        <v/>
      </c>
      <c r="L382">
        <f>IF($F382=1,FIND(MID($B382,6,1),"0123456789")-1,"")</f>
        <v/>
      </c>
      <c r="M382">
        <f>IF($F382=1,FIND(MID($B382,7,1),"0123456789")-1,"")</f>
        <v/>
      </c>
      <c r="N382">
        <f>IF($F382=1,FIND(MID($B382,8,1),"0123456789")-1,"")</f>
        <v/>
      </c>
      <c r="O382">
        <f>IF($F382=1,FIND(MID($B382,9,1),"0123456789")-1,"")</f>
        <v/>
      </c>
      <c r="P382">
        <f>IF($F382=1,FIND(MID($B382,10,1),"0123456789")-1,"")</f>
        <v/>
      </c>
      <c r="Q382">
        <f>IF($F382=1,SUMPRODUCT($G382:$P382,{1,2,4,8,16,32,64,128,256,512}),"")</f>
        <v/>
      </c>
      <c r="R382">
        <f>IF($F382=1,MOD(MOD($Q382,11),10),"")</f>
        <v/>
      </c>
    </row>
    <row r="383">
      <c r="A383" s="6" t="n"/>
      <c r="B383" s="7">
        <f>IF($A383="","",UPPER(SUBSTITUTE(SUBSTITUTE(SUBSTITUTE(SUBSTITUTE(SUBSTITUTE(SUBSTITUTE($A383," ",""),"-",""),".",""),"/",""),"i","I"),"ı","?")))</f>
        <v/>
      </c>
      <c r="C383" s="8">
        <f>IF($F383=1,$R383,"")</f>
        <v/>
      </c>
      <c r="D383" s="7">
        <f>IF($A383="","",IF($F383=0,"Biçim hatalı",IF(FIND(MID($B383,11,1),"0123456789")-1=$R383,"Geçerli","Kontrol hanesi hatalı (doğrusu: "&amp;$R383&amp;")")))</f>
        <v/>
      </c>
      <c r="F383">
        <f>IF($A383="","",IF(AND(LEN($B383)=11,SUMPRODUCT(--ISNUMBER(FIND(MID($B383,{1,2,3},1),"ABCDEFGHIJKLMNOPQRSTUVWXYZ")))=3,ISNUMBER(FIND(MID($B383,4,1),"UJZ")),SUMPRODUCT(--ISNUMBER(FIND(MID($B383,{5,6,7,8,9,10,11},1),"0123456789")))=7),1,0))</f>
        <v/>
      </c>
      <c r="G383">
        <f>IF($F383=1,INDEX({10,12,13,14,15,16,17,18,19,20,21,23,24,25,26,27,28,29,30,31,32,34,35,36,37,38},1,FIND(MID($B383,1,1),"ABCDEFGHIJKLMNOPQRSTUVWXYZ")),"")</f>
        <v/>
      </c>
      <c r="H383">
        <f>IF($F383=1,INDEX({10,12,13,14,15,16,17,18,19,20,21,23,24,25,26,27,28,29,30,31,32,34,35,36,37,38},1,FIND(MID($B383,2,1),"ABCDEFGHIJKLMNOPQRSTUVWXYZ")),"")</f>
        <v/>
      </c>
      <c r="I383">
        <f>IF($F383=1,INDEX({10,12,13,14,15,16,17,18,19,20,21,23,24,25,26,27,28,29,30,31,32,34,35,36,37,38},1,FIND(MID($B383,3,1),"ABCDEFGHIJKLMNOPQRSTUVWXYZ")),"")</f>
        <v/>
      </c>
      <c r="J383">
        <f>IF($F383=1,INDEX({10,12,13,14,15,16,17,18,19,20,21,23,24,25,26,27,28,29,30,31,32,34,35,36,37,38},1,FIND(MID($B383,4,1),"ABCDEFGHIJKLMNOPQRSTUVWXYZ")),"")</f>
        <v/>
      </c>
      <c r="K383">
        <f>IF($F383=1,FIND(MID($B383,5,1),"0123456789")-1,"")</f>
        <v/>
      </c>
      <c r="L383">
        <f>IF($F383=1,FIND(MID($B383,6,1),"0123456789")-1,"")</f>
        <v/>
      </c>
      <c r="M383">
        <f>IF($F383=1,FIND(MID($B383,7,1),"0123456789")-1,"")</f>
        <v/>
      </c>
      <c r="N383">
        <f>IF($F383=1,FIND(MID($B383,8,1),"0123456789")-1,"")</f>
        <v/>
      </c>
      <c r="O383">
        <f>IF($F383=1,FIND(MID($B383,9,1),"0123456789")-1,"")</f>
        <v/>
      </c>
      <c r="P383">
        <f>IF($F383=1,FIND(MID($B383,10,1),"0123456789")-1,"")</f>
        <v/>
      </c>
      <c r="Q383">
        <f>IF($F383=1,SUMPRODUCT($G383:$P383,{1,2,4,8,16,32,64,128,256,512}),"")</f>
        <v/>
      </c>
      <c r="R383">
        <f>IF($F383=1,MOD(MOD($Q383,11),10),"")</f>
        <v/>
      </c>
    </row>
    <row r="384">
      <c r="A384" s="6" t="n"/>
      <c r="B384" s="7">
        <f>IF($A384="","",UPPER(SUBSTITUTE(SUBSTITUTE(SUBSTITUTE(SUBSTITUTE(SUBSTITUTE(SUBSTITUTE($A384," ",""),"-",""),".",""),"/",""),"i","I"),"ı","?")))</f>
        <v/>
      </c>
      <c r="C384" s="8">
        <f>IF($F384=1,$R384,"")</f>
        <v/>
      </c>
      <c r="D384" s="7">
        <f>IF($A384="","",IF($F384=0,"Biçim hatalı",IF(FIND(MID($B384,11,1),"0123456789")-1=$R384,"Geçerli","Kontrol hanesi hatalı (doğrusu: "&amp;$R384&amp;")")))</f>
        <v/>
      </c>
      <c r="F384">
        <f>IF($A384="","",IF(AND(LEN($B384)=11,SUMPRODUCT(--ISNUMBER(FIND(MID($B384,{1,2,3},1),"ABCDEFGHIJKLMNOPQRSTUVWXYZ")))=3,ISNUMBER(FIND(MID($B384,4,1),"UJZ")),SUMPRODUCT(--ISNUMBER(FIND(MID($B384,{5,6,7,8,9,10,11},1),"0123456789")))=7),1,0))</f>
        <v/>
      </c>
      <c r="G384">
        <f>IF($F384=1,INDEX({10,12,13,14,15,16,17,18,19,20,21,23,24,25,26,27,28,29,30,31,32,34,35,36,37,38},1,FIND(MID($B384,1,1),"ABCDEFGHIJKLMNOPQRSTUVWXYZ")),"")</f>
        <v/>
      </c>
      <c r="H384">
        <f>IF($F384=1,INDEX({10,12,13,14,15,16,17,18,19,20,21,23,24,25,26,27,28,29,30,31,32,34,35,36,37,38},1,FIND(MID($B384,2,1),"ABCDEFGHIJKLMNOPQRSTUVWXYZ")),"")</f>
        <v/>
      </c>
      <c r="I384">
        <f>IF($F384=1,INDEX({10,12,13,14,15,16,17,18,19,20,21,23,24,25,26,27,28,29,30,31,32,34,35,36,37,38},1,FIND(MID($B384,3,1),"ABCDEFGHIJKLMNOPQRSTUVWXYZ")),"")</f>
        <v/>
      </c>
      <c r="J384">
        <f>IF($F384=1,INDEX({10,12,13,14,15,16,17,18,19,20,21,23,24,25,26,27,28,29,30,31,32,34,35,36,37,38},1,FIND(MID($B384,4,1),"ABCDEFGHIJKLMNOPQRSTUVWXYZ")),"")</f>
        <v/>
      </c>
      <c r="K384">
        <f>IF($F384=1,FIND(MID($B384,5,1),"0123456789")-1,"")</f>
        <v/>
      </c>
      <c r="L384">
        <f>IF($F384=1,FIND(MID($B384,6,1),"0123456789")-1,"")</f>
        <v/>
      </c>
      <c r="M384">
        <f>IF($F384=1,FIND(MID($B384,7,1),"0123456789")-1,"")</f>
        <v/>
      </c>
      <c r="N384">
        <f>IF($F384=1,FIND(MID($B384,8,1),"0123456789")-1,"")</f>
        <v/>
      </c>
      <c r="O384">
        <f>IF($F384=1,FIND(MID($B384,9,1),"0123456789")-1,"")</f>
        <v/>
      </c>
      <c r="P384">
        <f>IF($F384=1,FIND(MID($B384,10,1),"0123456789")-1,"")</f>
        <v/>
      </c>
      <c r="Q384">
        <f>IF($F384=1,SUMPRODUCT($G384:$P384,{1,2,4,8,16,32,64,128,256,512}),"")</f>
        <v/>
      </c>
      <c r="R384">
        <f>IF($F384=1,MOD(MOD($Q384,11),10),"")</f>
        <v/>
      </c>
    </row>
    <row r="385">
      <c r="A385" s="6" t="n"/>
      <c r="B385" s="7">
        <f>IF($A385="","",UPPER(SUBSTITUTE(SUBSTITUTE(SUBSTITUTE(SUBSTITUTE(SUBSTITUTE(SUBSTITUTE($A385," ",""),"-",""),".",""),"/",""),"i","I"),"ı","?")))</f>
        <v/>
      </c>
      <c r="C385" s="8">
        <f>IF($F385=1,$R385,"")</f>
        <v/>
      </c>
      <c r="D385" s="7">
        <f>IF($A385="","",IF($F385=0,"Biçim hatalı",IF(FIND(MID($B385,11,1),"0123456789")-1=$R385,"Geçerli","Kontrol hanesi hatalı (doğrusu: "&amp;$R385&amp;")")))</f>
        <v/>
      </c>
      <c r="F385">
        <f>IF($A385="","",IF(AND(LEN($B385)=11,SUMPRODUCT(--ISNUMBER(FIND(MID($B385,{1,2,3},1),"ABCDEFGHIJKLMNOPQRSTUVWXYZ")))=3,ISNUMBER(FIND(MID($B385,4,1),"UJZ")),SUMPRODUCT(--ISNUMBER(FIND(MID($B385,{5,6,7,8,9,10,11},1),"0123456789")))=7),1,0))</f>
        <v/>
      </c>
      <c r="G385">
        <f>IF($F385=1,INDEX({10,12,13,14,15,16,17,18,19,20,21,23,24,25,26,27,28,29,30,31,32,34,35,36,37,38},1,FIND(MID($B385,1,1),"ABCDEFGHIJKLMNOPQRSTUVWXYZ")),"")</f>
        <v/>
      </c>
      <c r="H385">
        <f>IF($F385=1,INDEX({10,12,13,14,15,16,17,18,19,20,21,23,24,25,26,27,28,29,30,31,32,34,35,36,37,38},1,FIND(MID($B385,2,1),"ABCDEFGHIJKLMNOPQRSTUVWXYZ")),"")</f>
        <v/>
      </c>
      <c r="I385">
        <f>IF($F385=1,INDEX({10,12,13,14,15,16,17,18,19,20,21,23,24,25,26,27,28,29,30,31,32,34,35,36,37,38},1,FIND(MID($B385,3,1),"ABCDEFGHIJKLMNOPQRSTUVWXYZ")),"")</f>
        <v/>
      </c>
      <c r="J385">
        <f>IF($F385=1,INDEX({10,12,13,14,15,16,17,18,19,20,21,23,24,25,26,27,28,29,30,31,32,34,35,36,37,38},1,FIND(MID($B385,4,1),"ABCDEFGHIJKLMNOPQRSTUVWXYZ")),"")</f>
        <v/>
      </c>
      <c r="K385">
        <f>IF($F385=1,FIND(MID($B385,5,1),"0123456789")-1,"")</f>
        <v/>
      </c>
      <c r="L385">
        <f>IF($F385=1,FIND(MID($B385,6,1),"0123456789")-1,"")</f>
        <v/>
      </c>
      <c r="M385">
        <f>IF($F385=1,FIND(MID($B385,7,1),"0123456789")-1,"")</f>
        <v/>
      </c>
      <c r="N385">
        <f>IF($F385=1,FIND(MID($B385,8,1),"0123456789")-1,"")</f>
        <v/>
      </c>
      <c r="O385">
        <f>IF($F385=1,FIND(MID($B385,9,1),"0123456789")-1,"")</f>
        <v/>
      </c>
      <c r="P385">
        <f>IF($F385=1,FIND(MID($B385,10,1),"0123456789")-1,"")</f>
        <v/>
      </c>
      <c r="Q385">
        <f>IF($F385=1,SUMPRODUCT($G385:$P385,{1,2,4,8,16,32,64,128,256,512}),"")</f>
        <v/>
      </c>
      <c r="R385">
        <f>IF($F385=1,MOD(MOD($Q385,11),10),"")</f>
        <v/>
      </c>
    </row>
    <row r="386">
      <c r="A386" s="6" t="n"/>
      <c r="B386" s="7">
        <f>IF($A386="","",UPPER(SUBSTITUTE(SUBSTITUTE(SUBSTITUTE(SUBSTITUTE(SUBSTITUTE(SUBSTITUTE($A386," ",""),"-",""),".",""),"/",""),"i","I"),"ı","?")))</f>
        <v/>
      </c>
      <c r="C386" s="8">
        <f>IF($F386=1,$R386,"")</f>
        <v/>
      </c>
      <c r="D386" s="7">
        <f>IF($A386="","",IF($F386=0,"Biçim hatalı",IF(FIND(MID($B386,11,1),"0123456789")-1=$R386,"Geçerli","Kontrol hanesi hatalı (doğrusu: "&amp;$R386&amp;")")))</f>
        <v/>
      </c>
      <c r="F386">
        <f>IF($A386="","",IF(AND(LEN($B386)=11,SUMPRODUCT(--ISNUMBER(FIND(MID($B386,{1,2,3},1),"ABCDEFGHIJKLMNOPQRSTUVWXYZ")))=3,ISNUMBER(FIND(MID($B386,4,1),"UJZ")),SUMPRODUCT(--ISNUMBER(FIND(MID($B386,{5,6,7,8,9,10,11},1),"0123456789")))=7),1,0))</f>
        <v/>
      </c>
      <c r="G386">
        <f>IF($F386=1,INDEX({10,12,13,14,15,16,17,18,19,20,21,23,24,25,26,27,28,29,30,31,32,34,35,36,37,38},1,FIND(MID($B386,1,1),"ABCDEFGHIJKLMNOPQRSTUVWXYZ")),"")</f>
        <v/>
      </c>
      <c r="H386">
        <f>IF($F386=1,INDEX({10,12,13,14,15,16,17,18,19,20,21,23,24,25,26,27,28,29,30,31,32,34,35,36,37,38},1,FIND(MID($B386,2,1),"ABCDEFGHIJKLMNOPQRSTUVWXYZ")),"")</f>
        <v/>
      </c>
      <c r="I386">
        <f>IF($F386=1,INDEX({10,12,13,14,15,16,17,18,19,20,21,23,24,25,26,27,28,29,30,31,32,34,35,36,37,38},1,FIND(MID($B386,3,1),"ABCDEFGHIJKLMNOPQRSTUVWXYZ")),"")</f>
        <v/>
      </c>
      <c r="J386">
        <f>IF($F386=1,INDEX({10,12,13,14,15,16,17,18,19,20,21,23,24,25,26,27,28,29,30,31,32,34,35,36,37,38},1,FIND(MID($B386,4,1),"ABCDEFGHIJKLMNOPQRSTUVWXYZ")),"")</f>
        <v/>
      </c>
      <c r="K386">
        <f>IF($F386=1,FIND(MID($B386,5,1),"0123456789")-1,"")</f>
        <v/>
      </c>
      <c r="L386">
        <f>IF($F386=1,FIND(MID($B386,6,1),"0123456789")-1,"")</f>
        <v/>
      </c>
      <c r="M386">
        <f>IF($F386=1,FIND(MID($B386,7,1),"0123456789")-1,"")</f>
        <v/>
      </c>
      <c r="N386">
        <f>IF($F386=1,FIND(MID($B386,8,1),"0123456789")-1,"")</f>
        <v/>
      </c>
      <c r="O386">
        <f>IF($F386=1,FIND(MID($B386,9,1),"0123456789")-1,"")</f>
        <v/>
      </c>
      <c r="P386">
        <f>IF($F386=1,FIND(MID($B386,10,1),"0123456789")-1,"")</f>
        <v/>
      </c>
      <c r="Q386">
        <f>IF($F386=1,SUMPRODUCT($G386:$P386,{1,2,4,8,16,32,64,128,256,512}),"")</f>
        <v/>
      </c>
      <c r="R386">
        <f>IF($F386=1,MOD(MOD($Q386,11),10),"")</f>
        <v/>
      </c>
    </row>
    <row r="387">
      <c r="A387" s="6" t="n"/>
      <c r="B387" s="7">
        <f>IF($A387="","",UPPER(SUBSTITUTE(SUBSTITUTE(SUBSTITUTE(SUBSTITUTE(SUBSTITUTE(SUBSTITUTE($A387," ",""),"-",""),".",""),"/",""),"i","I"),"ı","?")))</f>
        <v/>
      </c>
      <c r="C387" s="8">
        <f>IF($F387=1,$R387,"")</f>
        <v/>
      </c>
      <c r="D387" s="7">
        <f>IF($A387="","",IF($F387=0,"Biçim hatalı",IF(FIND(MID($B387,11,1),"0123456789")-1=$R387,"Geçerli","Kontrol hanesi hatalı (doğrusu: "&amp;$R387&amp;")")))</f>
        <v/>
      </c>
      <c r="F387">
        <f>IF($A387="","",IF(AND(LEN($B387)=11,SUMPRODUCT(--ISNUMBER(FIND(MID($B387,{1,2,3},1),"ABCDEFGHIJKLMNOPQRSTUVWXYZ")))=3,ISNUMBER(FIND(MID($B387,4,1),"UJZ")),SUMPRODUCT(--ISNUMBER(FIND(MID($B387,{5,6,7,8,9,10,11},1),"0123456789")))=7),1,0))</f>
        <v/>
      </c>
      <c r="G387">
        <f>IF($F387=1,INDEX({10,12,13,14,15,16,17,18,19,20,21,23,24,25,26,27,28,29,30,31,32,34,35,36,37,38},1,FIND(MID($B387,1,1),"ABCDEFGHIJKLMNOPQRSTUVWXYZ")),"")</f>
        <v/>
      </c>
      <c r="H387">
        <f>IF($F387=1,INDEX({10,12,13,14,15,16,17,18,19,20,21,23,24,25,26,27,28,29,30,31,32,34,35,36,37,38},1,FIND(MID($B387,2,1),"ABCDEFGHIJKLMNOPQRSTUVWXYZ")),"")</f>
        <v/>
      </c>
      <c r="I387">
        <f>IF($F387=1,INDEX({10,12,13,14,15,16,17,18,19,20,21,23,24,25,26,27,28,29,30,31,32,34,35,36,37,38},1,FIND(MID($B387,3,1),"ABCDEFGHIJKLMNOPQRSTUVWXYZ")),"")</f>
        <v/>
      </c>
      <c r="J387">
        <f>IF($F387=1,INDEX({10,12,13,14,15,16,17,18,19,20,21,23,24,25,26,27,28,29,30,31,32,34,35,36,37,38},1,FIND(MID($B387,4,1),"ABCDEFGHIJKLMNOPQRSTUVWXYZ")),"")</f>
        <v/>
      </c>
      <c r="K387">
        <f>IF($F387=1,FIND(MID($B387,5,1),"0123456789")-1,"")</f>
        <v/>
      </c>
      <c r="L387">
        <f>IF($F387=1,FIND(MID($B387,6,1),"0123456789")-1,"")</f>
        <v/>
      </c>
      <c r="M387">
        <f>IF($F387=1,FIND(MID($B387,7,1),"0123456789")-1,"")</f>
        <v/>
      </c>
      <c r="N387">
        <f>IF($F387=1,FIND(MID($B387,8,1),"0123456789")-1,"")</f>
        <v/>
      </c>
      <c r="O387">
        <f>IF($F387=1,FIND(MID($B387,9,1),"0123456789")-1,"")</f>
        <v/>
      </c>
      <c r="P387">
        <f>IF($F387=1,FIND(MID($B387,10,1),"0123456789")-1,"")</f>
        <v/>
      </c>
      <c r="Q387">
        <f>IF($F387=1,SUMPRODUCT($G387:$P387,{1,2,4,8,16,32,64,128,256,512}),"")</f>
        <v/>
      </c>
      <c r="R387">
        <f>IF($F387=1,MOD(MOD($Q387,11),10),"")</f>
        <v/>
      </c>
    </row>
    <row r="388">
      <c r="A388" s="6" t="n"/>
      <c r="B388" s="7">
        <f>IF($A388="","",UPPER(SUBSTITUTE(SUBSTITUTE(SUBSTITUTE(SUBSTITUTE(SUBSTITUTE(SUBSTITUTE($A388," ",""),"-",""),".",""),"/",""),"i","I"),"ı","?")))</f>
        <v/>
      </c>
      <c r="C388" s="8">
        <f>IF($F388=1,$R388,"")</f>
        <v/>
      </c>
      <c r="D388" s="7">
        <f>IF($A388="","",IF($F388=0,"Biçim hatalı",IF(FIND(MID($B388,11,1),"0123456789")-1=$R388,"Geçerli","Kontrol hanesi hatalı (doğrusu: "&amp;$R388&amp;")")))</f>
        <v/>
      </c>
      <c r="F388">
        <f>IF($A388="","",IF(AND(LEN($B388)=11,SUMPRODUCT(--ISNUMBER(FIND(MID($B388,{1,2,3},1),"ABCDEFGHIJKLMNOPQRSTUVWXYZ")))=3,ISNUMBER(FIND(MID($B388,4,1),"UJZ")),SUMPRODUCT(--ISNUMBER(FIND(MID($B388,{5,6,7,8,9,10,11},1),"0123456789")))=7),1,0))</f>
        <v/>
      </c>
      <c r="G388">
        <f>IF($F388=1,INDEX({10,12,13,14,15,16,17,18,19,20,21,23,24,25,26,27,28,29,30,31,32,34,35,36,37,38},1,FIND(MID($B388,1,1),"ABCDEFGHIJKLMNOPQRSTUVWXYZ")),"")</f>
        <v/>
      </c>
      <c r="H388">
        <f>IF($F388=1,INDEX({10,12,13,14,15,16,17,18,19,20,21,23,24,25,26,27,28,29,30,31,32,34,35,36,37,38},1,FIND(MID($B388,2,1),"ABCDEFGHIJKLMNOPQRSTUVWXYZ")),"")</f>
        <v/>
      </c>
      <c r="I388">
        <f>IF($F388=1,INDEX({10,12,13,14,15,16,17,18,19,20,21,23,24,25,26,27,28,29,30,31,32,34,35,36,37,38},1,FIND(MID($B388,3,1),"ABCDEFGHIJKLMNOPQRSTUVWXYZ")),"")</f>
        <v/>
      </c>
      <c r="J388">
        <f>IF($F388=1,INDEX({10,12,13,14,15,16,17,18,19,20,21,23,24,25,26,27,28,29,30,31,32,34,35,36,37,38},1,FIND(MID($B388,4,1),"ABCDEFGHIJKLMNOPQRSTUVWXYZ")),"")</f>
        <v/>
      </c>
      <c r="K388">
        <f>IF($F388=1,FIND(MID($B388,5,1),"0123456789")-1,"")</f>
        <v/>
      </c>
      <c r="L388">
        <f>IF($F388=1,FIND(MID($B388,6,1),"0123456789")-1,"")</f>
        <v/>
      </c>
      <c r="M388">
        <f>IF($F388=1,FIND(MID($B388,7,1),"0123456789")-1,"")</f>
        <v/>
      </c>
      <c r="N388">
        <f>IF($F388=1,FIND(MID($B388,8,1),"0123456789")-1,"")</f>
        <v/>
      </c>
      <c r="O388">
        <f>IF($F388=1,FIND(MID($B388,9,1),"0123456789")-1,"")</f>
        <v/>
      </c>
      <c r="P388">
        <f>IF($F388=1,FIND(MID($B388,10,1),"0123456789")-1,"")</f>
        <v/>
      </c>
      <c r="Q388">
        <f>IF($F388=1,SUMPRODUCT($G388:$P388,{1,2,4,8,16,32,64,128,256,512}),"")</f>
        <v/>
      </c>
      <c r="R388">
        <f>IF($F388=1,MOD(MOD($Q388,11),10),"")</f>
        <v/>
      </c>
    </row>
    <row r="389">
      <c r="A389" s="6" t="n"/>
      <c r="B389" s="7">
        <f>IF($A389="","",UPPER(SUBSTITUTE(SUBSTITUTE(SUBSTITUTE(SUBSTITUTE(SUBSTITUTE(SUBSTITUTE($A389," ",""),"-",""),".",""),"/",""),"i","I"),"ı","?")))</f>
        <v/>
      </c>
      <c r="C389" s="8">
        <f>IF($F389=1,$R389,"")</f>
        <v/>
      </c>
      <c r="D389" s="7">
        <f>IF($A389="","",IF($F389=0,"Biçim hatalı",IF(FIND(MID($B389,11,1),"0123456789")-1=$R389,"Geçerli","Kontrol hanesi hatalı (doğrusu: "&amp;$R389&amp;")")))</f>
        <v/>
      </c>
      <c r="F389">
        <f>IF($A389="","",IF(AND(LEN($B389)=11,SUMPRODUCT(--ISNUMBER(FIND(MID($B389,{1,2,3},1),"ABCDEFGHIJKLMNOPQRSTUVWXYZ")))=3,ISNUMBER(FIND(MID($B389,4,1),"UJZ")),SUMPRODUCT(--ISNUMBER(FIND(MID($B389,{5,6,7,8,9,10,11},1),"0123456789")))=7),1,0))</f>
        <v/>
      </c>
      <c r="G389">
        <f>IF($F389=1,INDEX({10,12,13,14,15,16,17,18,19,20,21,23,24,25,26,27,28,29,30,31,32,34,35,36,37,38},1,FIND(MID($B389,1,1),"ABCDEFGHIJKLMNOPQRSTUVWXYZ")),"")</f>
        <v/>
      </c>
      <c r="H389">
        <f>IF($F389=1,INDEX({10,12,13,14,15,16,17,18,19,20,21,23,24,25,26,27,28,29,30,31,32,34,35,36,37,38},1,FIND(MID($B389,2,1),"ABCDEFGHIJKLMNOPQRSTUVWXYZ")),"")</f>
        <v/>
      </c>
      <c r="I389">
        <f>IF($F389=1,INDEX({10,12,13,14,15,16,17,18,19,20,21,23,24,25,26,27,28,29,30,31,32,34,35,36,37,38},1,FIND(MID($B389,3,1),"ABCDEFGHIJKLMNOPQRSTUVWXYZ")),"")</f>
        <v/>
      </c>
      <c r="J389">
        <f>IF($F389=1,INDEX({10,12,13,14,15,16,17,18,19,20,21,23,24,25,26,27,28,29,30,31,32,34,35,36,37,38},1,FIND(MID($B389,4,1),"ABCDEFGHIJKLMNOPQRSTUVWXYZ")),"")</f>
        <v/>
      </c>
      <c r="K389">
        <f>IF($F389=1,FIND(MID($B389,5,1),"0123456789")-1,"")</f>
        <v/>
      </c>
      <c r="L389">
        <f>IF($F389=1,FIND(MID($B389,6,1),"0123456789")-1,"")</f>
        <v/>
      </c>
      <c r="M389">
        <f>IF($F389=1,FIND(MID($B389,7,1),"0123456789")-1,"")</f>
        <v/>
      </c>
      <c r="N389">
        <f>IF($F389=1,FIND(MID($B389,8,1),"0123456789")-1,"")</f>
        <v/>
      </c>
      <c r="O389">
        <f>IF($F389=1,FIND(MID($B389,9,1),"0123456789")-1,"")</f>
        <v/>
      </c>
      <c r="P389">
        <f>IF($F389=1,FIND(MID($B389,10,1),"0123456789")-1,"")</f>
        <v/>
      </c>
      <c r="Q389">
        <f>IF($F389=1,SUMPRODUCT($G389:$P389,{1,2,4,8,16,32,64,128,256,512}),"")</f>
        <v/>
      </c>
      <c r="R389">
        <f>IF($F389=1,MOD(MOD($Q389,11),10),"")</f>
        <v/>
      </c>
    </row>
    <row r="390">
      <c r="A390" s="6" t="n"/>
      <c r="B390" s="7">
        <f>IF($A390="","",UPPER(SUBSTITUTE(SUBSTITUTE(SUBSTITUTE(SUBSTITUTE(SUBSTITUTE(SUBSTITUTE($A390," ",""),"-",""),".",""),"/",""),"i","I"),"ı","?")))</f>
        <v/>
      </c>
      <c r="C390" s="8">
        <f>IF($F390=1,$R390,"")</f>
        <v/>
      </c>
      <c r="D390" s="7">
        <f>IF($A390="","",IF($F390=0,"Biçim hatalı",IF(FIND(MID($B390,11,1),"0123456789")-1=$R390,"Geçerli","Kontrol hanesi hatalı (doğrusu: "&amp;$R390&amp;")")))</f>
        <v/>
      </c>
      <c r="F390">
        <f>IF($A390="","",IF(AND(LEN($B390)=11,SUMPRODUCT(--ISNUMBER(FIND(MID($B390,{1,2,3},1),"ABCDEFGHIJKLMNOPQRSTUVWXYZ")))=3,ISNUMBER(FIND(MID($B390,4,1),"UJZ")),SUMPRODUCT(--ISNUMBER(FIND(MID($B390,{5,6,7,8,9,10,11},1),"0123456789")))=7),1,0))</f>
        <v/>
      </c>
      <c r="G390">
        <f>IF($F390=1,INDEX({10,12,13,14,15,16,17,18,19,20,21,23,24,25,26,27,28,29,30,31,32,34,35,36,37,38},1,FIND(MID($B390,1,1),"ABCDEFGHIJKLMNOPQRSTUVWXYZ")),"")</f>
        <v/>
      </c>
      <c r="H390">
        <f>IF($F390=1,INDEX({10,12,13,14,15,16,17,18,19,20,21,23,24,25,26,27,28,29,30,31,32,34,35,36,37,38},1,FIND(MID($B390,2,1),"ABCDEFGHIJKLMNOPQRSTUVWXYZ")),"")</f>
        <v/>
      </c>
      <c r="I390">
        <f>IF($F390=1,INDEX({10,12,13,14,15,16,17,18,19,20,21,23,24,25,26,27,28,29,30,31,32,34,35,36,37,38},1,FIND(MID($B390,3,1),"ABCDEFGHIJKLMNOPQRSTUVWXYZ")),"")</f>
        <v/>
      </c>
      <c r="J390">
        <f>IF($F390=1,INDEX({10,12,13,14,15,16,17,18,19,20,21,23,24,25,26,27,28,29,30,31,32,34,35,36,37,38},1,FIND(MID($B390,4,1),"ABCDEFGHIJKLMNOPQRSTUVWXYZ")),"")</f>
        <v/>
      </c>
      <c r="K390">
        <f>IF($F390=1,FIND(MID($B390,5,1),"0123456789")-1,"")</f>
        <v/>
      </c>
      <c r="L390">
        <f>IF($F390=1,FIND(MID($B390,6,1),"0123456789")-1,"")</f>
        <v/>
      </c>
      <c r="M390">
        <f>IF($F390=1,FIND(MID($B390,7,1),"0123456789")-1,"")</f>
        <v/>
      </c>
      <c r="N390">
        <f>IF($F390=1,FIND(MID($B390,8,1),"0123456789")-1,"")</f>
        <v/>
      </c>
      <c r="O390">
        <f>IF($F390=1,FIND(MID($B390,9,1),"0123456789")-1,"")</f>
        <v/>
      </c>
      <c r="P390">
        <f>IF($F390=1,FIND(MID($B390,10,1),"0123456789")-1,"")</f>
        <v/>
      </c>
      <c r="Q390">
        <f>IF($F390=1,SUMPRODUCT($G390:$P390,{1,2,4,8,16,32,64,128,256,512}),"")</f>
        <v/>
      </c>
      <c r="R390">
        <f>IF($F390=1,MOD(MOD($Q390,11),10),"")</f>
        <v/>
      </c>
    </row>
    <row r="391">
      <c r="A391" s="6" t="n"/>
      <c r="B391" s="7">
        <f>IF($A391="","",UPPER(SUBSTITUTE(SUBSTITUTE(SUBSTITUTE(SUBSTITUTE(SUBSTITUTE(SUBSTITUTE($A391," ",""),"-",""),".",""),"/",""),"i","I"),"ı","?")))</f>
        <v/>
      </c>
      <c r="C391" s="8">
        <f>IF($F391=1,$R391,"")</f>
        <v/>
      </c>
      <c r="D391" s="7">
        <f>IF($A391="","",IF($F391=0,"Biçim hatalı",IF(FIND(MID($B391,11,1),"0123456789")-1=$R391,"Geçerli","Kontrol hanesi hatalı (doğrusu: "&amp;$R391&amp;")")))</f>
        <v/>
      </c>
      <c r="F391">
        <f>IF($A391="","",IF(AND(LEN($B391)=11,SUMPRODUCT(--ISNUMBER(FIND(MID($B391,{1,2,3},1),"ABCDEFGHIJKLMNOPQRSTUVWXYZ")))=3,ISNUMBER(FIND(MID($B391,4,1),"UJZ")),SUMPRODUCT(--ISNUMBER(FIND(MID($B391,{5,6,7,8,9,10,11},1),"0123456789")))=7),1,0))</f>
        <v/>
      </c>
      <c r="G391">
        <f>IF($F391=1,INDEX({10,12,13,14,15,16,17,18,19,20,21,23,24,25,26,27,28,29,30,31,32,34,35,36,37,38},1,FIND(MID($B391,1,1),"ABCDEFGHIJKLMNOPQRSTUVWXYZ")),"")</f>
        <v/>
      </c>
      <c r="H391">
        <f>IF($F391=1,INDEX({10,12,13,14,15,16,17,18,19,20,21,23,24,25,26,27,28,29,30,31,32,34,35,36,37,38},1,FIND(MID($B391,2,1),"ABCDEFGHIJKLMNOPQRSTUVWXYZ")),"")</f>
        <v/>
      </c>
      <c r="I391">
        <f>IF($F391=1,INDEX({10,12,13,14,15,16,17,18,19,20,21,23,24,25,26,27,28,29,30,31,32,34,35,36,37,38},1,FIND(MID($B391,3,1),"ABCDEFGHIJKLMNOPQRSTUVWXYZ")),"")</f>
        <v/>
      </c>
      <c r="J391">
        <f>IF($F391=1,INDEX({10,12,13,14,15,16,17,18,19,20,21,23,24,25,26,27,28,29,30,31,32,34,35,36,37,38},1,FIND(MID($B391,4,1),"ABCDEFGHIJKLMNOPQRSTUVWXYZ")),"")</f>
        <v/>
      </c>
      <c r="K391">
        <f>IF($F391=1,FIND(MID($B391,5,1),"0123456789")-1,"")</f>
        <v/>
      </c>
      <c r="L391">
        <f>IF($F391=1,FIND(MID($B391,6,1),"0123456789")-1,"")</f>
        <v/>
      </c>
      <c r="M391">
        <f>IF($F391=1,FIND(MID($B391,7,1),"0123456789")-1,"")</f>
        <v/>
      </c>
      <c r="N391">
        <f>IF($F391=1,FIND(MID($B391,8,1),"0123456789")-1,"")</f>
        <v/>
      </c>
      <c r="O391">
        <f>IF($F391=1,FIND(MID($B391,9,1),"0123456789")-1,"")</f>
        <v/>
      </c>
      <c r="P391">
        <f>IF($F391=1,FIND(MID($B391,10,1),"0123456789")-1,"")</f>
        <v/>
      </c>
      <c r="Q391">
        <f>IF($F391=1,SUMPRODUCT($G391:$P391,{1,2,4,8,16,32,64,128,256,512}),"")</f>
        <v/>
      </c>
      <c r="R391">
        <f>IF($F391=1,MOD(MOD($Q391,11),10),"")</f>
        <v/>
      </c>
    </row>
    <row r="392">
      <c r="A392" s="6" t="n"/>
      <c r="B392" s="7">
        <f>IF($A392="","",UPPER(SUBSTITUTE(SUBSTITUTE(SUBSTITUTE(SUBSTITUTE(SUBSTITUTE(SUBSTITUTE($A392," ",""),"-",""),".",""),"/",""),"i","I"),"ı","?")))</f>
        <v/>
      </c>
      <c r="C392" s="8">
        <f>IF($F392=1,$R392,"")</f>
        <v/>
      </c>
      <c r="D392" s="7">
        <f>IF($A392="","",IF($F392=0,"Biçim hatalı",IF(FIND(MID($B392,11,1),"0123456789")-1=$R392,"Geçerli","Kontrol hanesi hatalı (doğrusu: "&amp;$R392&amp;")")))</f>
        <v/>
      </c>
      <c r="F392">
        <f>IF($A392="","",IF(AND(LEN($B392)=11,SUMPRODUCT(--ISNUMBER(FIND(MID($B392,{1,2,3},1),"ABCDEFGHIJKLMNOPQRSTUVWXYZ")))=3,ISNUMBER(FIND(MID($B392,4,1),"UJZ")),SUMPRODUCT(--ISNUMBER(FIND(MID($B392,{5,6,7,8,9,10,11},1),"0123456789")))=7),1,0))</f>
        <v/>
      </c>
      <c r="G392">
        <f>IF($F392=1,INDEX({10,12,13,14,15,16,17,18,19,20,21,23,24,25,26,27,28,29,30,31,32,34,35,36,37,38},1,FIND(MID($B392,1,1),"ABCDEFGHIJKLMNOPQRSTUVWXYZ")),"")</f>
        <v/>
      </c>
      <c r="H392">
        <f>IF($F392=1,INDEX({10,12,13,14,15,16,17,18,19,20,21,23,24,25,26,27,28,29,30,31,32,34,35,36,37,38},1,FIND(MID($B392,2,1),"ABCDEFGHIJKLMNOPQRSTUVWXYZ")),"")</f>
        <v/>
      </c>
      <c r="I392">
        <f>IF($F392=1,INDEX({10,12,13,14,15,16,17,18,19,20,21,23,24,25,26,27,28,29,30,31,32,34,35,36,37,38},1,FIND(MID($B392,3,1),"ABCDEFGHIJKLMNOPQRSTUVWXYZ")),"")</f>
        <v/>
      </c>
      <c r="J392">
        <f>IF($F392=1,INDEX({10,12,13,14,15,16,17,18,19,20,21,23,24,25,26,27,28,29,30,31,32,34,35,36,37,38},1,FIND(MID($B392,4,1),"ABCDEFGHIJKLMNOPQRSTUVWXYZ")),"")</f>
        <v/>
      </c>
      <c r="K392">
        <f>IF($F392=1,FIND(MID($B392,5,1),"0123456789")-1,"")</f>
        <v/>
      </c>
      <c r="L392">
        <f>IF($F392=1,FIND(MID($B392,6,1),"0123456789")-1,"")</f>
        <v/>
      </c>
      <c r="M392">
        <f>IF($F392=1,FIND(MID($B392,7,1),"0123456789")-1,"")</f>
        <v/>
      </c>
      <c r="N392">
        <f>IF($F392=1,FIND(MID($B392,8,1),"0123456789")-1,"")</f>
        <v/>
      </c>
      <c r="O392">
        <f>IF($F392=1,FIND(MID($B392,9,1),"0123456789")-1,"")</f>
        <v/>
      </c>
      <c r="P392">
        <f>IF($F392=1,FIND(MID($B392,10,1),"0123456789")-1,"")</f>
        <v/>
      </c>
      <c r="Q392">
        <f>IF($F392=1,SUMPRODUCT($G392:$P392,{1,2,4,8,16,32,64,128,256,512}),"")</f>
        <v/>
      </c>
      <c r="R392">
        <f>IF($F392=1,MOD(MOD($Q392,11),10),"")</f>
        <v/>
      </c>
    </row>
    <row r="393">
      <c r="A393" s="6" t="n"/>
      <c r="B393" s="7">
        <f>IF($A393="","",UPPER(SUBSTITUTE(SUBSTITUTE(SUBSTITUTE(SUBSTITUTE(SUBSTITUTE(SUBSTITUTE($A393," ",""),"-",""),".",""),"/",""),"i","I"),"ı","?")))</f>
        <v/>
      </c>
      <c r="C393" s="8">
        <f>IF($F393=1,$R393,"")</f>
        <v/>
      </c>
      <c r="D393" s="7">
        <f>IF($A393="","",IF($F393=0,"Biçim hatalı",IF(FIND(MID($B393,11,1),"0123456789")-1=$R393,"Geçerli","Kontrol hanesi hatalı (doğrusu: "&amp;$R393&amp;")")))</f>
        <v/>
      </c>
      <c r="F393">
        <f>IF($A393="","",IF(AND(LEN($B393)=11,SUMPRODUCT(--ISNUMBER(FIND(MID($B393,{1,2,3},1),"ABCDEFGHIJKLMNOPQRSTUVWXYZ")))=3,ISNUMBER(FIND(MID($B393,4,1),"UJZ")),SUMPRODUCT(--ISNUMBER(FIND(MID($B393,{5,6,7,8,9,10,11},1),"0123456789")))=7),1,0))</f>
        <v/>
      </c>
      <c r="G393">
        <f>IF($F393=1,INDEX({10,12,13,14,15,16,17,18,19,20,21,23,24,25,26,27,28,29,30,31,32,34,35,36,37,38},1,FIND(MID($B393,1,1),"ABCDEFGHIJKLMNOPQRSTUVWXYZ")),"")</f>
        <v/>
      </c>
      <c r="H393">
        <f>IF($F393=1,INDEX({10,12,13,14,15,16,17,18,19,20,21,23,24,25,26,27,28,29,30,31,32,34,35,36,37,38},1,FIND(MID($B393,2,1),"ABCDEFGHIJKLMNOPQRSTUVWXYZ")),"")</f>
        <v/>
      </c>
      <c r="I393">
        <f>IF($F393=1,INDEX({10,12,13,14,15,16,17,18,19,20,21,23,24,25,26,27,28,29,30,31,32,34,35,36,37,38},1,FIND(MID($B393,3,1),"ABCDEFGHIJKLMNOPQRSTUVWXYZ")),"")</f>
        <v/>
      </c>
      <c r="J393">
        <f>IF($F393=1,INDEX({10,12,13,14,15,16,17,18,19,20,21,23,24,25,26,27,28,29,30,31,32,34,35,36,37,38},1,FIND(MID($B393,4,1),"ABCDEFGHIJKLMNOPQRSTUVWXYZ")),"")</f>
        <v/>
      </c>
      <c r="K393">
        <f>IF($F393=1,FIND(MID($B393,5,1),"0123456789")-1,"")</f>
        <v/>
      </c>
      <c r="L393">
        <f>IF($F393=1,FIND(MID($B393,6,1),"0123456789")-1,"")</f>
        <v/>
      </c>
      <c r="M393">
        <f>IF($F393=1,FIND(MID($B393,7,1),"0123456789")-1,"")</f>
        <v/>
      </c>
      <c r="N393">
        <f>IF($F393=1,FIND(MID($B393,8,1),"0123456789")-1,"")</f>
        <v/>
      </c>
      <c r="O393">
        <f>IF($F393=1,FIND(MID($B393,9,1),"0123456789")-1,"")</f>
        <v/>
      </c>
      <c r="P393">
        <f>IF($F393=1,FIND(MID($B393,10,1),"0123456789")-1,"")</f>
        <v/>
      </c>
      <c r="Q393">
        <f>IF($F393=1,SUMPRODUCT($G393:$P393,{1,2,4,8,16,32,64,128,256,512}),"")</f>
        <v/>
      </c>
      <c r="R393">
        <f>IF($F393=1,MOD(MOD($Q393,11),10),"")</f>
        <v/>
      </c>
    </row>
    <row r="394">
      <c r="A394" s="6" t="n"/>
      <c r="B394" s="7">
        <f>IF($A394="","",UPPER(SUBSTITUTE(SUBSTITUTE(SUBSTITUTE(SUBSTITUTE(SUBSTITUTE(SUBSTITUTE($A394," ",""),"-",""),".",""),"/",""),"i","I"),"ı","?")))</f>
        <v/>
      </c>
      <c r="C394" s="8">
        <f>IF($F394=1,$R394,"")</f>
        <v/>
      </c>
      <c r="D394" s="7">
        <f>IF($A394="","",IF($F394=0,"Biçim hatalı",IF(FIND(MID($B394,11,1),"0123456789")-1=$R394,"Geçerli","Kontrol hanesi hatalı (doğrusu: "&amp;$R394&amp;")")))</f>
        <v/>
      </c>
      <c r="F394">
        <f>IF($A394="","",IF(AND(LEN($B394)=11,SUMPRODUCT(--ISNUMBER(FIND(MID($B394,{1,2,3},1),"ABCDEFGHIJKLMNOPQRSTUVWXYZ")))=3,ISNUMBER(FIND(MID($B394,4,1),"UJZ")),SUMPRODUCT(--ISNUMBER(FIND(MID($B394,{5,6,7,8,9,10,11},1),"0123456789")))=7),1,0))</f>
        <v/>
      </c>
      <c r="G394">
        <f>IF($F394=1,INDEX({10,12,13,14,15,16,17,18,19,20,21,23,24,25,26,27,28,29,30,31,32,34,35,36,37,38},1,FIND(MID($B394,1,1),"ABCDEFGHIJKLMNOPQRSTUVWXYZ")),"")</f>
        <v/>
      </c>
      <c r="H394">
        <f>IF($F394=1,INDEX({10,12,13,14,15,16,17,18,19,20,21,23,24,25,26,27,28,29,30,31,32,34,35,36,37,38},1,FIND(MID($B394,2,1),"ABCDEFGHIJKLMNOPQRSTUVWXYZ")),"")</f>
        <v/>
      </c>
      <c r="I394">
        <f>IF($F394=1,INDEX({10,12,13,14,15,16,17,18,19,20,21,23,24,25,26,27,28,29,30,31,32,34,35,36,37,38},1,FIND(MID($B394,3,1),"ABCDEFGHIJKLMNOPQRSTUVWXYZ")),"")</f>
        <v/>
      </c>
      <c r="J394">
        <f>IF($F394=1,INDEX({10,12,13,14,15,16,17,18,19,20,21,23,24,25,26,27,28,29,30,31,32,34,35,36,37,38},1,FIND(MID($B394,4,1),"ABCDEFGHIJKLMNOPQRSTUVWXYZ")),"")</f>
        <v/>
      </c>
      <c r="K394">
        <f>IF($F394=1,FIND(MID($B394,5,1),"0123456789")-1,"")</f>
        <v/>
      </c>
      <c r="L394">
        <f>IF($F394=1,FIND(MID($B394,6,1),"0123456789")-1,"")</f>
        <v/>
      </c>
      <c r="M394">
        <f>IF($F394=1,FIND(MID($B394,7,1),"0123456789")-1,"")</f>
        <v/>
      </c>
      <c r="N394">
        <f>IF($F394=1,FIND(MID($B394,8,1),"0123456789")-1,"")</f>
        <v/>
      </c>
      <c r="O394">
        <f>IF($F394=1,FIND(MID($B394,9,1),"0123456789")-1,"")</f>
        <v/>
      </c>
      <c r="P394">
        <f>IF($F394=1,FIND(MID($B394,10,1),"0123456789")-1,"")</f>
        <v/>
      </c>
      <c r="Q394">
        <f>IF($F394=1,SUMPRODUCT($G394:$P394,{1,2,4,8,16,32,64,128,256,512}),"")</f>
        <v/>
      </c>
      <c r="R394">
        <f>IF($F394=1,MOD(MOD($Q394,11),10),"")</f>
        <v/>
      </c>
    </row>
    <row r="395">
      <c r="A395" s="6" t="n"/>
      <c r="B395" s="7">
        <f>IF($A395="","",UPPER(SUBSTITUTE(SUBSTITUTE(SUBSTITUTE(SUBSTITUTE(SUBSTITUTE(SUBSTITUTE($A395," ",""),"-",""),".",""),"/",""),"i","I"),"ı","?")))</f>
        <v/>
      </c>
      <c r="C395" s="8">
        <f>IF($F395=1,$R395,"")</f>
        <v/>
      </c>
      <c r="D395" s="7">
        <f>IF($A395="","",IF($F395=0,"Biçim hatalı",IF(FIND(MID($B395,11,1),"0123456789")-1=$R395,"Geçerli","Kontrol hanesi hatalı (doğrusu: "&amp;$R395&amp;")")))</f>
        <v/>
      </c>
      <c r="F395">
        <f>IF($A395="","",IF(AND(LEN($B395)=11,SUMPRODUCT(--ISNUMBER(FIND(MID($B395,{1,2,3},1),"ABCDEFGHIJKLMNOPQRSTUVWXYZ")))=3,ISNUMBER(FIND(MID($B395,4,1),"UJZ")),SUMPRODUCT(--ISNUMBER(FIND(MID($B395,{5,6,7,8,9,10,11},1),"0123456789")))=7),1,0))</f>
        <v/>
      </c>
      <c r="G395">
        <f>IF($F395=1,INDEX({10,12,13,14,15,16,17,18,19,20,21,23,24,25,26,27,28,29,30,31,32,34,35,36,37,38},1,FIND(MID($B395,1,1),"ABCDEFGHIJKLMNOPQRSTUVWXYZ")),"")</f>
        <v/>
      </c>
      <c r="H395">
        <f>IF($F395=1,INDEX({10,12,13,14,15,16,17,18,19,20,21,23,24,25,26,27,28,29,30,31,32,34,35,36,37,38},1,FIND(MID($B395,2,1),"ABCDEFGHIJKLMNOPQRSTUVWXYZ")),"")</f>
        <v/>
      </c>
      <c r="I395">
        <f>IF($F395=1,INDEX({10,12,13,14,15,16,17,18,19,20,21,23,24,25,26,27,28,29,30,31,32,34,35,36,37,38},1,FIND(MID($B395,3,1),"ABCDEFGHIJKLMNOPQRSTUVWXYZ")),"")</f>
        <v/>
      </c>
      <c r="J395">
        <f>IF($F395=1,INDEX({10,12,13,14,15,16,17,18,19,20,21,23,24,25,26,27,28,29,30,31,32,34,35,36,37,38},1,FIND(MID($B395,4,1),"ABCDEFGHIJKLMNOPQRSTUVWXYZ")),"")</f>
        <v/>
      </c>
      <c r="K395">
        <f>IF($F395=1,FIND(MID($B395,5,1),"0123456789")-1,"")</f>
        <v/>
      </c>
      <c r="L395">
        <f>IF($F395=1,FIND(MID($B395,6,1),"0123456789")-1,"")</f>
        <v/>
      </c>
      <c r="M395">
        <f>IF($F395=1,FIND(MID($B395,7,1),"0123456789")-1,"")</f>
        <v/>
      </c>
      <c r="N395">
        <f>IF($F395=1,FIND(MID($B395,8,1),"0123456789")-1,"")</f>
        <v/>
      </c>
      <c r="O395">
        <f>IF($F395=1,FIND(MID($B395,9,1),"0123456789")-1,"")</f>
        <v/>
      </c>
      <c r="P395">
        <f>IF($F395=1,FIND(MID($B395,10,1),"0123456789")-1,"")</f>
        <v/>
      </c>
      <c r="Q395">
        <f>IF($F395=1,SUMPRODUCT($G395:$P395,{1,2,4,8,16,32,64,128,256,512}),"")</f>
        <v/>
      </c>
      <c r="R395">
        <f>IF($F395=1,MOD(MOD($Q395,11),10),"")</f>
        <v/>
      </c>
    </row>
    <row r="396">
      <c r="A396" s="6" t="n"/>
      <c r="B396" s="7">
        <f>IF($A396="","",UPPER(SUBSTITUTE(SUBSTITUTE(SUBSTITUTE(SUBSTITUTE(SUBSTITUTE(SUBSTITUTE($A396," ",""),"-",""),".",""),"/",""),"i","I"),"ı","?")))</f>
        <v/>
      </c>
      <c r="C396" s="8">
        <f>IF($F396=1,$R396,"")</f>
        <v/>
      </c>
      <c r="D396" s="7">
        <f>IF($A396="","",IF($F396=0,"Biçim hatalı",IF(FIND(MID($B396,11,1),"0123456789")-1=$R396,"Geçerli","Kontrol hanesi hatalı (doğrusu: "&amp;$R396&amp;")")))</f>
        <v/>
      </c>
      <c r="F396">
        <f>IF($A396="","",IF(AND(LEN($B396)=11,SUMPRODUCT(--ISNUMBER(FIND(MID($B396,{1,2,3},1),"ABCDEFGHIJKLMNOPQRSTUVWXYZ")))=3,ISNUMBER(FIND(MID($B396,4,1),"UJZ")),SUMPRODUCT(--ISNUMBER(FIND(MID($B396,{5,6,7,8,9,10,11},1),"0123456789")))=7),1,0))</f>
        <v/>
      </c>
      <c r="G396">
        <f>IF($F396=1,INDEX({10,12,13,14,15,16,17,18,19,20,21,23,24,25,26,27,28,29,30,31,32,34,35,36,37,38},1,FIND(MID($B396,1,1),"ABCDEFGHIJKLMNOPQRSTUVWXYZ")),"")</f>
        <v/>
      </c>
      <c r="H396">
        <f>IF($F396=1,INDEX({10,12,13,14,15,16,17,18,19,20,21,23,24,25,26,27,28,29,30,31,32,34,35,36,37,38},1,FIND(MID($B396,2,1),"ABCDEFGHIJKLMNOPQRSTUVWXYZ")),"")</f>
        <v/>
      </c>
      <c r="I396">
        <f>IF($F396=1,INDEX({10,12,13,14,15,16,17,18,19,20,21,23,24,25,26,27,28,29,30,31,32,34,35,36,37,38},1,FIND(MID($B396,3,1),"ABCDEFGHIJKLMNOPQRSTUVWXYZ")),"")</f>
        <v/>
      </c>
      <c r="J396">
        <f>IF($F396=1,INDEX({10,12,13,14,15,16,17,18,19,20,21,23,24,25,26,27,28,29,30,31,32,34,35,36,37,38},1,FIND(MID($B396,4,1),"ABCDEFGHIJKLMNOPQRSTUVWXYZ")),"")</f>
        <v/>
      </c>
      <c r="K396">
        <f>IF($F396=1,FIND(MID($B396,5,1),"0123456789")-1,"")</f>
        <v/>
      </c>
      <c r="L396">
        <f>IF($F396=1,FIND(MID($B396,6,1),"0123456789")-1,"")</f>
        <v/>
      </c>
      <c r="M396">
        <f>IF($F396=1,FIND(MID($B396,7,1),"0123456789")-1,"")</f>
        <v/>
      </c>
      <c r="N396">
        <f>IF($F396=1,FIND(MID($B396,8,1),"0123456789")-1,"")</f>
        <v/>
      </c>
      <c r="O396">
        <f>IF($F396=1,FIND(MID($B396,9,1),"0123456789")-1,"")</f>
        <v/>
      </c>
      <c r="P396">
        <f>IF($F396=1,FIND(MID($B396,10,1),"0123456789")-1,"")</f>
        <v/>
      </c>
      <c r="Q396">
        <f>IF($F396=1,SUMPRODUCT($G396:$P396,{1,2,4,8,16,32,64,128,256,512}),"")</f>
        <v/>
      </c>
      <c r="R396">
        <f>IF($F396=1,MOD(MOD($Q396,11),10),"")</f>
        <v/>
      </c>
    </row>
    <row r="397">
      <c r="A397" s="6" t="n"/>
      <c r="B397" s="7">
        <f>IF($A397="","",UPPER(SUBSTITUTE(SUBSTITUTE(SUBSTITUTE(SUBSTITUTE(SUBSTITUTE(SUBSTITUTE($A397," ",""),"-",""),".",""),"/",""),"i","I"),"ı","?")))</f>
        <v/>
      </c>
      <c r="C397" s="8">
        <f>IF($F397=1,$R397,"")</f>
        <v/>
      </c>
      <c r="D397" s="7">
        <f>IF($A397="","",IF($F397=0,"Biçim hatalı",IF(FIND(MID($B397,11,1),"0123456789")-1=$R397,"Geçerli","Kontrol hanesi hatalı (doğrusu: "&amp;$R397&amp;")")))</f>
        <v/>
      </c>
      <c r="F397">
        <f>IF($A397="","",IF(AND(LEN($B397)=11,SUMPRODUCT(--ISNUMBER(FIND(MID($B397,{1,2,3},1),"ABCDEFGHIJKLMNOPQRSTUVWXYZ")))=3,ISNUMBER(FIND(MID($B397,4,1),"UJZ")),SUMPRODUCT(--ISNUMBER(FIND(MID($B397,{5,6,7,8,9,10,11},1),"0123456789")))=7),1,0))</f>
        <v/>
      </c>
      <c r="G397">
        <f>IF($F397=1,INDEX({10,12,13,14,15,16,17,18,19,20,21,23,24,25,26,27,28,29,30,31,32,34,35,36,37,38},1,FIND(MID($B397,1,1),"ABCDEFGHIJKLMNOPQRSTUVWXYZ")),"")</f>
        <v/>
      </c>
      <c r="H397">
        <f>IF($F397=1,INDEX({10,12,13,14,15,16,17,18,19,20,21,23,24,25,26,27,28,29,30,31,32,34,35,36,37,38},1,FIND(MID($B397,2,1),"ABCDEFGHIJKLMNOPQRSTUVWXYZ")),"")</f>
        <v/>
      </c>
      <c r="I397">
        <f>IF($F397=1,INDEX({10,12,13,14,15,16,17,18,19,20,21,23,24,25,26,27,28,29,30,31,32,34,35,36,37,38},1,FIND(MID($B397,3,1),"ABCDEFGHIJKLMNOPQRSTUVWXYZ")),"")</f>
        <v/>
      </c>
      <c r="J397">
        <f>IF($F397=1,INDEX({10,12,13,14,15,16,17,18,19,20,21,23,24,25,26,27,28,29,30,31,32,34,35,36,37,38},1,FIND(MID($B397,4,1),"ABCDEFGHIJKLMNOPQRSTUVWXYZ")),"")</f>
        <v/>
      </c>
      <c r="K397">
        <f>IF($F397=1,FIND(MID($B397,5,1),"0123456789")-1,"")</f>
        <v/>
      </c>
      <c r="L397">
        <f>IF($F397=1,FIND(MID($B397,6,1),"0123456789")-1,"")</f>
        <v/>
      </c>
      <c r="M397">
        <f>IF($F397=1,FIND(MID($B397,7,1),"0123456789")-1,"")</f>
        <v/>
      </c>
      <c r="N397">
        <f>IF($F397=1,FIND(MID($B397,8,1),"0123456789")-1,"")</f>
        <v/>
      </c>
      <c r="O397">
        <f>IF($F397=1,FIND(MID($B397,9,1),"0123456789")-1,"")</f>
        <v/>
      </c>
      <c r="P397">
        <f>IF($F397=1,FIND(MID($B397,10,1),"0123456789")-1,"")</f>
        <v/>
      </c>
      <c r="Q397">
        <f>IF($F397=1,SUMPRODUCT($G397:$P397,{1,2,4,8,16,32,64,128,256,512}),"")</f>
        <v/>
      </c>
      <c r="R397">
        <f>IF($F397=1,MOD(MOD($Q397,11),10),"")</f>
        <v/>
      </c>
    </row>
    <row r="398">
      <c r="A398" s="6" t="n"/>
      <c r="B398" s="7">
        <f>IF($A398="","",UPPER(SUBSTITUTE(SUBSTITUTE(SUBSTITUTE(SUBSTITUTE(SUBSTITUTE(SUBSTITUTE($A398," ",""),"-",""),".",""),"/",""),"i","I"),"ı","?")))</f>
        <v/>
      </c>
      <c r="C398" s="8">
        <f>IF($F398=1,$R398,"")</f>
        <v/>
      </c>
      <c r="D398" s="7">
        <f>IF($A398="","",IF($F398=0,"Biçim hatalı",IF(FIND(MID($B398,11,1),"0123456789")-1=$R398,"Geçerli","Kontrol hanesi hatalı (doğrusu: "&amp;$R398&amp;")")))</f>
        <v/>
      </c>
      <c r="F398">
        <f>IF($A398="","",IF(AND(LEN($B398)=11,SUMPRODUCT(--ISNUMBER(FIND(MID($B398,{1,2,3},1),"ABCDEFGHIJKLMNOPQRSTUVWXYZ")))=3,ISNUMBER(FIND(MID($B398,4,1),"UJZ")),SUMPRODUCT(--ISNUMBER(FIND(MID($B398,{5,6,7,8,9,10,11},1),"0123456789")))=7),1,0))</f>
        <v/>
      </c>
      <c r="G398">
        <f>IF($F398=1,INDEX({10,12,13,14,15,16,17,18,19,20,21,23,24,25,26,27,28,29,30,31,32,34,35,36,37,38},1,FIND(MID($B398,1,1),"ABCDEFGHIJKLMNOPQRSTUVWXYZ")),"")</f>
        <v/>
      </c>
      <c r="H398">
        <f>IF($F398=1,INDEX({10,12,13,14,15,16,17,18,19,20,21,23,24,25,26,27,28,29,30,31,32,34,35,36,37,38},1,FIND(MID($B398,2,1),"ABCDEFGHIJKLMNOPQRSTUVWXYZ")),"")</f>
        <v/>
      </c>
      <c r="I398">
        <f>IF($F398=1,INDEX({10,12,13,14,15,16,17,18,19,20,21,23,24,25,26,27,28,29,30,31,32,34,35,36,37,38},1,FIND(MID($B398,3,1),"ABCDEFGHIJKLMNOPQRSTUVWXYZ")),"")</f>
        <v/>
      </c>
      <c r="J398">
        <f>IF($F398=1,INDEX({10,12,13,14,15,16,17,18,19,20,21,23,24,25,26,27,28,29,30,31,32,34,35,36,37,38},1,FIND(MID($B398,4,1),"ABCDEFGHIJKLMNOPQRSTUVWXYZ")),"")</f>
        <v/>
      </c>
      <c r="K398">
        <f>IF($F398=1,FIND(MID($B398,5,1),"0123456789")-1,"")</f>
        <v/>
      </c>
      <c r="L398">
        <f>IF($F398=1,FIND(MID($B398,6,1),"0123456789")-1,"")</f>
        <v/>
      </c>
      <c r="M398">
        <f>IF($F398=1,FIND(MID($B398,7,1),"0123456789")-1,"")</f>
        <v/>
      </c>
      <c r="N398">
        <f>IF($F398=1,FIND(MID($B398,8,1),"0123456789")-1,"")</f>
        <v/>
      </c>
      <c r="O398">
        <f>IF($F398=1,FIND(MID($B398,9,1),"0123456789")-1,"")</f>
        <v/>
      </c>
      <c r="P398">
        <f>IF($F398=1,FIND(MID($B398,10,1),"0123456789")-1,"")</f>
        <v/>
      </c>
      <c r="Q398">
        <f>IF($F398=1,SUMPRODUCT($G398:$P398,{1,2,4,8,16,32,64,128,256,512}),"")</f>
        <v/>
      </c>
      <c r="R398">
        <f>IF($F398=1,MOD(MOD($Q398,11),10),"")</f>
        <v/>
      </c>
    </row>
    <row r="399">
      <c r="A399" s="6" t="n"/>
      <c r="B399" s="7">
        <f>IF($A399="","",UPPER(SUBSTITUTE(SUBSTITUTE(SUBSTITUTE(SUBSTITUTE(SUBSTITUTE(SUBSTITUTE($A399," ",""),"-",""),".",""),"/",""),"i","I"),"ı","?")))</f>
        <v/>
      </c>
      <c r="C399" s="8">
        <f>IF($F399=1,$R399,"")</f>
        <v/>
      </c>
      <c r="D399" s="7">
        <f>IF($A399="","",IF($F399=0,"Biçim hatalı",IF(FIND(MID($B399,11,1),"0123456789")-1=$R399,"Geçerli","Kontrol hanesi hatalı (doğrusu: "&amp;$R399&amp;")")))</f>
        <v/>
      </c>
      <c r="F399">
        <f>IF($A399="","",IF(AND(LEN($B399)=11,SUMPRODUCT(--ISNUMBER(FIND(MID($B399,{1,2,3},1),"ABCDEFGHIJKLMNOPQRSTUVWXYZ")))=3,ISNUMBER(FIND(MID($B399,4,1),"UJZ")),SUMPRODUCT(--ISNUMBER(FIND(MID($B399,{5,6,7,8,9,10,11},1),"0123456789")))=7),1,0))</f>
        <v/>
      </c>
      <c r="G399">
        <f>IF($F399=1,INDEX({10,12,13,14,15,16,17,18,19,20,21,23,24,25,26,27,28,29,30,31,32,34,35,36,37,38},1,FIND(MID($B399,1,1),"ABCDEFGHIJKLMNOPQRSTUVWXYZ")),"")</f>
        <v/>
      </c>
      <c r="H399">
        <f>IF($F399=1,INDEX({10,12,13,14,15,16,17,18,19,20,21,23,24,25,26,27,28,29,30,31,32,34,35,36,37,38},1,FIND(MID($B399,2,1),"ABCDEFGHIJKLMNOPQRSTUVWXYZ")),"")</f>
        <v/>
      </c>
      <c r="I399">
        <f>IF($F399=1,INDEX({10,12,13,14,15,16,17,18,19,20,21,23,24,25,26,27,28,29,30,31,32,34,35,36,37,38},1,FIND(MID($B399,3,1),"ABCDEFGHIJKLMNOPQRSTUVWXYZ")),"")</f>
        <v/>
      </c>
      <c r="J399">
        <f>IF($F399=1,INDEX({10,12,13,14,15,16,17,18,19,20,21,23,24,25,26,27,28,29,30,31,32,34,35,36,37,38},1,FIND(MID($B399,4,1),"ABCDEFGHIJKLMNOPQRSTUVWXYZ")),"")</f>
        <v/>
      </c>
      <c r="K399">
        <f>IF($F399=1,FIND(MID($B399,5,1),"0123456789")-1,"")</f>
        <v/>
      </c>
      <c r="L399">
        <f>IF($F399=1,FIND(MID($B399,6,1),"0123456789")-1,"")</f>
        <v/>
      </c>
      <c r="M399">
        <f>IF($F399=1,FIND(MID($B399,7,1),"0123456789")-1,"")</f>
        <v/>
      </c>
      <c r="N399">
        <f>IF($F399=1,FIND(MID($B399,8,1),"0123456789")-1,"")</f>
        <v/>
      </c>
      <c r="O399">
        <f>IF($F399=1,FIND(MID($B399,9,1),"0123456789")-1,"")</f>
        <v/>
      </c>
      <c r="P399">
        <f>IF($F399=1,FIND(MID($B399,10,1),"0123456789")-1,"")</f>
        <v/>
      </c>
      <c r="Q399">
        <f>IF($F399=1,SUMPRODUCT($G399:$P399,{1,2,4,8,16,32,64,128,256,512}),"")</f>
        <v/>
      </c>
      <c r="R399">
        <f>IF($F399=1,MOD(MOD($Q399,11),10),"")</f>
        <v/>
      </c>
    </row>
    <row r="400">
      <c r="A400" s="6" t="n"/>
      <c r="B400" s="7">
        <f>IF($A400="","",UPPER(SUBSTITUTE(SUBSTITUTE(SUBSTITUTE(SUBSTITUTE(SUBSTITUTE(SUBSTITUTE($A400," ",""),"-",""),".",""),"/",""),"i","I"),"ı","?")))</f>
        <v/>
      </c>
      <c r="C400" s="8">
        <f>IF($F400=1,$R400,"")</f>
        <v/>
      </c>
      <c r="D400" s="7">
        <f>IF($A400="","",IF($F400=0,"Biçim hatalı",IF(FIND(MID($B400,11,1),"0123456789")-1=$R400,"Geçerli","Kontrol hanesi hatalı (doğrusu: "&amp;$R400&amp;")")))</f>
        <v/>
      </c>
      <c r="F400">
        <f>IF($A400="","",IF(AND(LEN($B400)=11,SUMPRODUCT(--ISNUMBER(FIND(MID($B400,{1,2,3},1),"ABCDEFGHIJKLMNOPQRSTUVWXYZ")))=3,ISNUMBER(FIND(MID($B400,4,1),"UJZ")),SUMPRODUCT(--ISNUMBER(FIND(MID($B400,{5,6,7,8,9,10,11},1),"0123456789")))=7),1,0))</f>
        <v/>
      </c>
      <c r="G400">
        <f>IF($F400=1,INDEX({10,12,13,14,15,16,17,18,19,20,21,23,24,25,26,27,28,29,30,31,32,34,35,36,37,38},1,FIND(MID($B400,1,1),"ABCDEFGHIJKLMNOPQRSTUVWXYZ")),"")</f>
        <v/>
      </c>
      <c r="H400">
        <f>IF($F400=1,INDEX({10,12,13,14,15,16,17,18,19,20,21,23,24,25,26,27,28,29,30,31,32,34,35,36,37,38},1,FIND(MID($B400,2,1),"ABCDEFGHIJKLMNOPQRSTUVWXYZ")),"")</f>
        <v/>
      </c>
      <c r="I400">
        <f>IF($F400=1,INDEX({10,12,13,14,15,16,17,18,19,20,21,23,24,25,26,27,28,29,30,31,32,34,35,36,37,38},1,FIND(MID($B400,3,1),"ABCDEFGHIJKLMNOPQRSTUVWXYZ")),"")</f>
        <v/>
      </c>
      <c r="J400">
        <f>IF($F400=1,INDEX({10,12,13,14,15,16,17,18,19,20,21,23,24,25,26,27,28,29,30,31,32,34,35,36,37,38},1,FIND(MID($B400,4,1),"ABCDEFGHIJKLMNOPQRSTUVWXYZ")),"")</f>
        <v/>
      </c>
      <c r="K400">
        <f>IF($F400=1,FIND(MID($B400,5,1),"0123456789")-1,"")</f>
        <v/>
      </c>
      <c r="L400">
        <f>IF($F400=1,FIND(MID($B400,6,1),"0123456789")-1,"")</f>
        <v/>
      </c>
      <c r="M400">
        <f>IF($F400=1,FIND(MID($B400,7,1),"0123456789")-1,"")</f>
        <v/>
      </c>
      <c r="N400">
        <f>IF($F400=1,FIND(MID($B400,8,1),"0123456789")-1,"")</f>
        <v/>
      </c>
      <c r="O400">
        <f>IF($F400=1,FIND(MID($B400,9,1),"0123456789")-1,"")</f>
        <v/>
      </c>
      <c r="P400">
        <f>IF($F400=1,FIND(MID($B400,10,1),"0123456789")-1,"")</f>
        <v/>
      </c>
      <c r="Q400">
        <f>IF($F400=1,SUMPRODUCT($G400:$P400,{1,2,4,8,16,32,64,128,256,512}),"")</f>
        <v/>
      </c>
      <c r="R400">
        <f>IF($F400=1,MOD(MOD($Q400,11),10),"")</f>
        <v/>
      </c>
    </row>
    <row r="401">
      <c r="A401" s="6" t="n"/>
      <c r="B401" s="7">
        <f>IF($A401="","",UPPER(SUBSTITUTE(SUBSTITUTE(SUBSTITUTE(SUBSTITUTE(SUBSTITUTE(SUBSTITUTE($A401," ",""),"-",""),".",""),"/",""),"i","I"),"ı","?")))</f>
        <v/>
      </c>
      <c r="C401" s="8">
        <f>IF($F401=1,$R401,"")</f>
        <v/>
      </c>
      <c r="D401" s="7">
        <f>IF($A401="","",IF($F401=0,"Biçim hatalı",IF(FIND(MID($B401,11,1),"0123456789")-1=$R401,"Geçerli","Kontrol hanesi hatalı (doğrusu: "&amp;$R401&amp;")")))</f>
        <v/>
      </c>
      <c r="F401">
        <f>IF($A401="","",IF(AND(LEN($B401)=11,SUMPRODUCT(--ISNUMBER(FIND(MID($B401,{1,2,3},1),"ABCDEFGHIJKLMNOPQRSTUVWXYZ")))=3,ISNUMBER(FIND(MID($B401,4,1),"UJZ")),SUMPRODUCT(--ISNUMBER(FIND(MID($B401,{5,6,7,8,9,10,11},1),"0123456789")))=7),1,0))</f>
        <v/>
      </c>
      <c r="G401">
        <f>IF($F401=1,INDEX({10,12,13,14,15,16,17,18,19,20,21,23,24,25,26,27,28,29,30,31,32,34,35,36,37,38},1,FIND(MID($B401,1,1),"ABCDEFGHIJKLMNOPQRSTUVWXYZ")),"")</f>
        <v/>
      </c>
      <c r="H401">
        <f>IF($F401=1,INDEX({10,12,13,14,15,16,17,18,19,20,21,23,24,25,26,27,28,29,30,31,32,34,35,36,37,38},1,FIND(MID($B401,2,1),"ABCDEFGHIJKLMNOPQRSTUVWXYZ")),"")</f>
        <v/>
      </c>
      <c r="I401">
        <f>IF($F401=1,INDEX({10,12,13,14,15,16,17,18,19,20,21,23,24,25,26,27,28,29,30,31,32,34,35,36,37,38},1,FIND(MID($B401,3,1),"ABCDEFGHIJKLMNOPQRSTUVWXYZ")),"")</f>
        <v/>
      </c>
      <c r="J401">
        <f>IF($F401=1,INDEX({10,12,13,14,15,16,17,18,19,20,21,23,24,25,26,27,28,29,30,31,32,34,35,36,37,38},1,FIND(MID($B401,4,1),"ABCDEFGHIJKLMNOPQRSTUVWXYZ")),"")</f>
        <v/>
      </c>
      <c r="K401">
        <f>IF($F401=1,FIND(MID($B401,5,1),"0123456789")-1,"")</f>
        <v/>
      </c>
      <c r="L401">
        <f>IF($F401=1,FIND(MID($B401,6,1),"0123456789")-1,"")</f>
        <v/>
      </c>
      <c r="M401">
        <f>IF($F401=1,FIND(MID($B401,7,1),"0123456789")-1,"")</f>
        <v/>
      </c>
      <c r="N401">
        <f>IF($F401=1,FIND(MID($B401,8,1),"0123456789")-1,"")</f>
        <v/>
      </c>
      <c r="O401">
        <f>IF($F401=1,FIND(MID($B401,9,1),"0123456789")-1,"")</f>
        <v/>
      </c>
      <c r="P401">
        <f>IF($F401=1,FIND(MID($B401,10,1),"0123456789")-1,"")</f>
        <v/>
      </c>
      <c r="Q401">
        <f>IF($F401=1,SUMPRODUCT($G401:$P401,{1,2,4,8,16,32,64,128,256,512}),"")</f>
        <v/>
      </c>
      <c r="R401">
        <f>IF($F401=1,MOD(MOD($Q401,11),10),"")</f>
        <v/>
      </c>
    </row>
    <row r="402">
      <c r="A402" s="6" t="n"/>
      <c r="B402" s="7">
        <f>IF($A402="","",UPPER(SUBSTITUTE(SUBSTITUTE(SUBSTITUTE(SUBSTITUTE(SUBSTITUTE(SUBSTITUTE($A402," ",""),"-",""),".",""),"/",""),"i","I"),"ı","?")))</f>
        <v/>
      </c>
      <c r="C402" s="8">
        <f>IF($F402=1,$R402,"")</f>
        <v/>
      </c>
      <c r="D402" s="7">
        <f>IF($A402="","",IF($F402=0,"Biçim hatalı",IF(FIND(MID($B402,11,1),"0123456789")-1=$R402,"Geçerli","Kontrol hanesi hatalı (doğrusu: "&amp;$R402&amp;")")))</f>
        <v/>
      </c>
      <c r="F402">
        <f>IF($A402="","",IF(AND(LEN($B402)=11,SUMPRODUCT(--ISNUMBER(FIND(MID($B402,{1,2,3},1),"ABCDEFGHIJKLMNOPQRSTUVWXYZ")))=3,ISNUMBER(FIND(MID($B402,4,1),"UJZ")),SUMPRODUCT(--ISNUMBER(FIND(MID($B402,{5,6,7,8,9,10,11},1),"0123456789")))=7),1,0))</f>
        <v/>
      </c>
      <c r="G402">
        <f>IF($F402=1,INDEX({10,12,13,14,15,16,17,18,19,20,21,23,24,25,26,27,28,29,30,31,32,34,35,36,37,38},1,FIND(MID($B402,1,1),"ABCDEFGHIJKLMNOPQRSTUVWXYZ")),"")</f>
        <v/>
      </c>
      <c r="H402">
        <f>IF($F402=1,INDEX({10,12,13,14,15,16,17,18,19,20,21,23,24,25,26,27,28,29,30,31,32,34,35,36,37,38},1,FIND(MID($B402,2,1),"ABCDEFGHIJKLMNOPQRSTUVWXYZ")),"")</f>
        <v/>
      </c>
      <c r="I402">
        <f>IF($F402=1,INDEX({10,12,13,14,15,16,17,18,19,20,21,23,24,25,26,27,28,29,30,31,32,34,35,36,37,38},1,FIND(MID($B402,3,1),"ABCDEFGHIJKLMNOPQRSTUVWXYZ")),"")</f>
        <v/>
      </c>
      <c r="J402">
        <f>IF($F402=1,INDEX({10,12,13,14,15,16,17,18,19,20,21,23,24,25,26,27,28,29,30,31,32,34,35,36,37,38},1,FIND(MID($B402,4,1),"ABCDEFGHIJKLMNOPQRSTUVWXYZ")),"")</f>
        <v/>
      </c>
      <c r="K402">
        <f>IF($F402=1,FIND(MID($B402,5,1),"0123456789")-1,"")</f>
        <v/>
      </c>
      <c r="L402">
        <f>IF($F402=1,FIND(MID($B402,6,1),"0123456789")-1,"")</f>
        <v/>
      </c>
      <c r="M402">
        <f>IF($F402=1,FIND(MID($B402,7,1),"0123456789")-1,"")</f>
        <v/>
      </c>
      <c r="N402">
        <f>IF($F402=1,FIND(MID($B402,8,1),"0123456789")-1,"")</f>
        <v/>
      </c>
      <c r="O402">
        <f>IF($F402=1,FIND(MID($B402,9,1),"0123456789")-1,"")</f>
        <v/>
      </c>
      <c r="P402">
        <f>IF($F402=1,FIND(MID($B402,10,1),"0123456789")-1,"")</f>
        <v/>
      </c>
      <c r="Q402">
        <f>IF($F402=1,SUMPRODUCT($G402:$P402,{1,2,4,8,16,32,64,128,256,512}),"")</f>
        <v/>
      </c>
      <c r="R402">
        <f>IF($F402=1,MOD(MOD($Q402,11),10),"")</f>
        <v/>
      </c>
    </row>
    <row r="403">
      <c r="A403" s="6" t="n"/>
      <c r="B403" s="7">
        <f>IF($A403="","",UPPER(SUBSTITUTE(SUBSTITUTE(SUBSTITUTE(SUBSTITUTE(SUBSTITUTE(SUBSTITUTE($A403," ",""),"-",""),".",""),"/",""),"i","I"),"ı","?")))</f>
        <v/>
      </c>
      <c r="C403" s="8">
        <f>IF($F403=1,$R403,"")</f>
        <v/>
      </c>
      <c r="D403" s="7">
        <f>IF($A403="","",IF($F403=0,"Biçim hatalı",IF(FIND(MID($B403,11,1),"0123456789")-1=$R403,"Geçerli","Kontrol hanesi hatalı (doğrusu: "&amp;$R403&amp;")")))</f>
        <v/>
      </c>
      <c r="F403">
        <f>IF($A403="","",IF(AND(LEN($B403)=11,SUMPRODUCT(--ISNUMBER(FIND(MID($B403,{1,2,3},1),"ABCDEFGHIJKLMNOPQRSTUVWXYZ")))=3,ISNUMBER(FIND(MID($B403,4,1),"UJZ")),SUMPRODUCT(--ISNUMBER(FIND(MID($B403,{5,6,7,8,9,10,11},1),"0123456789")))=7),1,0))</f>
        <v/>
      </c>
      <c r="G403">
        <f>IF($F403=1,INDEX({10,12,13,14,15,16,17,18,19,20,21,23,24,25,26,27,28,29,30,31,32,34,35,36,37,38},1,FIND(MID($B403,1,1),"ABCDEFGHIJKLMNOPQRSTUVWXYZ")),"")</f>
        <v/>
      </c>
      <c r="H403">
        <f>IF($F403=1,INDEX({10,12,13,14,15,16,17,18,19,20,21,23,24,25,26,27,28,29,30,31,32,34,35,36,37,38},1,FIND(MID($B403,2,1),"ABCDEFGHIJKLMNOPQRSTUVWXYZ")),"")</f>
        <v/>
      </c>
      <c r="I403">
        <f>IF($F403=1,INDEX({10,12,13,14,15,16,17,18,19,20,21,23,24,25,26,27,28,29,30,31,32,34,35,36,37,38},1,FIND(MID($B403,3,1),"ABCDEFGHIJKLMNOPQRSTUVWXYZ")),"")</f>
        <v/>
      </c>
      <c r="J403">
        <f>IF($F403=1,INDEX({10,12,13,14,15,16,17,18,19,20,21,23,24,25,26,27,28,29,30,31,32,34,35,36,37,38},1,FIND(MID($B403,4,1),"ABCDEFGHIJKLMNOPQRSTUVWXYZ")),"")</f>
        <v/>
      </c>
      <c r="K403">
        <f>IF($F403=1,FIND(MID($B403,5,1),"0123456789")-1,"")</f>
        <v/>
      </c>
      <c r="L403">
        <f>IF($F403=1,FIND(MID($B403,6,1),"0123456789")-1,"")</f>
        <v/>
      </c>
      <c r="M403">
        <f>IF($F403=1,FIND(MID($B403,7,1),"0123456789")-1,"")</f>
        <v/>
      </c>
      <c r="N403">
        <f>IF($F403=1,FIND(MID($B403,8,1),"0123456789")-1,"")</f>
        <v/>
      </c>
      <c r="O403">
        <f>IF($F403=1,FIND(MID($B403,9,1),"0123456789")-1,"")</f>
        <v/>
      </c>
      <c r="P403">
        <f>IF($F403=1,FIND(MID($B403,10,1),"0123456789")-1,"")</f>
        <v/>
      </c>
      <c r="Q403">
        <f>IF($F403=1,SUMPRODUCT($G403:$P403,{1,2,4,8,16,32,64,128,256,512}),"")</f>
        <v/>
      </c>
      <c r="R403">
        <f>IF($F403=1,MOD(MOD($Q403,11),10),"")</f>
        <v/>
      </c>
    </row>
    <row r="404">
      <c r="A404" s="6" t="n"/>
      <c r="B404" s="7">
        <f>IF($A404="","",UPPER(SUBSTITUTE(SUBSTITUTE(SUBSTITUTE(SUBSTITUTE(SUBSTITUTE(SUBSTITUTE($A404," ",""),"-",""),".",""),"/",""),"i","I"),"ı","?")))</f>
        <v/>
      </c>
      <c r="C404" s="8">
        <f>IF($F404=1,$R404,"")</f>
        <v/>
      </c>
      <c r="D404" s="7">
        <f>IF($A404="","",IF($F404=0,"Biçim hatalı",IF(FIND(MID($B404,11,1),"0123456789")-1=$R404,"Geçerli","Kontrol hanesi hatalı (doğrusu: "&amp;$R404&amp;")")))</f>
        <v/>
      </c>
      <c r="F404">
        <f>IF($A404="","",IF(AND(LEN($B404)=11,SUMPRODUCT(--ISNUMBER(FIND(MID($B404,{1,2,3},1),"ABCDEFGHIJKLMNOPQRSTUVWXYZ")))=3,ISNUMBER(FIND(MID($B404,4,1),"UJZ")),SUMPRODUCT(--ISNUMBER(FIND(MID($B404,{5,6,7,8,9,10,11},1),"0123456789")))=7),1,0))</f>
        <v/>
      </c>
      <c r="G404">
        <f>IF($F404=1,INDEX({10,12,13,14,15,16,17,18,19,20,21,23,24,25,26,27,28,29,30,31,32,34,35,36,37,38},1,FIND(MID($B404,1,1),"ABCDEFGHIJKLMNOPQRSTUVWXYZ")),"")</f>
        <v/>
      </c>
      <c r="H404">
        <f>IF($F404=1,INDEX({10,12,13,14,15,16,17,18,19,20,21,23,24,25,26,27,28,29,30,31,32,34,35,36,37,38},1,FIND(MID($B404,2,1),"ABCDEFGHIJKLMNOPQRSTUVWXYZ")),"")</f>
        <v/>
      </c>
      <c r="I404">
        <f>IF($F404=1,INDEX({10,12,13,14,15,16,17,18,19,20,21,23,24,25,26,27,28,29,30,31,32,34,35,36,37,38},1,FIND(MID($B404,3,1),"ABCDEFGHIJKLMNOPQRSTUVWXYZ")),"")</f>
        <v/>
      </c>
      <c r="J404">
        <f>IF($F404=1,INDEX({10,12,13,14,15,16,17,18,19,20,21,23,24,25,26,27,28,29,30,31,32,34,35,36,37,38},1,FIND(MID($B404,4,1),"ABCDEFGHIJKLMNOPQRSTUVWXYZ")),"")</f>
        <v/>
      </c>
      <c r="K404">
        <f>IF($F404=1,FIND(MID($B404,5,1),"0123456789")-1,"")</f>
        <v/>
      </c>
      <c r="L404">
        <f>IF($F404=1,FIND(MID($B404,6,1),"0123456789")-1,"")</f>
        <v/>
      </c>
      <c r="M404">
        <f>IF($F404=1,FIND(MID($B404,7,1),"0123456789")-1,"")</f>
        <v/>
      </c>
      <c r="N404">
        <f>IF($F404=1,FIND(MID($B404,8,1),"0123456789")-1,"")</f>
        <v/>
      </c>
      <c r="O404">
        <f>IF($F404=1,FIND(MID($B404,9,1),"0123456789")-1,"")</f>
        <v/>
      </c>
      <c r="P404">
        <f>IF($F404=1,FIND(MID($B404,10,1),"0123456789")-1,"")</f>
        <v/>
      </c>
      <c r="Q404">
        <f>IF($F404=1,SUMPRODUCT($G404:$P404,{1,2,4,8,16,32,64,128,256,512}),"")</f>
        <v/>
      </c>
      <c r="R404">
        <f>IF($F404=1,MOD(MOD($Q404,11),10),"")</f>
        <v/>
      </c>
    </row>
    <row r="405">
      <c r="A405" s="6" t="n"/>
      <c r="B405" s="7">
        <f>IF($A405="","",UPPER(SUBSTITUTE(SUBSTITUTE(SUBSTITUTE(SUBSTITUTE(SUBSTITUTE(SUBSTITUTE($A405," ",""),"-",""),".",""),"/",""),"i","I"),"ı","?")))</f>
        <v/>
      </c>
      <c r="C405" s="8">
        <f>IF($F405=1,$R405,"")</f>
        <v/>
      </c>
      <c r="D405" s="7">
        <f>IF($A405="","",IF($F405=0,"Biçim hatalı",IF(FIND(MID($B405,11,1),"0123456789")-1=$R405,"Geçerli","Kontrol hanesi hatalı (doğrusu: "&amp;$R405&amp;")")))</f>
        <v/>
      </c>
      <c r="F405">
        <f>IF($A405="","",IF(AND(LEN($B405)=11,SUMPRODUCT(--ISNUMBER(FIND(MID($B405,{1,2,3},1),"ABCDEFGHIJKLMNOPQRSTUVWXYZ")))=3,ISNUMBER(FIND(MID($B405,4,1),"UJZ")),SUMPRODUCT(--ISNUMBER(FIND(MID($B405,{5,6,7,8,9,10,11},1),"0123456789")))=7),1,0))</f>
        <v/>
      </c>
      <c r="G405">
        <f>IF($F405=1,INDEX({10,12,13,14,15,16,17,18,19,20,21,23,24,25,26,27,28,29,30,31,32,34,35,36,37,38},1,FIND(MID($B405,1,1),"ABCDEFGHIJKLMNOPQRSTUVWXYZ")),"")</f>
        <v/>
      </c>
      <c r="H405">
        <f>IF($F405=1,INDEX({10,12,13,14,15,16,17,18,19,20,21,23,24,25,26,27,28,29,30,31,32,34,35,36,37,38},1,FIND(MID($B405,2,1),"ABCDEFGHIJKLMNOPQRSTUVWXYZ")),"")</f>
        <v/>
      </c>
      <c r="I405">
        <f>IF($F405=1,INDEX({10,12,13,14,15,16,17,18,19,20,21,23,24,25,26,27,28,29,30,31,32,34,35,36,37,38},1,FIND(MID($B405,3,1),"ABCDEFGHIJKLMNOPQRSTUVWXYZ")),"")</f>
        <v/>
      </c>
      <c r="J405">
        <f>IF($F405=1,INDEX({10,12,13,14,15,16,17,18,19,20,21,23,24,25,26,27,28,29,30,31,32,34,35,36,37,38},1,FIND(MID($B405,4,1),"ABCDEFGHIJKLMNOPQRSTUVWXYZ")),"")</f>
        <v/>
      </c>
      <c r="K405">
        <f>IF($F405=1,FIND(MID($B405,5,1),"0123456789")-1,"")</f>
        <v/>
      </c>
      <c r="L405">
        <f>IF($F405=1,FIND(MID($B405,6,1),"0123456789")-1,"")</f>
        <v/>
      </c>
      <c r="M405">
        <f>IF($F405=1,FIND(MID($B405,7,1),"0123456789")-1,"")</f>
        <v/>
      </c>
      <c r="N405">
        <f>IF($F405=1,FIND(MID($B405,8,1),"0123456789")-1,"")</f>
        <v/>
      </c>
      <c r="O405">
        <f>IF($F405=1,FIND(MID($B405,9,1),"0123456789")-1,"")</f>
        <v/>
      </c>
      <c r="P405">
        <f>IF($F405=1,FIND(MID($B405,10,1),"0123456789")-1,"")</f>
        <v/>
      </c>
      <c r="Q405">
        <f>IF($F405=1,SUMPRODUCT($G405:$P405,{1,2,4,8,16,32,64,128,256,512}),"")</f>
        <v/>
      </c>
      <c r="R405">
        <f>IF($F405=1,MOD(MOD($Q405,11),10),"")</f>
        <v/>
      </c>
    </row>
    <row r="406">
      <c r="A406" s="6" t="n"/>
      <c r="B406" s="7">
        <f>IF($A406="","",UPPER(SUBSTITUTE(SUBSTITUTE(SUBSTITUTE(SUBSTITUTE(SUBSTITUTE(SUBSTITUTE($A406," ",""),"-",""),".",""),"/",""),"i","I"),"ı","?")))</f>
        <v/>
      </c>
      <c r="C406" s="8">
        <f>IF($F406=1,$R406,"")</f>
        <v/>
      </c>
      <c r="D406" s="7">
        <f>IF($A406="","",IF($F406=0,"Biçim hatalı",IF(FIND(MID($B406,11,1),"0123456789")-1=$R406,"Geçerli","Kontrol hanesi hatalı (doğrusu: "&amp;$R406&amp;")")))</f>
        <v/>
      </c>
      <c r="F406">
        <f>IF($A406="","",IF(AND(LEN($B406)=11,SUMPRODUCT(--ISNUMBER(FIND(MID($B406,{1,2,3},1),"ABCDEFGHIJKLMNOPQRSTUVWXYZ")))=3,ISNUMBER(FIND(MID($B406,4,1),"UJZ")),SUMPRODUCT(--ISNUMBER(FIND(MID($B406,{5,6,7,8,9,10,11},1),"0123456789")))=7),1,0))</f>
        <v/>
      </c>
      <c r="G406">
        <f>IF($F406=1,INDEX({10,12,13,14,15,16,17,18,19,20,21,23,24,25,26,27,28,29,30,31,32,34,35,36,37,38},1,FIND(MID($B406,1,1),"ABCDEFGHIJKLMNOPQRSTUVWXYZ")),"")</f>
        <v/>
      </c>
      <c r="H406">
        <f>IF($F406=1,INDEX({10,12,13,14,15,16,17,18,19,20,21,23,24,25,26,27,28,29,30,31,32,34,35,36,37,38},1,FIND(MID($B406,2,1),"ABCDEFGHIJKLMNOPQRSTUVWXYZ")),"")</f>
        <v/>
      </c>
      <c r="I406">
        <f>IF($F406=1,INDEX({10,12,13,14,15,16,17,18,19,20,21,23,24,25,26,27,28,29,30,31,32,34,35,36,37,38},1,FIND(MID($B406,3,1),"ABCDEFGHIJKLMNOPQRSTUVWXYZ")),"")</f>
        <v/>
      </c>
      <c r="J406">
        <f>IF($F406=1,INDEX({10,12,13,14,15,16,17,18,19,20,21,23,24,25,26,27,28,29,30,31,32,34,35,36,37,38},1,FIND(MID($B406,4,1),"ABCDEFGHIJKLMNOPQRSTUVWXYZ")),"")</f>
        <v/>
      </c>
      <c r="K406">
        <f>IF($F406=1,FIND(MID($B406,5,1),"0123456789")-1,"")</f>
        <v/>
      </c>
      <c r="L406">
        <f>IF($F406=1,FIND(MID($B406,6,1),"0123456789")-1,"")</f>
        <v/>
      </c>
      <c r="M406">
        <f>IF($F406=1,FIND(MID($B406,7,1),"0123456789")-1,"")</f>
        <v/>
      </c>
      <c r="N406">
        <f>IF($F406=1,FIND(MID($B406,8,1),"0123456789")-1,"")</f>
        <v/>
      </c>
      <c r="O406">
        <f>IF($F406=1,FIND(MID($B406,9,1),"0123456789")-1,"")</f>
        <v/>
      </c>
      <c r="P406">
        <f>IF($F406=1,FIND(MID($B406,10,1),"0123456789")-1,"")</f>
        <v/>
      </c>
      <c r="Q406">
        <f>IF($F406=1,SUMPRODUCT($G406:$P406,{1,2,4,8,16,32,64,128,256,512}),"")</f>
        <v/>
      </c>
      <c r="R406">
        <f>IF($F406=1,MOD(MOD($Q406,11),10),"")</f>
        <v/>
      </c>
    </row>
    <row r="407">
      <c r="A407" s="6" t="n"/>
      <c r="B407" s="7">
        <f>IF($A407="","",UPPER(SUBSTITUTE(SUBSTITUTE(SUBSTITUTE(SUBSTITUTE(SUBSTITUTE(SUBSTITUTE($A407," ",""),"-",""),".",""),"/",""),"i","I"),"ı","?")))</f>
        <v/>
      </c>
      <c r="C407" s="8">
        <f>IF($F407=1,$R407,"")</f>
        <v/>
      </c>
      <c r="D407" s="7">
        <f>IF($A407="","",IF($F407=0,"Biçim hatalı",IF(FIND(MID($B407,11,1),"0123456789")-1=$R407,"Geçerli","Kontrol hanesi hatalı (doğrusu: "&amp;$R407&amp;")")))</f>
        <v/>
      </c>
      <c r="F407">
        <f>IF($A407="","",IF(AND(LEN($B407)=11,SUMPRODUCT(--ISNUMBER(FIND(MID($B407,{1,2,3},1),"ABCDEFGHIJKLMNOPQRSTUVWXYZ")))=3,ISNUMBER(FIND(MID($B407,4,1),"UJZ")),SUMPRODUCT(--ISNUMBER(FIND(MID($B407,{5,6,7,8,9,10,11},1),"0123456789")))=7),1,0))</f>
        <v/>
      </c>
      <c r="G407">
        <f>IF($F407=1,INDEX({10,12,13,14,15,16,17,18,19,20,21,23,24,25,26,27,28,29,30,31,32,34,35,36,37,38},1,FIND(MID($B407,1,1),"ABCDEFGHIJKLMNOPQRSTUVWXYZ")),"")</f>
        <v/>
      </c>
      <c r="H407">
        <f>IF($F407=1,INDEX({10,12,13,14,15,16,17,18,19,20,21,23,24,25,26,27,28,29,30,31,32,34,35,36,37,38},1,FIND(MID($B407,2,1),"ABCDEFGHIJKLMNOPQRSTUVWXYZ")),"")</f>
        <v/>
      </c>
      <c r="I407">
        <f>IF($F407=1,INDEX({10,12,13,14,15,16,17,18,19,20,21,23,24,25,26,27,28,29,30,31,32,34,35,36,37,38},1,FIND(MID($B407,3,1),"ABCDEFGHIJKLMNOPQRSTUVWXYZ")),"")</f>
        <v/>
      </c>
      <c r="J407">
        <f>IF($F407=1,INDEX({10,12,13,14,15,16,17,18,19,20,21,23,24,25,26,27,28,29,30,31,32,34,35,36,37,38},1,FIND(MID($B407,4,1),"ABCDEFGHIJKLMNOPQRSTUVWXYZ")),"")</f>
        <v/>
      </c>
      <c r="K407">
        <f>IF($F407=1,FIND(MID($B407,5,1),"0123456789")-1,"")</f>
        <v/>
      </c>
      <c r="L407">
        <f>IF($F407=1,FIND(MID($B407,6,1),"0123456789")-1,"")</f>
        <v/>
      </c>
      <c r="M407">
        <f>IF($F407=1,FIND(MID($B407,7,1),"0123456789")-1,"")</f>
        <v/>
      </c>
      <c r="N407">
        <f>IF($F407=1,FIND(MID($B407,8,1),"0123456789")-1,"")</f>
        <v/>
      </c>
      <c r="O407">
        <f>IF($F407=1,FIND(MID($B407,9,1),"0123456789")-1,"")</f>
        <v/>
      </c>
      <c r="P407">
        <f>IF($F407=1,FIND(MID($B407,10,1),"0123456789")-1,"")</f>
        <v/>
      </c>
      <c r="Q407">
        <f>IF($F407=1,SUMPRODUCT($G407:$P407,{1,2,4,8,16,32,64,128,256,512}),"")</f>
        <v/>
      </c>
      <c r="R407">
        <f>IF($F407=1,MOD(MOD($Q407,11),10),"")</f>
        <v/>
      </c>
    </row>
    <row r="408">
      <c r="A408" s="6" t="n"/>
      <c r="B408" s="7">
        <f>IF($A408="","",UPPER(SUBSTITUTE(SUBSTITUTE(SUBSTITUTE(SUBSTITUTE(SUBSTITUTE(SUBSTITUTE($A408," ",""),"-",""),".",""),"/",""),"i","I"),"ı","?")))</f>
        <v/>
      </c>
      <c r="C408" s="8">
        <f>IF($F408=1,$R408,"")</f>
        <v/>
      </c>
      <c r="D408" s="7">
        <f>IF($A408="","",IF($F408=0,"Biçim hatalı",IF(FIND(MID($B408,11,1),"0123456789")-1=$R408,"Geçerli","Kontrol hanesi hatalı (doğrusu: "&amp;$R408&amp;")")))</f>
        <v/>
      </c>
      <c r="F408">
        <f>IF($A408="","",IF(AND(LEN($B408)=11,SUMPRODUCT(--ISNUMBER(FIND(MID($B408,{1,2,3},1),"ABCDEFGHIJKLMNOPQRSTUVWXYZ")))=3,ISNUMBER(FIND(MID($B408,4,1),"UJZ")),SUMPRODUCT(--ISNUMBER(FIND(MID($B408,{5,6,7,8,9,10,11},1),"0123456789")))=7),1,0))</f>
        <v/>
      </c>
      <c r="G408">
        <f>IF($F408=1,INDEX({10,12,13,14,15,16,17,18,19,20,21,23,24,25,26,27,28,29,30,31,32,34,35,36,37,38},1,FIND(MID($B408,1,1),"ABCDEFGHIJKLMNOPQRSTUVWXYZ")),"")</f>
        <v/>
      </c>
      <c r="H408">
        <f>IF($F408=1,INDEX({10,12,13,14,15,16,17,18,19,20,21,23,24,25,26,27,28,29,30,31,32,34,35,36,37,38},1,FIND(MID($B408,2,1),"ABCDEFGHIJKLMNOPQRSTUVWXYZ")),"")</f>
        <v/>
      </c>
      <c r="I408">
        <f>IF($F408=1,INDEX({10,12,13,14,15,16,17,18,19,20,21,23,24,25,26,27,28,29,30,31,32,34,35,36,37,38},1,FIND(MID($B408,3,1),"ABCDEFGHIJKLMNOPQRSTUVWXYZ")),"")</f>
        <v/>
      </c>
      <c r="J408">
        <f>IF($F408=1,INDEX({10,12,13,14,15,16,17,18,19,20,21,23,24,25,26,27,28,29,30,31,32,34,35,36,37,38},1,FIND(MID($B408,4,1),"ABCDEFGHIJKLMNOPQRSTUVWXYZ")),"")</f>
        <v/>
      </c>
      <c r="K408">
        <f>IF($F408=1,FIND(MID($B408,5,1),"0123456789")-1,"")</f>
        <v/>
      </c>
      <c r="L408">
        <f>IF($F408=1,FIND(MID($B408,6,1),"0123456789")-1,"")</f>
        <v/>
      </c>
      <c r="M408">
        <f>IF($F408=1,FIND(MID($B408,7,1),"0123456789")-1,"")</f>
        <v/>
      </c>
      <c r="N408">
        <f>IF($F408=1,FIND(MID($B408,8,1),"0123456789")-1,"")</f>
        <v/>
      </c>
      <c r="O408">
        <f>IF($F408=1,FIND(MID($B408,9,1),"0123456789")-1,"")</f>
        <v/>
      </c>
      <c r="P408">
        <f>IF($F408=1,FIND(MID($B408,10,1),"0123456789")-1,"")</f>
        <v/>
      </c>
      <c r="Q408">
        <f>IF($F408=1,SUMPRODUCT($G408:$P408,{1,2,4,8,16,32,64,128,256,512}),"")</f>
        <v/>
      </c>
      <c r="R408">
        <f>IF($F408=1,MOD(MOD($Q408,11),10),"")</f>
        <v/>
      </c>
    </row>
    <row r="409">
      <c r="A409" s="6" t="n"/>
      <c r="B409" s="7">
        <f>IF($A409="","",UPPER(SUBSTITUTE(SUBSTITUTE(SUBSTITUTE(SUBSTITUTE(SUBSTITUTE(SUBSTITUTE($A409," ",""),"-",""),".",""),"/",""),"i","I"),"ı","?")))</f>
        <v/>
      </c>
      <c r="C409" s="8">
        <f>IF($F409=1,$R409,"")</f>
        <v/>
      </c>
      <c r="D409" s="7">
        <f>IF($A409="","",IF($F409=0,"Biçim hatalı",IF(FIND(MID($B409,11,1),"0123456789")-1=$R409,"Geçerli","Kontrol hanesi hatalı (doğrusu: "&amp;$R409&amp;")")))</f>
        <v/>
      </c>
      <c r="F409">
        <f>IF($A409="","",IF(AND(LEN($B409)=11,SUMPRODUCT(--ISNUMBER(FIND(MID($B409,{1,2,3},1),"ABCDEFGHIJKLMNOPQRSTUVWXYZ")))=3,ISNUMBER(FIND(MID($B409,4,1),"UJZ")),SUMPRODUCT(--ISNUMBER(FIND(MID($B409,{5,6,7,8,9,10,11},1),"0123456789")))=7),1,0))</f>
        <v/>
      </c>
      <c r="G409">
        <f>IF($F409=1,INDEX({10,12,13,14,15,16,17,18,19,20,21,23,24,25,26,27,28,29,30,31,32,34,35,36,37,38},1,FIND(MID($B409,1,1),"ABCDEFGHIJKLMNOPQRSTUVWXYZ")),"")</f>
        <v/>
      </c>
      <c r="H409">
        <f>IF($F409=1,INDEX({10,12,13,14,15,16,17,18,19,20,21,23,24,25,26,27,28,29,30,31,32,34,35,36,37,38},1,FIND(MID($B409,2,1),"ABCDEFGHIJKLMNOPQRSTUVWXYZ")),"")</f>
        <v/>
      </c>
      <c r="I409">
        <f>IF($F409=1,INDEX({10,12,13,14,15,16,17,18,19,20,21,23,24,25,26,27,28,29,30,31,32,34,35,36,37,38},1,FIND(MID($B409,3,1),"ABCDEFGHIJKLMNOPQRSTUVWXYZ")),"")</f>
        <v/>
      </c>
      <c r="J409">
        <f>IF($F409=1,INDEX({10,12,13,14,15,16,17,18,19,20,21,23,24,25,26,27,28,29,30,31,32,34,35,36,37,38},1,FIND(MID($B409,4,1),"ABCDEFGHIJKLMNOPQRSTUVWXYZ")),"")</f>
        <v/>
      </c>
      <c r="K409">
        <f>IF($F409=1,FIND(MID($B409,5,1),"0123456789")-1,"")</f>
        <v/>
      </c>
      <c r="L409">
        <f>IF($F409=1,FIND(MID($B409,6,1),"0123456789")-1,"")</f>
        <v/>
      </c>
      <c r="M409">
        <f>IF($F409=1,FIND(MID($B409,7,1),"0123456789")-1,"")</f>
        <v/>
      </c>
      <c r="N409">
        <f>IF($F409=1,FIND(MID($B409,8,1),"0123456789")-1,"")</f>
        <v/>
      </c>
      <c r="O409">
        <f>IF($F409=1,FIND(MID($B409,9,1),"0123456789")-1,"")</f>
        <v/>
      </c>
      <c r="P409">
        <f>IF($F409=1,FIND(MID($B409,10,1),"0123456789")-1,"")</f>
        <v/>
      </c>
      <c r="Q409">
        <f>IF($F409=1,SUMPRODUCT($G409:$P409,{1,2,4,8,16,32,64,128,256,512}),"")</f>
        <v/>
      </c>
      <c r="R409">
        <f>IF($F409=1,MOD(MOD($Q409,11),10),"")</f>
        <v/>
      </c>
    </row>
    <row r="410">
      <c r="A410" s="6" t="n"/>
      <c r="B410" s="7">
        <f>IF($A410="","",UPPER(SUBSTITUTE(SUBSTITUTE(SUBSTITUTE(SUBSTITUTE(SUBSTITUTE(SUBSTITUTE($A410," ",""),"-",""),".",""),"/",""),"i","I"),"ı","?")))</f>
        <v/>
      </c>
      <c r="C410" s="8">
        <f>IF($F410=1,$R410,"")</f>
        <v/>
      </c>
      <c r="D410" s="7">
        <f>IF($A410="","",IF($F410=0,"Biçim hatalı",IF(FIND(MID($B410,11,1),"0123456789")-1=$R410,"Geçerli","Kontrol hanesi hatalı (doğrusu: "&amp;$R410&amp;")")))</f>
        <v/>
      </c>
      <c r="F410">
        <f>IF($A410="","",IF(AND(LEN($B410)=11,SUMPRODUCT(--ISNUMBER(FIND(MID($B410,{1,2,3},1),"ABCDEFGHIJKLMNOPQRSTUVWXYZ")))=3,ISNUMBER(FIND(MID($B410,4,1),"UJZ")),SUMPRODUCT(--ISNUMBER(FIND(MID($B410,{5,6,7,8,9,10,11},1),"0123456789")))=7),1,0))</f>
        <v/>
      </c>
      <c r="G410">
        <f>IF($F410=1,INDEX({10,12,13,14,15,16,17,18,19,20,21,23,24,25,26,27,28,29,30,31,32,34,35,36,37,38},1,FIND(MID($B410,1,1),"ABCDEFGHIJKLMNOPQRSTUVWXYZ")),"")</f>
        <v/>
      </c>
      <c r="H410">
        <f>IF($F410=1,INDEX({10,12,13,14,15,16,17,18,19,20,21,23,24,25,26,27,28,29,30,31,32,34,35,36,37,38},1,FIND(MID($B410,2,1),"ABCDEFGHIJKLMNOPQRSTUVWXYZ")),"")</f>
        <v/>
      </c>
      <c r="I410">
        <f>IF($F410=1,INDEX({10,12,13,14,15,16,17,18,19,20,21,23,24,25,26,27,28,29,30,31,32,34,35,36,37,38},1,FIND(MID($B410,3,1),"ABCDEFGHIJKLMNOPQRSTUVWXYZ")),"")</f>
        <v/>
      </c>
      <c r="J410">
        <f>IF($F410=1,INDEX({10,12,13,14,15,16,17,18,19,20,21,23,24,25,26,27,28,29,30,31,32,34,35,36,37,38},1,FIND(MID($B410,4,1),"ABCDEFGHIJKLMNOPQRSTUVWXYZ")),"")</f>
        <v/>
      </c>
      <c r="K410">
        <f>IF($F410=1,FIND(MID($B410,5,1),"0123456789")-1,"")</f>
        <v/>
      </c>
      <c r="L410">
        <f>IF($F410=1,FIND(MID($B410,6,1),"0123456789")-1,"")</f>
        <v/>
      </c>
      <c r="M410">
        <f>IF($F410=1,FIND(MID($B410,7,1),"0123456789")-1,"")</f>
        <v/>
      </c>
      <c r="N410">
        <f>IF($F410=1,FIND(MID($B410,8,1),"0123456789")-1,"")</f>
        <v/>
      </c>
      <c r="O410">
        <f>IF($F410=1,FIND(MID($B410,9,1),"0123456789")-1,"")</f>
        <v/>
      </c>
      <c r="P410">
        <f>IF($F410=1,FIND(MID($B410,10,1),"0123456789")-1,"")</f>
        <v/>
      </c>
      <c r="Q410">
        <f>IF($F410=1,SUMPRODUCT($G410:$P410,{1,2,4,8,16,32,64,128,256,512}),"")</f>
        <v/>
      </c>
      <c r="R410">
        <f>IF($F410=1,MOD(MOD($Q410,11),10),"")</f>
        <v/>
      </c>
    </row>
    <row r="411">
      <c r="A411" s="6" t="n"/>
      <c r="B411" s="7">
        <f>IF($A411="","",UPPER(SUBSTITUTE(SUBSTITUTE(SUBSTITUTE(SUBSTITUTE(SUBSTITUTE(SUBSTITUTE($A411," ",""),"-",""),".",""),"/",""),"i","I"),"ı","?")))</f>
        <v/>
      </c>
      <c r="C411" s="8">
        <f>IF($F411=1,$R411,"")</f>
        <v/>
      </c>
      <c r="D411" s="7">
        <f>IF($A411="","",IF($F411=0,"Biçim hatalı",IF(FIND(MID($B411,11,1),"0123456789")-1=$R411,"Geçerli","Kontrol hanesi hatalı (doğrusu: "&amp;$R411&amp;")")))</f>
        <v/>
      </c>
      <c r="F411">
        <f>IF($A411="","",IF(AND(LEN($B411)=11,SUMPRODUCT(--ISNUMBER(FIND(MID($B411,{1,2,3},1),"ABCDEFGHIJKLMNOPQRSTUVWXYZ")))=3,ISNUMBER(FIND(MID($B411,4,1),"UJZ")),SUMPRODUCT(--ISNUMBER(FIND(MID($B411,{5,6,7,8,9,10,11},1),"0123456789")))=7),1,0))</f>
        <v/>
      </c>
      <c r="G411">
        <f>IF($F411=1,INDEX({10,12,13,14,15,16,17,18,19,20,21,23,24,25,26,27,28,29,30,31,32,34,35,36,37,38},1,FIND(MID($B411,1,1),"ABCDEFGHIJKLMNOPQRSTUVWXYZ")),"")</f>
        <v/>
      </c>
      <c r="H411">
        <f>IF($F411=1,INDEX({10,12,13,14,15,16,17,18,19,20,21,23,24,25,26,27,28,29,30,31,32,34,35,36,37,38},1,FIND(MID($B411,2,1),"ABCDEFGHIJKLMNOPQRSTUVWXYZ")),"")</f>
        <v/>
      </c>
      <c r="I411">
        <f>IF($F411=1,INDEX({10,12,13,14,15,16,17,18,19,20,21,23,24,25,26,27,28,29,30,31,32,34,35,36,37,38},1,FIND(MID($B411,3,1),"ABCDEFGHIJKLMNOPQRSTUVWXYZ")),"")</f>
        <v/>
      </c>
      <c r="J411">
        <f>IF($F411=1,INDEX({10,12,13,14,15,16,17,18,19,20,21,23,24,25,26,27,28,29,30,31,32,34,35,36,37,38},1,FIND(MID($B411,4,1),"ABCDEFGHIJKLMNOPQRSTUVWXYZ")),"")</f>
        <v/>
      </c>
      <c r="K411">
        <f>IF($F411=1,FIND(MID($B411,5,1),"0123456789")-1,"")</f>
        <v/>
      </c>
      <c r="L411">
        <f>IF($F411=1,FIND(MID($B411,6,1),"0123456789")-1,"")</f>
        <v/>
      </c>
      <c r="M411">
        <f>IF($F411=1,FIND(MID($B411,7,1),"0123456789")-1,"")</f>
        <v/>
      </c>
      <c r="N411">
        <f>IF($F411=1,FIND(MID($B411,8,1),"0123456789")-1,"")</f>
        <v/>
      </c>
      <c r="O411">
        <f>IF($F411=1,FIND(MID($B411,9,1),"0123456789")-1,"")</f>
        <v/>
      </c>
      <c r="P411">
        <f>IF($F411=1,FIND(MID($B411,10,1),"0123456789")-1,"")</f>
        <v/>
      </c>
      <c r="Q411">
        <f>IF($F411=1,SUMPRODUCT($G411:$P411,{1,2,4,8,16,32,64,128,256,512}),"")</f>
        <v/>
      </c>
      <c r="R411">
        <f>IF($F411=1,MOD(MOD($Q411,11),10),"")</f>
        <v/>
      </c>
    </row>
    <row r="412">
      <c r="A412" s="6" t="n"/>
      <c r="B412" s="7">
        <f>IF($A412="","",UPPER(SUBSTITUTE(SUBSTITUTE(SUBSTITUTE(SUBSTITUTE(SUBSTITUTE(SUBSTITUTE($A412," ",""),"-",""),".",""),"/",""),"i","I"),"ı","?")))</f>
        <v/>
      </c>
      <c r="C412" s="8">
        <f>IF($F412=1,$R412,"")</f>
        <v/>
      </c>
      <c r="D412" s="7">
        <f>IF($A412="","",IF($F412=0,"Biçim hatalı",IF(FIND(MID($B412,11,1),"0123456789")-1=$R412,"Geçerli","Kontrol hanesi hatalı (doğrusu: "&amp;$R412&amp;")")))</f>
        <v/>
      </c>
      <c r="F412">
        <f>IF($A412="","",IF(AND(LEN($B412)=11,SUMPRODUCT(--ISNUMBER(FIND(MID($B412,{1,2,3},1),"ABCDEFGHIJKLMNOPQRSTUVWXYZ")))=3,ISNUMBER(FIND(MID($B412,4,1),"UJZ")),SUMPRODUCT(--ISNUMBER(FIND(MID($B412,{5,6,7,8,9,10,11},1),"0123456789")))=7),1,0))</f>
        <v/>
      </c>
      <c r="G412">
        <f>IF($F412=1,INDEX({10,12,13,14,15,16,17,18,19,20,21,23,24,25,26,27,28,29,30,31,32,34,35,36,37,38},1,FIND(MID($B412,1,1),"ABCDEFGHIJKLMNOPQRSTUVWXYZ")),"")</f>
        <v/>
      </c>
      <c r="H412">
        <f>IF($F412=1,INDEX({10,12,13,14,15,16,17,18,19,20,21,23,24,25,26,27,28,29,30,31,32,34,35,36,37,38},1,FIND(MID($B412,2,1),"ABCDEFGHIJKLMNOPQRSTUVWXYZ")),"")</f>
        <v/>
      </c>
      <c r="I412">
        <f>IF($F412=1,INDEX({10,12,13,14,15,16,17,18,19,20,21,23,24,25,26,27,28,29,30,31,32,34,35,36,37,38},1,FIND(MID($B412,3,1),"ABCDEFGHIJKLMNOPQRSTUVWXYZ")),"")</f>
        <v/>
      </c>
      <c r="J412">
        <f>IF($F412=1,INDEX({10,12,13,14,15,16,17,18,19,20,21,23,24,25,26,27,28,29,30,31,32,34,35,36,37,38},1,FIND(MID($B412,4,1),"ABCDEFGHIJKLMNOPQRSTUVWXYZ")),"")</f>
        <v/>
      </c>
      <c r="K412">
        <f>IF($F412=1,FIND(MID($B412,5,1),"0123456789")-1,"")</f>
        <v/>
      </c>
      <c r="L412">
        <f>IF($F412=1,FIND(MID($B412,6,1),"0123456789")-1,"")</f>
        <v/>
      </c>
      <c r="M412">
        <f>IF($F412=1,FIND(MID($B412,7,1),"0123456789")-1,"")</f>
        <v/>
      </c>
      <c r="N412">
        <f>IF($F412=1,FIND(MID($B412,8,1),"0123456789")-1,"")</f>
        <v/>
      </c>
      <c r="O412">
        <f>IF($F412=1,FIND(MID($B412,9,1),"0123456789")-1,"")</f>
        <v/>
      </c>
      <c r="P412">
        <f>IF($F412=1,FIND(MID($B412,10,1),"0123456789")-1,"")</f>
        <v/>
      </c>
      <c r="Q412">
        <f>IF($F412=1,SUMPRODUCT($G412:$P412,{1,2,4,8,16,32,64,128,256,512}),"")</f>
        <v/>
      </c>
      <c r="R412">
        <f>IF($F412=1,MOD(MOD($Q412,11),10),"")</f>
        <v/>
      </c>
    </row>
    <row r="413">
      <c r="A413" s="6" t="n"/>
      <c r="B413" s="7">
        <f>IF($A413="","",UPPER(SUBSTITUTE(SUBSTITUTE(SUBSTITUTE(SUBSTITUTE(SUBSTITUTE(SUBSTITUTE($A413," ",""),"-",""),".",""),"/",""),"i","I"),"ı","?")))</f>
        <v/>
      </c>
      <c r="C413" s="8">
        <f>IF($F413=1,$R413,"")</f>
        <v/>
      </c>
      <c r="D413" s="7">
        <f>IF($A413="","",IF($F413=0,"Biçim hatalı",IF(FIND(MID($B413,11,1),"0123456789")-1=$R413,"Geçerli","Kontrol hanesi hatalı (doğrusu: "&amp;$R413&amp;")")))</f>
        <v/>
      </c>
      <c r="F413">
        <f>IF($A413="","",IF(AND(LEN($B413)=11,SUMPRODUCT(--ISNUMBER(FIND(MID($B413,{1,2,3},1),"ABCDEFGHIJKLMNOPQRSTUVWXYZ")))=3,ISNUMBER(FIND(MID($B413,4,1),"UJZ")),SUMPRODUCT(--ISNUMBER(FIND(MID($B413,{5,6,7,8,9,10,11},1),"0123456789")))=7),1,0))</f>
        <v/>
      </c>
      <c r="G413">
        <f>IF($F413=1,INDEX({10,12,13,14,15,16,17,18,19,20,21,23,24,25,26,27,28,29,30,31,32,34,35,36,37,38},1,FIND(MID($B413,1,1),"ABCDEFGHIJKLMNOPQRSTUVWXYZ")),"")</f>
        <v/>
      </c>
      <c r="H413">
        <f>IF($F413=1,INDEX({10,12,13,14,15,16,17,18,19,20,21,23,24,25,26,27,28,29,30,31,32,34,35,36,37,38},1,FIND(MID($B413,2,1),"ABCDEFGHIJKLMNOPQRSTUVWXYZ")),"")</f>
        <v/>
      </c>
      <c r="I413">
        <f>IF($F413=1,INDEX({10,12,13,14,15,16,17,18,19,20,21,23,24,25,26,27,28,29,30,31,32,34,35,36,37,38},1,FIND(MID($B413,3,1),"ABCDEFGHIJKLMNOPQRSTUVWXYZ")),"")</f>
        <v/>
      </c>
      <c r="J413">
        <f>IF($F413=1,INDEX({10,12,13,14,15,16,17,18,19,20,21,23,24,25,26,27,28,29,30,31,32,34,35,36,37,38},1,FIND(MID($B413,4,1),"ABCDEFGHIJKLMNOPQRSTUVWXYZ")),"")</f>
        <v/>
      </c>
      <c r="K413">
        <f>IF($F413=1,FIND(MID($B413,5,1),"0123456789")-1,"")</f>
        <v/>
      </c>
      <c r="L413">
        <f>IF($F413=1,FIND(MID($B413,6,1),"0123456789")-1,"")</f>
        <v/>
      </c>
      <c r="M413">
        <f>IF($F413=1,FIND(MID($B413,7,1),"0123456789")-1,"")</f>
        <v/>
      </c>
      <c r="N413">
        <f>IF($F413=1,FIND(MID($B413,8,1),"0123456789")-1,"")</f>
        <v/>
      </c>
      <c r="O413">
        <f>IF($F413=1,FIND(MID($B413,9,1),"0123456789")-1,"")</f>
        <v/>
      </c>
      <c r="P413">
        <f>IF($F413=1,FIND(MID($B413,10,1),"0123456789")-1,"")</f>
        <v/>
      </c>
      <c r="Q413">
        <f>IF($F413=1,SUMPRODUCT($G413:$P413,{1,2,4,8,16,32,64,128,256,512}),"")</f>
        <v/>
      </c>
      <c r="R413">
        <f>IF($F413=1,MOD(MOD($Q413,11),10),"")</f>
        <v/>
      </c>
    </row>
    <row r="414">
      <c r="A414" s="6" t="n"/>
      <c r="B414" s="7">
        <f>IF($A414="","",UPPER(SUBSTITUTE(SUBSTITUTE(SUBSTITUTE(SUBSTITUTE(SUBSTITUTE(SUBSTITUTE($A414," ",""),"-",""),".",""),"/",""),"i","I"),"ı","?")))</f>
        <v/>
      </c>
      <c r="C414" s="8">
        <f>IF($F414=1,$R414,"")</f>
        <v/>
      </c>
      <c r="D414" s="7">
        <f>IF($A414="","",IF($F414=0,"Biçim hatalı",IF(FIND(MID($B414,11,1),"0123456789")-1=$R414,"Geçerli","Kontrol hanesi hatalı (doğrusu: "&amp;$R414&amp;")")))</f>
        <v/>
      </c>
      <c r="F414">
        <f>IF($A414="","",IF(AND(LEN($B414)=11,SUMPRODUCT(--ISNUMBER(FIND(MID($B414,{1,2,3},1),"ABCDEFGHIJKLMNOPQRSTUVWXYZ")))=3,ISNUMBER(FIND(MID($B414,4,1),"UJZ")),SUMPRODUCT(--ISNUMBER(FIND(MID($B414,{5,6,7,8,9,10,11},1),"0123456789")))=7),1,0))</f>
        <v/>
      </c>
      <c r="G414">
        <f>IF($F414=1,INDEX({10,12,13,14,15,16,17,18,19,20,21,23,24,25,26,27,28,29,30,31,32,34,35,36,37,38},1,FIND(MID($B414,1,1),"ABCDEFGHIJKLMNOPQRSTUVWXYZ")),"")</f>
        <v/>
      </c>
      <c r="H414">
        <f>IF($F414=1,INDEX({10,12,13,14,15,16,17,18,19,20,21,23,24,25,26,27,28,29,30,31,32,34,35,36,37,38},1,FIND(MID($B414,2,1),"ABCDEFGHIJKLMNOPQRSTUVWXYZ")),"")</f>
        <v/>
      </c>
      <c r="I414">
        <f>IF($F414=1,INDEX({10,12,13,14,15,16,17,18,19,20,21,23,24,25,26,27,28,29,30,31,32,34,35,36,37,38},1,FIND(MID($B414,3,1),"ABCDEFGHIJKLMNOPQRSTUVWXYZ")),"")</f>
        <v/>
      </c>
      <c r="J414">
        <f>IF($F414=1,INDEX({10,12,13,14,15,16,17,18,19,20,21,23,24,25,26,27,28,29,30,31,32,34,35,36,37,38},1,FIND(MID($B414,4,1),"ABCDEFGHIJKLMNOPQRSTUVWXYZ")),"")</f>
        <v/>
      </c>
      <c r="K414">
        <f>IF($F414=1,FIND(MID($B414,5,1),"0123456789")-1,"")</f>
        <v/>
      </c>
      <c r="L414">
        <f>IF($F414=1,FIND(MID($B414,6,1),"0123456789")-1,"")</f>
        <v/>
      </c>
      <c r="M414">
        <f>IF($F414=1,FIND(MID($B414,7,1),"0123456789")-1,"")</f>
        <v/>
      </c>
      <c r="N414">
        <f>IF($F414=1,FIND(MID($B414,8,1),"0123456789")-1,"")</f>
        <v/>
      </c>
      <c r="O414">
        <f>IF($F414=1,FIND(MID($B414,9,1),"0123456789")-1,"")</f>
        <v/>
      </c>
      <c r="P414">
        <f>IF($F414=1,FIND(MID($B414,10,1),"0123456789")-1,"")</f>
        <v/>
      </c>
      <c r="Q414">
        <f>IF($F414=1,SUMPRODUCT($G414:$P414,{1,2,4,8,16,32,64,128,256,512}),"")</f>
        <v/>
      </c>
      <c r="R414">
        <f>IF($F414=1,MOD(MOD($Q414,11),10),"")</f>
        <v/>
      </c>
    </row>
    <row r="415">
      <c r="A415" s="6" t="n"/>
      <c r="B415" s="7">
        <f>IF($A415="","",UPPER(SUBSTITUTE(SUBSTITUTE(SUBSTITUTE(SUBSTITUTE(SUBSTITUTE(SUBSTITUTE($A415," ",""),"-",""),".",""),"/",""),"i","I"),"ı","?")))</f>
        <v/>
      </c>
      <c r="C415" s="8">
        <f>IF($F415=1,$R415,"")</f>
        <v/>
      </c>
      <c r="D415" s="7">
        <f>IF($A415="","",IF($F415=0,"Biçim hatalı",IF(FIND(MID($B415,11,1),"0123456789")-1=$R415,"Geçerli","Kontrol hanesi hatalı (doğrusu: "&amp;$R415&amp;")")))</f>
        <v/>
      </c>
      <c r="F415">
        <f>IF($A415="","",IF(AND(LEN($B415)=11,SUMPRODUCT(--ISNUMBER(FIND(MID($B415,{1,2,3},1),"ABCDEFGHIJKLMNOPQRSTUVWXYZ")))=3,ISNUMBER(FIND(MID($B415,4,1),"UJZ")),SUMPRODUCT(--ISNUMBER(FIND(MID($B415,{5,6,7,8,9,10,11},1),"0123456789")))=7),1,0))</f>
        <v/>
      </c>
      <c r="G415">
        <f>IF($F415=1,INDEX({10,12,13,14,15,16,17,18,19,20,21,23,24,25,26,27,28,29,30,31,32,34,35,36,37,38},1,FIND(MID($B415,1,1),"ABCDEFGHIJKLMNOPQRSTUVWXYZ")),"")</f>
        <v/>
      </c>
      <c r="H415">
        <f>IF($F415=1,INDEX({10,12,13,14,15,16,17,18,19,20,21,23,24,25,26,27,28,29,30,31,32,34,35,36,37,38},1,FIND(MID($B415,2,1),"ABCDEFGHIJKLMNOPQRSTUVWXYZ")),"")</f>
        <v/>
      </c>
      <c r="I415">
        <f>IF($F415=1,INDEX({10,12,13,14,15,16,17,18,19,20,21,23,24,25,26,27,28,29,30,31,32,34,35,36,37,38},1,FIND(MID($B415,3,1),"ABCDEFGHIJKLMNOPQRSTUVWXYZ")),"")</f>
        <v/>
      </c>
      <c r="J415">
        <f>IF($F415=1,INDEX({10,12,13,14,15,16,17,18,19,20,21,23,24,25,26,27,28,29,30,31,32,34,35,36,37,38},1,FIND(MID($B415,4,1),"ABCDEFGHIJKLMNOPQRSTUVWXYZ")),"")</f>
        <v/>
      </c>
      <c r="K415">
        <f>IF($F415=1,FIND(MID($B415,5,1),"0123456789")-1,"")</f>
        <v/>
      </c>
      <c r="L415">
        <f>IF($F415=1,FIND(MID($B415,6,1),"0123456789")-1,"")</f>
        <v/>
      </c>
      <c r="M415">
        <f>IF($F415=1,FIND(MID($B415,7,1),"0123456789")-1,"")</f>
        <v/>
      </c>
      <c r="N415">
        <f>IF($F415=1,FIND(MID($B415,8,1),"0123456789")-1,"")</f>
        <v/>
      </c>
      <c r="O415">
        <f>IF($F415=1,FIND(MID($B415,9,1),"0123456789")-1,"")</f>
        <v/>
      </c>
      <c r="P415">
        <f>IF($F415=1,FIND(MID($B415,10,1),"0123456789")-1,"")</f>
        <v/>
      </c>
      <c r="Q415">
        <f>IF($F415=1,SUMPRODUCT($G415:$P415,{1,2,4,8,16,32,64,128,256,512}),"")</f>
        <v/>
      </c>
      <c r="R415">
        <f>IF($F415=1,MOD(MOD($Q415,11),10),"")</f>
        <v/>
      </c>
    </row>
    <row r="416">
      <c r="A416" s="6" t="n"/>
      <c r="B416" s="7">
        <f>IF($A416="","",UPPER(SUBSTITUTE(SUBSTITUTE(SUBSTITUTE(SUBSTITUTE(SUBSTITUTE(SUBSTITUTE($A416," ",""),"-",""),".",""),"/",""),"i","I"),"ı","?")))</f>
        <v/>
      </c>
      <c r="C416" s="8">
        <f>IF($F416=1,$R416,"")</f>
        <v/>
      </c>
      <c r="D416" s="7">
        <f>IF($A416="","",IF($F416=0,"Biçim hatalı",IF(FIND(MID($B416,11,1),"0123456789")-1=$R416,"Geçerli","Kontrol hanesi hatalı (doğrusu: "&amp;$R416&amp;")")))</f>
        <v/>
      </c>
      <c r="F416">
        <f>IF($A416="","",IF(AND(LEN($B416)=11,SUMPRODUCT(--ISNUMBER(FIND(MID($B416,{1,2,3},1),"ABCDEFGHIJKLMNOPQRSTUVWXYZ")))=3,ISNUMBER(FIND(MID($B416,4,1),"UJZ")),SUMPRODUCT(--ISNUMBER(FIND(MID($B416,{5,6,7,8,9,10,11},1),"0123456789")))=7),1,0))</f>
        <v/>
      </c>
      <c r="G416">
        <f>IF($F416=1,INDEX({10,12,13,14,15,16,17,18,19,20,21,23,24,25,26,27,28,29,30,31,32,34,35,36,37,38},1,FIND(MID($B416,1,1),"ABCDEFGHIJKLMNOPQRSTUVWXYZ")),"")</f>
        <v/>
      </c>
      <c r="H416">
        <f>IF($F416=1,INDEX({10,12,13,14,15,16,17,18,19,20,21,23,24,25,26,27,28,29,30,31,32,34,35,36,37,38},1,FIND(MID($B416,2,1),"ABCDEFGHIJKLMNOPQRSTUVWXYZ")),"")</f>
        <v/>
      </c>
      <c r="I416">
        <f>IF($F416=1,INDEX({10,12,13,14,15,16,17,18,19,20,21,23,24,25,26,27,28,29,30,31,32,34,35,36,37,38},1,FIND(MID($B416,3,1),"ABCDEFGHIJKLMNOPQRSTUVWXYZ")),"")</f>
        <v/>
      </c>
      <c r="J416">
        <f>IF($F416=1,INDEX({10,12,13,14,15,16,17,18,19,20,21,23,24,25,26,27,28,29,30,31,32,34,35,36,37,38},1,FIND(MID($B416,4,1),"ABCDEFGHIJKLMNOPQRSTUVWXYZ")),"")</f>
        <v/>
      </c>
      <c r="K416">
        <f>IF($F416=1,FIND(MID($B416,5,1),"0123456789")-1,"")</f>
        <v/>
      </c>
      <c r="L416">
        <f>IF($F416=1,FIND(MID($B416,6,1),"0123456789")-1,"")</f>
        <v/>
      </c>
      <c r="M416">
        <f>IF($F416=1,FIND(MID($B416,7,1),"0123456789")-1,"")</f>
        <v/>
      </c>
      <c r="N416">
        <f>IF($F416=1,FIND(MID($B416,8,1),"0123456789")-1,"")</f>
        <v/>
      </c>
      <c r="O416">
        <f>IF($F416=1,FIND(MID($B416,9,1),"0123456789")-1,"")</f>
        <v/>
      </c>
      <c r="P416">
        <f>IF($F416=1,FIND(MID($B416,10,1),"0123456789")-1,"")</f>
        <v/>
      </c>
      <c r="Q416">
        <f>IF($F416=1,SUMPRODUCT($G416:$P416,{1,2,4,8,16,32,64,128,256,512}),"")</f>
        <v/>
      </c>
      <c r="R416">
        <f>IF($F416=1,MOD(MOD($Q416,11),10),"")</f>
        <v/>
      </c>
    </row>
    <row r="417">
      <c r="A417" s="6" t="n"/>
      <c r="B417" s="7">
        <f>IF($A417="","",UPPER(SUBSTITUTE(SUBSTITUTE(SUBSTITUTE(SUBSTITUTE(SUBSTITUTE(SUBSTITUTE($A417," ",""),"-",""),".",""),"/",""),"i","I"),"ı","?")))</f>
        <v/>
      </c>
      <c r="C417" s="8">
        <f>IF($F417=1,$R417,"")</f>
        <v/>
      </c>
      <c r="D417" s="7">
        <f>IF($A417="","",IF($F417=0,"Biçim hatalı",IF(FIND(MID($B417,11,1),"0123456789")-1=$R417,"Geçerli","Kontrol hanesi hatalı (doğrusu: "&amp;$R417&amp;")")))</f>
        <v/>
      </c>
      <c r="F417">
        <f>IF($A417="","",IF(AND(LEN($B417)=11,SUMPRODUCT(--ISNUMBER(FIND(MID($B417,{1,2,3},1),"ABCDEFGHIJKLMNOPQRSTUVWXYZ")))=3,ISNUMBER(FIND(MID($B417,4,1),"UJZ")),SUMPRODUCT(--ISNUMBER(FIND(MID($B417,{5,6,7,8,9,10,11},1),"0123456789")))=7),1,0))</f>
        <v/>
      </c>
      <c r="G417">
        <f>IF($F417=1,INDEX({10,12,13,14,15,16,17,18,19,20,21,23,24,25,26,27,28,29,30,31,32,34,35,36,37,38},1,FIND(MID($B417,1,1),"ABCDEFGHIJKLMNOPQRSTUVWXYZ")),"")</f>
        <v/>
      </c>
      <c r="H417">
        <f>IF($F417=1,INDEX({10,12,13,14,15,16,17,18,19,20,21,23,24,25,26,27,28,29,30,31,32,34,35,36,37,38},1,FIND(MID($B417,2,1),"ABCDEFGHIJKLMNOPQRSTUVWXYZ")),"")</f>
        <v/>
      </c>
      <c r="I417">
        <f>IF($F417=1,INDEX({10,12,13,14,15,16,17,18,19,20,21,23,24,25,26,27,28,29,30,31,32,34,35,36,37,38},1,FIND(MID($B417,3,1),"ABCDEFGHIJKLMNOPQRSTUVWXYZ")),"")</f>
        <v/>
      </c>
      <c r="J417">
        <f>IF($F417=1,INDEX({10,12,13,14,15,16,17,18,19,20,21,23,24,25,26,27,28,29,30,31,32,34,35,36,37,38},1,FIND(MID($B417,4,1),"ABCDEFGHIJKLMNOPQRSTUVWXYZ")),"")</f>
        <v/>
      </c>
      <c r="K417">
        <f>IF($F417=1,FIND(MID($B417,5,1),"0123456789")-1,"")</f>
        <v/>
      </c>
      <c r="L417">
        <f>IF($F417=1,FIND(MID($B417,6,1),"0123456789")-1,"")</f>
        <v/>
      </c>
      <c r="M417">
        <f>IF($F417=1,FIND(MID($B417,7,1),"0123456789")-1,"")</f>
        <v/>
      </c>
      <c r="N417">
        <f>IF($F417=1,FIND(MID($B417,8,1),"0123456789")-1,"")</f>
        <v/>
      </c>
      <c r="O417">
        <f>IF($F417=1,FIND(MID($B417,9,1),"0123456789")-1,"")</f>
        <v/>
      </c>
      <c r="P417">
        <f>IF($F417=1,FIND(MID($B417,10,1),"0123456789")-1,"")</f>
        <v/>
      </c>
      <c r="Q417">
        <f>IF($F417=1,SUMPRODUCT($G417:$P417,{1,2,4,8,16,32,64,128,256,512}),"")</f>
        <v/>
      </c>
      <c r="R417">
        <f>IF($F417=1,MOD(MOD($Q417,11),10),"")</f>
        <v/>
      </c>
    </row>
    <row r="418">
      <c r="A418" s="6" t="n"/>
      <c r="B418" s="7">
        <f>IF($A418="","",UPPER(SUBSTITUTE(SUBSTITUTE(SUBSTITUTE(SUBSTITUTE(SUBSTITUTE(SUBSTITUTE($A418," ",""),"-",""),".",""),"/",""),"i","I"),"ı","?")))</f>
        <v/>
      </c>
      <c r="C418" s="8">
        <f>IF($F418=1,$R418,"")</f>
        <v/>
      </c>
      <c r="D418" s="7">
        <f>IF($A418="","",IF($F418=0,"Biçim hatalı",IF(FIND(MID($B418,11,1),"0123456789")-1=$R418,"Geçerli","Kontrol hanesi hatalı (doğrusu: "&amp;$R418&amp;")")))</f>
        <v/>
      </c>
      <c r="F418">
        <f>IF($A418="","",IF(AND(LEN($B418)=11,SUMPRODUCT(--ISNUMBER(FIND(MID($B418,{1,2,3},1),"ABCDEFGHIJKLMNOPQRSTUVWXYZ")))=3,ISNUMBER(FIND(MID($B418,4,1),"UJZ")),SUMPRODUCT(--ISNUMBER(FIND(MID($B418,{5,6,7,8,9,10,11},1),"0123456789")))=7),1,0))</f>
        <v/>
      </c>
      <c r="G418">
        <f>IF($F418=1,INDEX({10,12,13,14,15,16,17,18,19,20,21,23,24,25,26,27,28,29,30,31,32,34,35,36,37,38},1,FIND(MID($B418,1,1),"ABCDEFGHIJKLMNOPQRSTUVWXYZ")),"")</f>
        <v/>
      </c>
      <c r="H418">
        <f>IF($F418=1,INDEX({10,12,13,14,15,16,17,18,19,20,21,23,24,25,26,27,28,29,30,31,32,34,35,36,37,38},1,FIND(MID($B418,2,1),"ABCDEFGHIJKLMNOPQRSTUVWXYZ")),"")</f>
        <v/>
      </c>
      <c r="I418">
        <f>IF($F418=1,INDEX({10,12,13,14,15,16,17,18,19,20,21,23,24,25,26,27,28,29,30,31,32,34,35,36,37,38},1,FIND(MID($B418,3,1),"ABCDEFGHIJKLMNOPQRSTUVWXYZ")),"")</f>
        <v/>
      </c>
      <c r="J418">
        <f>IF($F418=1,INDEX({10,12,13,14,15,16,17,18,19,20,21,23,24,25,26,27,28,29,30,31,32,34,35,36,37,38},1,FIND(MID($B418,4,1),"ABCDEFGHIJKLMNOPQRSTUVWXYZ")),"")</f>
        <v/>
      </c>
      <c r="K418">
        <f>IF($F418=1,FIND(MID($B418,5,1),"0123456789")-1,"")</f>
        <v/>
      </c>
      <c r="L418">
        <f>IF($F418=1,FIND(MID($B418,6,1),"0123456789")-1,"")</f>
        <v/>
      </c>
      <c r="M418">
        <f>IF($F418=1,FIND(MID($B418,7,1),"0123456789")-1,"")</f>
        <v/>
      </c>
      <c r="N418">
        <f>IF($F418=1,FIND(MID($B418,8,1),"0123456789")-1,"")</f>
        <v/>
      </c>
      <c r="O418">
        <f>IF($F418=1,FIND(MID($B418,9,1),"0123456789")-1,"")</f>
        <v/>
      </c>
      <c r="P418">
        <f>IF($F418=1,FIND(MID($B418,10,1),"0123456789")-1,"")</f>
        <v/>
      </c>
      <c r="Q418">
        <f>IF($F418=1,SUMPRODUCT($G418:$P418,{1,2,4,8,16,32,64,128,256,512}),"")</f>
        <v/>
      </c>
      <c r="R418">
        <f>IF($F418=1,MOD(MOD($Q418,11),10),"")</f>
        <v/>
      </c>
    </row>
    <row r="419">
      <c r="A419" s="6" t="n"/>
      <c r="B419" s="7">
        <f>IF($A419="","",UPPER(SUBSTITUTE(SUBSTITUTE(SUBSTITUTE(SUBSTITUTE(SUBSTITUTE(SUBSTITUTE($A419," ",""),"-",""),".",""),"/",""),"i","I"),"ı","?")))</f>
        <v/>
      </c>
      <c r="C419" s="8">
        <f>IF($F419=1,$R419,"")</f>
        <v/>
      </c>
      <c r="D419" s="7">
        <f>IF($A419="","",IF($F419=0,"Biçim hatalı",IF(FIND(MID($B419,11,1),"0123456789")-1=$R419,"Geçerli","Kontrol hanesi hatalı (doğrusu: "&amp;$R419&amp;")")))</f>
        <v/>
      </c>
      <c r="F419">
        <f>IF($A419="","",IF(AND(LEN($B419)=11,SUMPRODUCT(--ISNUMBER(FIND(MID($B419,{1,2,3},1),"ABCDEFGHIJKLMNOPQRSTUVWXYZ")))=3,ISNUMBER(FIND(MID($B419,4,1),"UJZ")),SUMPRODUCT(--ISNUMBER(FIND(MID($B419,{5,6,7,8,9,10,11},1),"0123456789")))=7),1,0))</f>
        <v/>
      </c>
      <c r="G419">
        <f>IF($F419=1,INDEX({10,12,13,14,15,16,17,18,19,20,21,23,24,25,26,27,28,29,30,31,32,34,35,36,37,38},1,FIND(MID($B419,1,1),"ABCDEFGHIJKLMNOPQRSTUVWXYZ")),"")</f>
        <v/>
      </c>
      <c r="H419">
        <f>IF($F419=1,INDEX({10,12,13,14,15,16,17,18,19,20,21,23,24,25,26,27,28,29,30,31,32,34,35,36,37,38},1,FIND(MID($B419,2,1),"ABCDEFGHIJKLMNOPQRSTUVWXYZ")),"")</f>
        <v/>
      </c>
      <c r="I419">
        <f>IF($F419=1,INDEX({10,12,13,14,15,16,17,18,19,20,21,23,24,25,26,27,28,29,30,31,32,34,35,36,37,38},1,FIND(MID($B419,3,1),"ABCDEFGHIJKLMNOPQRSTUVWXYZ")),"")</f>
        <v/>
      </c>
      <c r="J419">
        <f>IF($F419=1,INDEX({10,12,13,14,15,16,17,18,19,20,21,23,24,25,26,27,28,29,30,31,32,34,35,36,37,38},1,FIND(MID($B419,4,1),"ABCDEFGHIJKLMNOPQRSTUVWXYZ")),"")</f>
        <v/>
      </c>
      <c r="K419">
        <f>IF($F419=1,FIND(MID($B419,5,1),"0123456789")-1,"")</f>
        <v/>
      </c>
      <c r="L419">
        <f>IF($F419=1,FIND(MID($B419,6,1),"0123456789")-1,"")</f>
        <v/>
      </c>
      <c r="M419">
        <f>IF($F419=1,FIND(MID($B419,7,1),"0123456789")-1,"")</f>
        <v/>
      </c>
      <c r="N419">
        <f>IF($F419=1,FIND(MID($B419,8,1),"0123456789")-1,"")</f>
        <v/>
      </c>
      <c r="O419">
        <f>IF($F419=1,FIND(MID($B419,9,1),"0123456789")-1,"")</f>
        <v/>
      </c>
      <c r="P419">
        <f>IF($F419=1,FIND(MID($B419,10,1),"0123456789")-1,"")</f>
        <v/>
      </c>
      <c r="Q419">
        <f>IF($F419=1,SUMPRODUCT($G419:$P419,{1,2,4,8,16,32,64,128,256,512}),"")</f>
        <v/>
      </c>
      <c r="R419">
        <f>IF($F419=1,MOD(MOD($Q419,11),10),"")</f>
        <v/>
      </c>
    </row>
    <row r="420">
      <c r="A420" s="6" t="n"/>
      <c r="B420" s="7">
        <f>IF($A420="","",UPPER(SUBSTITUTE(SUBSTITUTE(SUBSTITUTE(SUBSTITUTE(SUBSTITUTE(SUBSTITUTE($A420," ",""),"-",""),".",""),"/",""),"i","I"),"ı","?")))</f>
        <v/>
      </c>
      <c r="C420" s="8">
        <f>IF($F420=1,$R420,"")</f>
        <v/>
      </c>
      <c r="D420" s="7">
        <f>IF($A420="","",IF($F420=0,"Biçim hatalı",IF(FIND(MID($B420,11,1),"0123456789")-1=$R420,"Geçerli","Kontrol hanesi hatalı (doğrusu: "&amp;$R420&amp;")")))</f>
        <v/>
      </c>
      <c r="F420">
        <f>IF($A420="","",IF(AND(LEN($B420)=11,SUMPRODUCT(--ISNUMBER(FIND(MID($B420,{1,2,3},1),"ABCDEFGHIJKLMNOPQRSTUVWXYZ")))=3,ISNUMBER(FIND(MID($B420,4,1),"UJZ")),SUMPRODUCT(--ISNUMBER(FIND(MID($B420,{5,6,7,8,9,10,11},1),"0123456789")))=7),1,0))</f>
        <v/>
      </c>
      <c r="G420">
        <f>IF($F420=1,INDEX({10,12,13,14,15,16,17,18,19,20,21,23,24,25,26,27,28,29,30,31,32,34,35,36,37,38},1,FIND(MID($B420,1,1),"ABCDEFGHIJKLMNOPQRSTUVWXYZ")),"")</f>
        <v/>
      </c>
      <c r="H420">
        <f>IF($F420=1,INDEX({10,12,13,14,15,16,17,18,19,20,21,23,24,25,26,27,28,29,30,31,32,34,35,36,37,38},1,FIND(MID($B420,2,1),"ABCDEFGHIJKLMNOPQRSTUVWXYZ")),"")</f>
        <v/>
      </c>
      <c r="I420">
        <f>IF($F420=1,INDEX({10,12,13,14,15,16,17,18,19,20,21,23,24,25,26,27,28,29,30,31,32,34,35,36,37,38},1,FIND(MID($B420,3,1),"ABCDEFGHIJKLMNOPQRSTUVWXYZ")),"")</f>
        <v/>
      </c>
      <c r="J420">
        <f>IF($F420=1,INDEX({10,12,13,14,15,16,17,18,19,20,21,23,24,25,26,27,28,29,30,31,32,34,35,36,37,38},1,FIND(MID($B420,4,1),"ABCDEFGHIJKLMNOPQRSTUVWXYZ")),"")</f>
        <v/>
      </c>
      <c r="K420">
        <f>IF($F420=1,FIND(MID($B420,5,1),"0123456789")-1,"")</f>
        <v/>
      </c>
      <c r="L420">
        <f>IF($F420=1,FIND(MID($B420,6,1),"0123456789")-1,"")</f>
        <v/>
      </c>
      <c r="M420">
        <f>IF($F420=1,FIND(MID($B420,7,1),"0123456789")-1,"")</f>
        <v/>
      </c>
      <c r="N420">
        <f>IF($F420=1,FIND(MID($B420,8,1),"0123456789")-1,"")</f>
        <v/>
      </c>
      <c r="O420">
        <f>IF($F420=1,FIND(MID($B420,9,1),"0123456789")-1,"")</f>
        <v/>
      </c>
      <c r="P420">
        <f>IF($F420=1,FIND(MID($B420,10,1),"0123456789")-1,"")</f>
        <v/>
      </c>
      <c r="Q420">
        <f>IF($F420=1,SUMPRODUCT($G420:$P420,{1,2,4,8,16,32,64,128,256,512}),"")</f>
        <v/>
      </c>
      <c r="R420">
        <f>IF($F420=1,MOD(MOD($Q420,11),10),"")</f>
        <v/>
      </c>
    </row>
    <row r="421">
      <c r="A421" s="6" t="n"/>
      <c r="B421" s="7">
        <f>IF($A421="","",UPPER(SUBSTITUTE(SUBSTITUTE(SUBSTITUTE(SUBSTITUTE(SUBSTITUTE(SUBSTITUTE($A421," ",""),"-",""),".",""),"/",""),"i","I"),"ı","?")))</f>
        <v/>
      </c>
      <c r="C421" s="8">
        <f>IF($F421=1,$R421,"")</f>
        <v/>
      </c>
      <c r="D421" s="7">
        <f>IF($A421="","",IF($F421=0,"Biçim hatalı",IF(FIND(MID($B421,11,1),"0123456789")-1=$R421,"Geçerli","Kontrol hanesi hatalı (doğrusu: "&amp;$R421&amp;")")))</f>
        <v/>
      </c>
      <c r="F421">
        <f>IF($A421="","",IF(AND(LEN($B421)=11,SUMPRODUCT(--ISNUMBER(FIND(MID($B421,{1,2,3},1),"ABCDEFGHIJKLMNOPQRSTUVWXYZ")))=3,ISNUMBER(FIND(MID($B421,4,1),"UJZ")),SUMPRODUCT(--ISNUMBER(FIND(MID($B421,{5,6,7,8,9,10,11},1),"0123456789")))=7),1,0))</f>
        <v/>
      </c>
      <c r="G421">
        <f>IF($F421=1,INDEX({10,12,13,14,15,16,17,18,19,20,21,23,24,25,26,27,28,29,30,31,32,34,35,36,37,38},1,FIND(MID($B421,1,1),"ABCDEFGHIJKLMNOPQRSTUVWXYZ")),"")</f>
        <v/>
      </c>
      <c r="H421">
        <f>IF($F421=1,INDEX({10,12,13,14,15,16,17,18,19,20,21,23,24,25,26,27,28,29,30,31,32,34,35,36,37,38},1,FIND(MID($B421,2,1),"ABCDEFGHIJKLMNOPQRSTUVWXYZ")),"")</f>
        <v/>
      </c>
      <c r="I421">
        <f>IF($F421=1,INDEX({10,12,13,14,15,16,17,18,19,20,21,23,24,25,26,27,28,29,30,31,32,34,35,36,37,38},1,FIND(MID($B421,3,1),"ABCDEFGHIJKLMNOPQRSTUVWXYZ")),"")</f>
        <v/>
      </c>
      <c r="J421">
        <f>IF($F421=1,INDEX({10,12,13,14,15,16,17,18,19,20,21,23,24,25,26,27,28,29,30,31,32,34,35,36,37,38},1,FIND(MID($B421,4,1),"ABCDEFGHIJKLMNOPQRSTUVWXYZ")),"")</f>
        <v/>
      </c>
      <c r="K421">
        <f>IF($F421=1,FIND(MID($B421,5,1),"0123456789")-1,"")</f>
        <v/>
      </c>
      <c r="L421">
        <f>IF($F421=1,FIND(MID($B421,6,1),"0123456789")-1,"")</f>
        <v/>
      </c>
      <c r="M421">
        <f>IF($F421=1,FIND(MID($B421,7,1),"0123456789")-1,"")</f>
        <v/>
      </c>
      <c r="N421">
        <f>IF($F421=1,FIND(MID($B421,8,1),"0123456789")-1,"")</f>
        <v/>
      </c>
      <c r="O421">
        <f>IF($F421=1,FIND(MID($B421,9,1),"0123456789")-1,"")</f>
        <v/>
      </c>
      <c r="P421">
        <f>IF($F421=1,FIND(MID($B421,10,1),"0123456789")-1,"")</f>
        <v/>
      </c>
      <c r="Q421">
        <f>IF($F421=1,SUMPRODUCT($G421:$P421,{1,2,4,8,16,32,64,128,256,512}),"")</f>
        <v/>
      </c>
      <c r="R421">
        <f>IF($F421=1,MOD(MOD($Q421,11),10),"")</f>
        <v/>
      </c>
    </row>
    <row r="422">
      <c r="A422" s="6" t="n"/>
      <c r="B422" s="7">
        <f>IF($A422="","",UPPER(SUBSTITUTE(SUBSTITUTE(SUBSTITUTE(SUBSTITUTE(SUBSTITUTE(SUBSTITUTE($A422," ",""),"-",""),".",""),"/",""),"i","I"),"ı","?")))</f>
        <v/>
      </c>
      <c r="C422" s="8">
        <f>IF($F422=1,$R422,"")</f>
        <v/>
      </c>
      <c r="D422" s="7">
        <f>IF($A422="","",IF($F422=0,"Biçim hatalı",IF(FIND(MID($B422,11,1),"0123456789")-1=$R422,"Geçerli","Kontrol hanesi hatalı (doğrusu: "&amp;$R422&amp;")")))</f>
        <v/>
      </c>
      <c r="F422">
        <f>IF($A422="","",IF(AND(LEN($B422)=11,SUMPRODUCT(--ISNUMBER(FIND(MID($B422,{1,2,3},1),"ABCDEFGHIJKLMNOPQRSTUVWXYZ")))=3,ISNUMBER(FIND(MID($B422,4,1),"UJZ")),SUMPRODUCT(--ISNUMBER(FIND(MID($B422,{5,6,7,8,9,10,11},1),"0123456789")))=7),1,0))</f>
        <v/>
      </c>
      <c r="G422">
        <f>IF($F422=1,INDEX({10,12,13,14,15,16,17,18,19,20,21,23,24,25,26,27,28,29,30,31,32,34,35,36,37,38},1,FIND(MID($B422,1,1),"ABCDEFGHIJKLMNOPQRSTUVWXYZ")),"")</f>
        <v/>
      </c>
      <c r="H422">
        <f>IF($F422=1,INDEX({10,12,13,14,15,16,17,18,19,20,21,23,24,25,26,27,28,29,30,31,32,34,35,36,37,38},1,FIND(MID($B422,2,1),"ABCDEFGHIJKLMNOPQRSTUVWXYZ")),"")</f>
        <v/>
      </c>
      <c r="I422">
        <f>IF($F422=1,INDEX({10,12,13,14,15,16,17,18,19,20,21,23,24,25,26,27,28,29,30,31,32,34,35,36,37,38},1,FIND(MID($B422,3,1),"ABCDEFGHIJKLMNOPQRSTUVWXYZ")),"")</f>
        <v/>
      </c>
      <c r="J422">
        <f>IF($F422=1,INDEX({10,12,13,14,15,16,17,18,19,20,21,23,24,25,26,27,28,29,30,31,32,34,35,36,37,38},1,FIND(MID($B422,4,1),"ABCDEFGHIJKLMNOPQRSTUVWXYZ")),"")</f>
        <v/>
      </c>
      <c r="K422">
        <f>IF($F422=1,FIND(MID($B422,5,1),"0123456789")-1,"")</f>
        <v/>
      </c>
      <c r="L422">
        <f>IF($F422=1,FIND(MID($B422,6,1),"0123456789")-1,"")</f>
        <v/>
      </c>
      <c r="M422">
        <f>IF($F422=1,FIND(MID($B422,7,1),"0123456789")-1,"")</f>
        <v/>
      </c>
      <c r="N422">
        <f>IF($F422=1,FIND(MID($B422,8,1),"0123456789")-1,"")</f>
        <v/>
      </c>
      <c r="O422">
        <f>IF($F422=1,FIND(MID($B422,9,1),"0123456789")-1,"")</f>
        <v/>
      </c>
      <c r="P422">
        <f>IF($F422=1,FIND(MID($B422,10,1),"0123456789")-1,"")</f>
        <v/>
      </c>
      <c r="Q422">
        <f>IF($F422=1,SUMPRODUCT($G422:$P422,{1,2,4,8,16,32,64,128,256,512}),"")</f>
        <v/>
      </c>
      <c r="R422">
        <f>IF($F422=1,MOD(MOD($Q422,11),10),"")</f>
        <v/>
      </c>
    </row>
    <row r="423">
      <c r="A423" s="6" t="n"/>
      <c r="B423" s="7">
        <f>IF($A423="","",UPPER(SUBSTITUTE(SUBSTITUTE(SUBSTITUTE(SUBSTITUTE(SUBSTITUTE(SUBSTITUTE($A423," ",""),"-",""),".",""),"/",""),"i","I"),"ı","?")))</f>
        <v/>
      </c>
      <c r="C423" s="8">
        <f>IF($F423=1,$R423,"")</f>
        <v/>
      </c>
      <c r="D423" s="7">
        <f>IF($A423="","",IF($F423=0,"Biçim hatalı",IF(FIND(MID($B423,11,1),"0123456789")-1=$R423,"Geçerli","Kontrol hanesi hatalı (doğrusu: "&amp;$R423&amp;")")))</f>
        <v/>
      </c>
      <c r="F423">
        <f>IF($A423="","",IF(AND(LEN($B423)=11,SUMPRODUCT(--ISNUMBER(FIND(MID($B423,{1,2,3},1),"ABCDEFGHIJKLMNOPQRSTUVWXYZ")))=3,ISNUMBER(FIND(MID($B423,4,1),"UJZ")),SUMPRODUCT(--ISNUMBER(FIND(MID($B423,{5,6,7,8,9,10,11},1),"0123456789")))=7),1,0))</f>
        <v/>
      </c>
      <c r="G423">
        <f>IF($F423=1,INDEX({10,12,13,14,15,16,17,18,19,20,21,23,24,25,26,27,28,29,30,31,32,34,35,36,37,38},1,FIND(MID($B423,1,1),"ABCDEFGHIJKLMNOPQRSTUVWXYZ")),"")</f>
        <v/>
      </c>
      <c r="H423">
        <f>IF($F423=1,INDEX({10,12,13,14,15,16,17,18,19,20,21,23,24,25,26,27,28,29,30,31,32,34,35,36,37,38},1,FIND(MID($B423,2,1),"ABCDEFGHIJKLMNOPQRSTUVWXYZ")),"")</f>
        <v/>
      </c>
      <c r="I423">
        <f>IF($F423=1,INDEX({10,12,13,14,15,16,17,18,19,20,21,23,24,25,26,27,28,29,30,31,32,34,35,36,37,38},1,FIND(MID($B423,3,1),"ABCDEFGHIJKLMNOPQRSTUVWXYZ")),"")</f>
        <v/>
      </c>
      <c r="J423">
        <f>IF($F423=1,INDEX({10,12,13,14,15,16,17,18,19,20,21,23,24,25,26,27,28,29,30,31,32,34,35,36,37,38},1,FIND(MID($B423,4,1),"ABCDEFGHIJKLMNOPQRSTUVWXYZ")),"")</f>
        <v/>
      </c>
      <c r="K423">
        <f>IF($F423=1,FIND(MID($B423,5,1),"0123456789")-1,"")</f>
        <v/>
      </c>
      <c r="L423">
        <f>IF($F423=1,FIND(MID($B423,6,1),"0123456789")-1,"")</f>
        <v/>
      </c>
      <c r="M423">
        <f>IF($F423=1,FIND(MID($B423,7,1),"0123456789")-1,"")</f>
        <v/>
      </c>
      <c r="N423">
        <f>IF($F423=1,FIND(MID($B423,8,1),"0123456789")-1,"")</f>
        <v/>
      </c>
      <c r="O423">
        <f>IF($F423=1,FIND(MID($B423,9,1),"0123456789")-1,"")</f>
        <v/>
      </c>
      <c r="P423">
        <f>IF($F423=1,FIND(MID($B423,10,1),"0123456789")-1,"")</f>
        <v/>
      </c>
      <c r="Q423">
        <f>IF($F423=1,SUMPRODUCT($G423:$P423,{1,2,4,8,16,32,64,128,256,512}),"")</f>
        <v/>
      </c>
      <c r="R423">
        <f>IF($F423=1,MOD(MOD($Q423,11),10),"")</f>
        <v/>
      </c>
    </row>
    <row r="424">
      <c r="A424" s="6" t="n"/>
      <c r="B424" s="7">
        <f>IF($A424="","",UPPER(SUBSTITUTE(SUBSTITUTE(SUBSTITUTE(SUBSTITUTE(SUBSTITUTE(SUBSTITUTE($A424," ",""),"-",""),".",""),"/",""),"i","I"),"ı","?")))</f>
        <v/>
      </c>
      <c r="C424" s="8">
        <f>IF($F424=1,$R424,"")</f>
        <v/>
      </c>
      <c r="D424" s="7">
        <f>IF($A424="","",IF($F424=0,"Biçim hatalı",IF(FIND(MID($B424,11,1),"0123456789")-1=$R424,"Geçerli","Kontrol hanesi hatalı (doğrusu: "&amp;$R424&amp;")")))</f>
        <v/>
      </c>
      <c r="F424">
        <f>IF($A424="","",IF(AND(LEN($B424)=11,SUMPRODUCT(--ISNUMBER(FIND(MID($B424,{1,2,3},1),"ABCDEFGHIJKLMNOPQRSTUVWXYZ")))=3,ISNUMBER(FIND(MID($B424,4,1),"UJZ")),SUMPRODUCT(--ISNUMBER(FIND(MID($B424,{5,6,7,8,9,10,11},1),"0123456789")))=7),1,0))</f>
        <v/>
      </c>
      <c r="G424">
        <f>IF($F424=1,INDEX({10,12,13,14,15,16,17,18,19,20,21,23,24,25,26,27,28,29,30,31,32,34,35,36,37,38},1,FIND(MID($B424,1,1),"ABCDEFGHIJKLMNOPQRSTUVWXYZ")),"")</f>
        <v/>
      </c>
      <c r="H424">
        <f>IF($F424=1,INDEX({10,12,13,14,15,16,17,18,19,20,21,23,24,25,26,27,28,29,30,31,32,34,35,36,37,38},1,FIND(MID($B424,2,1),"ABCDEFGHIJKLMNOPQRSTUVWXYZ")),"")</f>
        <v/>
      </c>
      <c r="I424">
        <f>IF($F424=1,INDEX({10,12,13,14,15,16,17,18,19,20,21,23,24,25,26,27,28,29,30,31,32,34,35,36,37,38},1,FIND(MID($B424,3,1),"ABCDEFGHIJKLMNOPQRSTUVWXYZ")),"")</f>
        <v/>
      </c>
      <c r="J424">
        <f>IF($F424=1,INDEX({10,12,13,14,15,16,17,18,19,20,21,23,24,25,26,27,28,29,30,31,32,34,35,36,37,38},1,FIND(MID($B424,4,1),"ABCDEFGHIJKLMNOPQRSTUVWXYZ")),"")</f>
        <v/>
      </c>
      <c r="K424">
        <f>IF($F424=1,FIND(MID($B424,5,1),"0123456789")-1,"")</f>
        <v/>
      </c>
      <c r="L424">
        <f>IF($F424=1,FIND(MID($B424,6,1),"0123456789")-1,"")</f>
        <v/>
      </c>
      <c r="M424">
        <f>IF($F424=1,FIND(MID($B424,7,1),"0123456789")-1,"")</f>
        <v/>
      </c>
      <c r="N424">
        <f>IF($F424=1,FIND(MID($B424,8,1),"0123456789")-1,"")</f>
        <v/>
      </c>
      <c r="O424">
        <f>IF($F424=1,FIND(MID($B424,9,1),"0123456789")-1,"")</f>
        <v/>
      </c>
      <c r="P424">
        <f>IF($F424=1,FIND(MID($B424,10,1),"0123456789")-1,"")</f>
        <v/>
      </c>
      <c r="Q424">
        <f>IF($F424=1,SUMPRODUCT($G424:$P424,{1,2,4,8,16,32,64,128,256,512}),"")</f>
        <v/>
      </c>
      <c r="R424">
        <f>IF($F424=1,MOD(MOD($Q424,11),10),"")</f>
        <v/>
      </c>
    </row>
    <row r="425">
      <c r="A425" s="6" t="n"/>
      <c r="B425" s="7">
        <f>IF($A425="","",UPPER(SUBSTITUTE(SUBSTITUTE(SUBSTITUTE(SUBSTITUTE(SUBSTITUTE(SUBSTITUTE($A425," ",""),"-",""),".",""),"/",""),"i","I"),"ı","?")))</f>
        <v/>
      </c>
      <c r="C425" s="8">
        <f>IF($F425=1,$R425,"")</f>
        <v/>
      </c>
      <c r="D425" s="7">
        <f>IF($A425="","",IF($F425=0,"Biçim hatalı",IF(FIND(MID($B425,11,1),"0123456789")-1=$R425,"Geçerli","Kontrol hanesi hatalı (doğrusu: "&amp;$R425&amp;")")))</f>
        <v/>
      </c>
      <c r="F425">
        <f>IF($A425="","",IF(AND(LEN($B425)=11,SUMPRODUCT(--ISNUMBER(FIND(MID($B425,{1,2,3},1),"ABCDEFGHIJKLMNOPQRSTUVWXYZ")))=3,ISNUMBER(FIND(MID($B425,4,1),"UJZ")),SUMPRODUCT(--ISNUMBER(FIND(MID($B425,{5,6,7,8,9,10,11},1),"0123456789")))=7),1,0))</f>
        <v/>
      </c>
      <c r="G425">
        <f>IF($F425=1,INDEX({10,12,13,14,15,16,17,18,19,20,21,23,24,25,26,27,28,29,30,31,32,34,35,36,37,38},1,FIND(MID($B425,1,1),"ABCDEFGHIJKLMNOPQRSTUVWXYZ")),"")</f>
        <v/>
      </c>
      <c r="H425">
        <f>IF($F425=1,INDEX({10,12,13,14,15,16,17,18,19,20,21,23,24,25,26,27,28,29,30,31,32,34,35,36,37,38},1,FIND(MID($B425,2,1),"ABCDEFGHIJKLMNOPQRSTUVWXYZ")),"")</f>
        <v/>
      </c>
      <c r="I425">
        <f>IF($F425=1,INDEX({10,12,13,14,15,16,17,18,19,20,21,23,24,25,26,27,28,29,30,31,32,34,35,36,37,38},1,FIND(MID($B425,3,1),"ABCDEFGHIJKLMNOPQRSTUVWXYZ")),"")</f>
        <v/>
      </c>
      <c r="J425">
        <f>IF($F425=1,INDEX({10,12,13,14,15,16,17,18,19,20,21,23,24,25,26,27,28,29,30,31,32,34,35,36,37,38},1,FIND(MID($B425,4,1),"ABCDEFGHIJKLMNOPQRSTUVWXYZ")),"")</f>
        <v/>
      </c>
      <c r="K425">
        <f>IF($F425=1,FIND(MID($B425,5,1),"0123456789")-1,"")</f>
        <v/>
      </c>
      <c r="L425">
        <f>IF($F425=1,FIND(MID($B425,6,1),"0123456789")-1,"")</f>
        <v/>
      </c>
      <c r="M425">
        <f>IF($F425=1,FIND(MID($B425,7,1),"0123456789")-1,"")</f>
        <v/>
      </c>
      <c r="N425">
        <f>IF($F425=1,FIND(MID($B425,8,1),"0123456789")-1,"")</f>
        <v/>
      </c>
      <c r="O425">
        <f>IF($F425=1,FIND(MID($B425,9,1),"0123456789")-1,"")</f>
        <v/>
      </c>
      <c r="P425">
        <f>IF($F425=1,FIND(MID($B425,10,1),"0123456789")-1,"")</f>
        <v/>
      </c>
      <c r="Q425">
        <f>IF($F425=1,SUMPRODUCT($G425:$P425,{1,2,4,8,16,32,64,128,256,512}),"")</f>
        <v/>
      </c>
      <c r="R425">
        <f>IF($F425=1,MOD(MOD($Q425,11),10),"")</f>
        <v/>
      </c>
    </row>
    <row r="426">
      <c r="A426" s="6" t="n"/>
      <c r="B426" s="7">
        <f>IF($A426="","",UPPER(SUBSTITUTE(SUBSTITUTE(SUBSTITUTE(SUBSTITUTE(SUBSTITUTE(SUBSTITUTE($A426," ",""),"-",""),".",""),"/",""),"i","I"),"ı","?")))</f>
        <v/>
      </c>
      <c r="C426" s="8">
        <f>IF($F426=1,$R426,"")</f>
        <v/>
      </c>
      <c r="D426" s="7">
        <f>IF($A426="","",IF($F426=0,"Biçim hatalı",IF(FIND(MID($B426,11,1),"0123456789")-1=$R426,"Geçerli","Kontrol hanesi hatalı (doğrusu: "&amp;$R426&amp;")")))</f>
        <v/>
      </c>
      <c r="F426">
        <f>IF($A426="","",IF(AND(LEN($B426)=11,SUMPRODUCT(--ISNUMBER(FIND(MID($B426,{1,2,3},1),"ABCDEFGHIJKLMNOPQRSTUVWXYZ")))=3,ISNUMBER(FIND(MID($B426,4,1),"UJZ")),SUMPRODUCT(--ISNUMBER(FIND(MID($B426,{5,6,7,8,9,10,11},1),"0123456789")))=7),1,0))</f>
        <v/>
      </c>
      <c r="G426">
        <f>IF($F426=1,INDEX({10,12,13,14,15,16,17,18,19,20,21,23,24,25,26,27,28,29,30,31,32,34,35,36,37,38},1,FIND(MID($B426,1,1),"ABCDEFGHIJKLMNOPQRSTUVWXYZ")),"")</f>
        <v/>
      </c>
      <c r="H426">
        <f>IF($F426=1,INDEX({10,12,13,14,15,16,17,18,19,20,21,23,24,25,26,27,28,29,30,31,32,34,35,36,37,38},1,FIND(MID($B426,2,1),"ABCDEFGHIJKLMNOPQRSTUVWXYZ")),"")</f>
        <v/>
      </c>
      <c r="I426">
        <f>IF($F426=1,INDEX({10,12,13,14,15,16,17,18,19,20,21,23,24,25,26,27,28,29,30,31,32,34,35,36,37,38},1,FIND(MID($B426,3,1),"ABCDEFGHIJKLMNOPQRSTUVWXYZ")),"")</f>
        <v/>
      </c>
      <c r="J426">
        <f>IF($F426=1,INDEX({10,12,13,14,15,16,17,18,19,20,21,23,24,25,26,27,28,29,30,31,32,34,35,36,37,38},1,FIND(MID($B426,4,1),"ABCDEFGHIJKLMNOPQRSTUVWXYZ")),"")</f>
        <v/>
      </c>
      <c r="K426">
        <f>IF($F426=1,FIND(MID($B426,5,1),"0123456789")-1,"")</f>
        <v/>
      </c>
      <c r="L426">
        <f>IF($F426=1,FIND(MID($B426,6,1),"0123456789")-1,"")</f>
        <v/>
      </c>
      <c r="M426">
        <f>IF($F426=1,FIND(MID($B426,7,1),"0123456789")-1,"")</f>
        <v/>
      </c>
      <c r="N426">
        <f>IF($F426=1,FIND(MID($B426,8,1),"0123456789")-1,"")</f>
        <v/>
      </c>
      <c r="O426">
        <f>IF($F426=1,FIND(MID($B426,9,1),"0123456789")-1,"")</f>
        <v/>
      </c>
      <c r="P426">
        <f>IF($F426=1,FIND(MID($B426,10,1),"0123456789")-1,"")</f>
        <v/>
      </c>
      <c r="Q426">
        <f>IF($F426=1,SUMPRODUCT($G426:$P426,{1,2,4,8,16,32,64,128,256,512}),"")</f>
        <v/>
      </c>
      <c r="R426">
        <f>IF($F426=1,MOD(MOD($Q426,11),10),"")</f>
        <v/>
      </c>
    </row>
    <row r="427">
      <c r="A427" s="6" t="n"/>
      <c r="B427" s="7">
        <f>IF($A427="","",UPPER(SUBSTITUTE(SUBSTITUTE(SUBSTITUTE(SUBSTITUTE(SUBSTITUTE(SUBSTITUTE($A427," ",""),"-",""),".",""),"/",""),"i","I"),"ı","?")))</f>
        <v/>
      </c>
      <c r="C427" s="8">
        <f>IF($F427=1,$R427,"")</f>
        <v/>
      </c>
      <c r="D427" s="7">
        <f>IF($A427="","",IF($F427=0,"Biçim hatalı",IF(FIND(MID($B427,11,1),"0123456789")-1=$R427,"Geçerli","Kontrol hanesi hatalı (doğrusu: "&amp;$R427&amp;")")))</f>
        <v/>
      </c>
      <c r="F427">
        <f>IF($A427="","",IF(AND(LEN($B427)=11,SUMPRODUCT(--ISNUMBER(FIND(MID($B427,{1,2,3},1),"ABCDEFGHIJKLMNOPQRSTUVWXYZ")))=3,ISNUMBER(FIND(MID($B427,4,1),"UJZ")),SUMPRODUCT(--ISNUMBER(FIND(MID($B427,{5,6,7,8,9,10,11},1),"0123456789")))=7),1,0))</f>
        <v/>
      </c>
      <c r="G427">
        <f>IF($F427=1,INDEX({10,12,13,14,15,16,17,18,19,20,21,23,24,25,26,27,28,29,30,31,32,34,35,36,37,38},1,FIND(MID($B427,1,1),"ABCDEFGHIJKLMNOPQRSTUVWXYZ")),"")</f>
        <v/>
      </c>
      <c r="H427">
        <f>IF($F427=1,INDEX({10,12,13,14,15,16,17,18,19,20,21,23,24,25,26,27,28,29,30,31,32,34,35,36,37,38},1,FIND(MID($B427,2,1),"ABCDEFGHIJKLMNOPQRSTUVWXYZ")),"")</f>
        <v/>
      </c>
      <c r="I427">
        <f>IF($F427=1,INDEX({10,12,13,14,15,16,17,18,19,20,21,23,24,25,26,27,28,29,30,31,32,34,35,36,37,38},1,FIND(MID($B427,3,1),"ABCDEFGHIJKLMNOPQRSTUVWXYZ")),"")</f>
        <v/>
      </c>
      <c r="J427">
        <f>IF($F427=1,INDEX({10,12,13,14,15,16,17,18,19,20,21,23,24,25,26,27,28,29,30,31,32,34,35,36,37,38},1,FIND(MID($B427,4,1),"ABCDEFGHIJKLMNOPQRSTUVWXYZ")),"")</f>
        <v/>
      </c>
      <c r="K427">
        <f>IF($F427=1,FIND(MID($B427,5,1),"0123456789")-1,"")</f>
        <v/>
      </c>
      <c r="L427">
        <f>IF($F427=1,FIND(MID($B427,6,1),"0123456789")-1,"")</f>
        <v/>
      </c>
      <c r="M427">
        <f>IF($F427=1,FIND(MID($B427,7,1),"0123456789")-1,"")</f>
        <v/>
      </c>
      <c r="N427">
        <f>IF($F427=1,FIND(MID($B427,8,1),"0123456789")-1,"")</f>
        <v/>
      </c>
      <c r="O427">
        <f>IF($F427=1,FIND(MID($B427,9,1),"0123456789")-1,"")</f>
        <v/>
      </c>
      <c r="P427">
        <f>IF($F427=1,FIND(MID($B427,10,1),"0123456789")-1,"")</f>
        <v/>
      </c>
      <c r="Q427">
        <f>IF($F427=1,SUMPRODUCT($G427:$P427,{1,2,4,8,16,32,64,128,256,512}),"")</f>
        <v/>
      </c>
      <c r="R427">
        <f>IF($F427=1,MOD(MOD($Q427,11),10),"")</f>
        <v/>
      </c>
    </row>
    <row r="428">
      <c r="A428" s="6" t="n"/>
      <c r="B428" s="7">
        <f>IF($A428="","",UPPER(SUBSTITUTE(SUBSTITUTE(SUBSTITUTE(SUBSTITUTE(SUBSTITUTE(SUBSTITUTE($A428," ",""),"-",""),".",""),"/",""),"i","I"),"ı","?")))</f>
        <v/>
      </c>
      <c r="C428" s="8">
        <f>IF($F428=1,$R428,"")</f>
        <v/>
      </c>
      <c r="D428" s="7">
        <f>IF($A428="","",IF($F428=0,"Biçim hatalı",IF(FIND(MID($B428,11,1),"0123456789")-1=$R428,"Geçerli","Kontrol hanesi hatalı (doğrusu: "&amp;$R428&amp;")")))</f>
        <v/>
      </c>
      <c r="F428">
        <f>IF($A428="","",IF(AND(LEN($B428)=11,SUMPRODUCT(--ISNUMBER(FIND(MID($B428,{1,2,3},1),"ABCDEFGHIJKLMNOPQRSTUVWXYZ")))=3,ISNUMBER(FIND(MID($B428,4,1),"UJZ")),SUMPRODUCT(--ISNUMBER(FIND(MID($B428,{5,6,7,8,9,10,11},1),"0123456789")))=7),1,0))</f>
        <v/>
      </c>
      <c r="G428">
        <f>IF($F428=1,INDEX({10,12,13,14,15,16,17,18,19,20,21,23,24,25,26,27,28,29,30,31,32,34,35,36,37,38},1,FIND(MID($B428,1,1),"ABCDEFGHIJKLMNOPQRSTUVWXYZ")),"")</f>
        <v/>
      </c>
      <c r="H428">
        <f>IF($F428=1,INDEX({10,12,13,14,15,16,17,18,19,20,21,23,24,25,26,27,28,29,30,31,32,34,35,36,37,38},1,FIND(MID($B428,2,1),"ABCDEFGHIJKLMNOPQRSTUVWXYZ")),"")</f>
        <v/>
      </c>
      <c r="I428">
        <f>IF($F428=1,INDEX({10,12,13,14,15,16,17,18,19,20,21,23,24,25,26,27,28,29,30,31,32,34,35,36,37,38},1,FIND(MID($B428,3,1),"ABCDEFGHIJKLMNOPQRSTUVWXYZ")),"")</f>
        <v/>
      </c>
      <c r="J428">
        <f>IF($F428=1,INDEX({10,12,13,14,15,16,17,18,19,20,21,23,24,25,26,27,28,29,30,31,32,34,35,36,37,38},1,FIND(MID($B428,4,1),"ABCDEFGHIJKLMNOPQRSTUVWXYZ")),"")</f>
        <v/>
      </c>
      <c r="K428">
        <f>IF($F428=1,FIND(MID($B428,5,1),"0123456789")-1,"")</f>
        <v/>
      </c>
      <c r="L428">
        <f>IF($F428=1,FIND(MID($B428,6,1),"0123456789")-1,"")</f>
        <v/>
      </c>
      <c r="M428">
        <f>IF($F428=1,FIND(MID($B428,7,1),"0123456789")-1,"")</f>
        <v/>
      </c>
      <c r="N428">
        <f>IF($F428=1,FIND(MID($B428,8,1),"0123456789")-1,"")</f>
        <v/>
      </c>
      <c r="O428">
        <f>IF($F428=1,FIND(MID($B428,9,1),"0123456789")-1,"")</f>
        <v/>
      </c>
      <c r="P428">
        <f>IF($F428=1,FIND(MID($B428,10,1),"0123456789")-1,"")</f>
        <v/>
      </c>
      <c r="Q428">
        <f>IF($F428=1,SUMPRODUCT($G428:$P428,{1,2,4,8,16,32,64,128,256,512}),"")</f>
        <v/>
      </c>
      <c r="R428">
        <f>IF($F428=1,MOD(MOD($Q428,11),10),"")</f>
        <v/>
      </c>
    </row>
    <row r="429">
      <c r="A429" s="6" t="n"/>
      <c r="B429" s="7">
        <f>IF($A429="","",UPPER(SUBSTITUTE(SUBSTITUTE(SUBSTITUTE(SUBSTITUTE(SUBSTITUTE(SUBSTITUTE($A429," ",""),"-",""),".",""),"/",""),"i","I"),"ı","?")))</f>
        <v/>
      </c>
      <c r="C429" s="8">
        <f>IF($F429=1,$R429,"")</f>
        <v/>
      </c>
      <c r="D429" s="7">
        <f>IF($A429="","",IF($F429=0,"Biçim hatalı",IF(FIND(MID($B429,11,1),"0123456789")-1=$R429,"Geçerli","Kontrol hanesi hatalı (doğrusu: "&amp;$R429&amp;")")))</f>
        <v/>
      </c>
      <c r="F429">
        <f>IF($A429="","",IF(AND(LEN($B429)=11,SUMPRODUCT(--ISNUMBER(FIND(MID($B429,{1,2,3},1),"ABCDEFGHIJKLMNOPQRSTUVWXYZ")))=3,ISNUMBER(FIND(MID($B429,4,1),"UJZ")),SUMPRODUCT(--ISNUMBER(FIND(MID($B429,{5,6,7,8,9,10,11},1),"0123456789")))=7),1,0))</f>
        <v/>
      </c>
      <c r="G429">
        <f>IF($F429=1,INDEX({10,12,13,14,15,16,17,18,19,20,21,23,24,25,26,27,28,29,30,31,32,34,35,36,37,38},1,FIND(MID($B429,1,1),"ABCDEFGHIJKLMNOPQRSTUVWXYZ")),"")</f>
        <v/>
      </c>
      <c r="H429">
        <f>IF($F429=1,INDEX({10,12,13,14,15,16,17,18,19,20,21,23,24,25,26,27,28,29,30,31,32,34,35,36,37,38},1,FIND(MID($B429,2,1),"ABCDEFGHIJKLMNOPQRSTUVWXYZ")),"")</f>
        <v/>
      </c>
      <c r="I429">
        <f>IF($F429=1,INDEX({10,12,13,14,15,16,17,18,19,20,21,23,24,25,26,27,28,29,30,31,32,34,35,36,37,38},1,FIND(MID($B429,3,1),"ABCDEFGHIJKLMNOPQRSTUVWXYZ")),"")</f>
        <v/>
      </c>
      <c r="J429">
        <f>IF($F429=1,INDEX({10,12,13,14,15,16,17,18,19,20,21,23,24,25,26,27,28,29,30,31,32,34,35,36,37,38},1,FIND(MID($B429,4,1),"ABCDEFGHIJKLMNOPQRSTUVWXYZ")),"")</f>
        <v/>
      </c>
      <c r="K429">
        <f>IF($F429=1,FIND(MID($B429,5,1),"0123456789")-1,"")</f>
        <v/>
      </c>
      <c r="L429">
        <f>IF($F429=1,FIND(MID($B429,6,1),"0123456789")-1,"")</f>
        <v/>
      </c>
      <c r="M429">
        <f>IF($F429=1,FIND(MID($B429,7,1),"0123456789")-1,"")</f>
        <v/>
      </c>
      <c r="N429">
        <f>IF($F429=1,FIND(MID($B429,8,1),"0123456789")-1,"")</f>
        <v/>
      </c>
      <c r="O429">
        <f>IF($F429=1,FIND(MID($B429,9,1),"0123456789")-1,"")</f>
        <v/>
      </c>
      <c r="P429">
        <f>IF($F429=1,FIND(MID($B429,10,1),"0123456789")-1,"")</f>
        <v/>
      </c>
      <c r="Q429">
        <f>IF($F429=1,SUMPRODUCT($G429:$P429,{1,2,4,8,16,32,64,128,256,512}),"")</f>
        <v/>
      </c>
      <c r="R429">
        <f>IF($F429=1,MOD(MOD($Q429,11),10),"")</f>
        <v/>
      </c>
    </row>
    <row r="430">
      <c r="A430" s="6" t="n"/>
      <c r="B430" s="7">
        <f>IF($A430="","",UPPER(SUBSTITUTE(SUBSTITUTE(SUBSTITUTE(SUBSTITUTE(SUBSTITUTE(SUBSTITUTE($A430," ",""),"-",""),".",""),"/",""),"i","I"),"ı","?")))</f>
        <v/>
      </c>
      <c r="C430" s="8">
        <f>IF($F430=1,$R430,"")</f>
        <v/>
      </c>
      <c r="D430" s="7">
        <f>IF($A430="","",IF($F430=0,"Biçim hatalı",IF(FIND(MID($B430,11,1),"0123456789")-1=$R430,"Geçerli","Kontrol hanesi hatalı (doğrusu: "&amp;$R430&amp;")")))</f>
        <v/>
      </c>
      <c r="F430">
        <f>IF($A430="","",IF(AND(LEN($B430)=11,SUMPRODUCT(--ISNUMBER(FIND(MID($B430,{1,2,3},1),"ABCDEFGHIJKLMNOPQRSTUVWXYZ")))=3,ISNUMBER(FIND(MID($B430,4,1),"UJZ")),SUMPRODUCT(--ISNUMBER(FIND(MID($B430,{5,6,7,8,9,10,11},1),"0123456789")))=7),1,0))</f>
        <v/>
      </c>
      <c r="G430">
        <f>IF($F430=1,INDEX({10,12,13,14,15,16,17,18,19,20,21,23,24,25,26,27,28,29,30,31,32,34,35,36,37,38},1,FIND(MID($B430,1,1),"ABCDEFGHIJKLMNOPQRSTUVWXYZ")),"")</f>
        <v/>
      </c>
      <c r="H430">
        <f>IF($F430=1,INDEX({10,12,13,14,15,16,17,18,19,20,21,23,24,25,26,27,28,29,30,31,32,34,35,36,37,38},1,FIND(MID($B430,2,1),"ABCDEFGHIJKLMNOPQRSTUVWXYZ")),"")</f>
        <v/>
      </c>
      <c r="I430">
        <f>IF($F430=1,INDEX({10,12,13,14,15,16,17,18,19,20,21,23,24,25,26,27,28,29,30,31,32,34,35,36,37,38},1,FIND(MID($B430,3,1),"ABCDEFGHIJKLMNOPQRSTUVWXYZ")),"")</f>
        <v/>
      </c>
      <c r="J430">
        <f>IF($F430=1,INDEX({10,12,13,14,15,16,17,18,19,20,21,23,24,25,26,27,28,29,30,31,32,34,35,36,37,38},1,FIND(MID($B430,4,1),"ABCDEFGHIJKLMNOPQRSTUVWXYZ")),"")</f>
        <v/>
      </c>
      <c r="K430">
        <f>IF($F430=1,FIND(MID($B430,5,1),"0123456789")-1,"")</f>
        <v/>
      </c>
      <c r="L430">
        <f>IF($F430=1,FIND(MID($B430,6,1),"0123456789")-1,"")</f>
        <v/>
      </c>
      <c r="M430">
        <f>IF($F430=1,FIND(MID($B430,7,1),"0123456789")-1,"")</f>
        <v/>
      </c>
      <c r="N430">
        <f>IF($F430=1,FIND(MID($B430,8,1),"0123456789")-1,"")</f>
        <v/>
      </c>
      <c r="O430">
        <f>IF($F430=1,FIND(MID($B430,9,1),"0123456789")-1,"")</f>
        <v/>
      </c>
      <c r="P430">
        <f>IF($F430=1,FIND(MID($B430,10,1),"0123456789")-1,"")</f>
        <v/>
      </c>
      <c r="Q430">
        <f>IF($F430=1,SUMPRODUCT($G430:$P430,{1,2,4,8,16,32,64,128,256,512}),"")</f>
        <v/>
      </c>
      <c r="R430">
        <f>IF($F430=1,MOD(MOD($Q430,11),10),"")</f>
        <v/>
      </c>
    </row>
    <row r="431">
      <c r="A431" s="6" t="n"/>
      <c r="B431" s="7">
        <f>IF($A431="","",UPPER(SUBSTITUTE(SUBSTITUTE(SUBSTITUTE(SUBSTITUTE(SUBSTITUTE(SUBSTITUTE($A431," ",""),"-",""),".",""),"/",""),"i","I"),"ı","?")))</f>
        <v/>
      </c>
      <c r="C431" s="8">
        <f>IF($F431=1,$R431,"")</f>
        <v/>
      </c>
      <c r="D431" s="7">
        <f>IF($A431="","",IF($F431=0,"Biçim hatalı",IF(FIND(MID($B431,11,1),"0123456789")-1=$R431,"Geçerli","Kontrol hanesi hatalı (doğrusu: "&amp;$R431&amp;")")))</f>
        <v/>
      </c>
      <c r="F431">
        <f>IF($A431="","",IF(AND(LEN($B431)=11,SUMPRODUCT(--ISNUMBER(FIND(MID($B431,{1,2,3},1),"ABCDEFGHIJKLMNOPQRSTUVWXYZ")))=3,ISNUMBER(FIND(MID($B431,4,1),"UJZ")),SUMPRODUCT(--ISNUMBER(FIND(MID($B431,{5,6,7,8,9,10,11},1),"0123456789")))=7),1,0))</f>
        <v/>
      </c>
      <c r="G431">
        <f>IF($F431=1,INDEX({10,12,13,14,15,16,17,18,19,20,21,23,24,25,26,27,28,29,30,31,32,34,35,36,37,38},1,FIND(MID($B431,1,1),"ABCDEFGHIJKLMNOPQRSTUVWXYZ")),"")</f>
        <v/>
      </c>
      <c r="H431">
        <f>IF($F431=1,INDEX({10,12,13,14,15,16,17,18,19,20,21,23,24,25,26,27,28,29,30,31,32,34,35,36,37,38},1,FIND(MID($B431,2,1),"ABCDEFGHIJKLMNOPQRSTUVWXYZ")),"")</f>
        <v/>
      </c>
      <c r="I431">
        <f>IF($F431=1,INDEX({10,12,13,14,15,16,17,18,19,20,21,23,24,25,26,27,28,29,30,31,32,34,35,36,37,38},1,FIND(MID($B431,3,1),"ABCDEFGHIJKLMNOPQRSTUVWXYZ")),"")</f>
        <v/>
      </c>
      <c r="J431">
        <f>IF($F431=1,INDEX({10,12,13,14,15,16,17,18,19,20,21,23,24,25,26,27,28,29,30,31,32,34,35,36,37,38},1,FIND(MID($B431,4,1),"ABCDEFGHIJKLMNOPQRSTUVWXYZ")),"")</f>
        <v/>
      </c>
      <c r="K431">
        <f>IF($F431=1,FIND(MID($B431,5,1),"0123456789")-1,"")</f>
        <v/>
      </c>
      <c r="L431">
        <f>IF($F431=1,FIND(MID($B431,6,1),"0123456789")-1,"")</f>
        <v/>
      </c>
      <c r="M431">
        <f>IF($F431=1,FIND(MID($B431,7,1),"0123456789")-1,"")</f>
        <v/>
      </c>
      <c r="N431">
        <f>IF($F431=1,FIND(MID($B431,8,1),"0123456789")-1,"")</f>
        <v/>
      </c>
      <c r="O431">
        <f>IF($F431=1,FIND(MID($B431,9,1),"0123456789")-1,"")</f>
        <v/>
      </c>
      <c r="P431">
        <f>IF($F431=1,FIND(MID($B431,10,1),"0123456789")-1,"")</f>
        <v/>
      </c>
      <c r="Q431">
        <f>IF($F431=1,SUMPRODUCT($G431:$P431,{1,2,4,8,16,32,64,128,256,512}),"")</f>
        <v/>
      </c>
      <c r="R431">
        <f>IF($F431=1,MOD(MOD($Q431,11),10),"")</f>
        <v/>
      </c>
    </row>
    <row r="432">
      <c r="A432" s="6" t="n"/>
      <c r="B432" s="7">
        <f>IF($A432="","",UPPER(SUBSTITUTE(SUBSTITUTE(SUBSTITUTE(SUBSTITUTE(SUBSTITUTE(SUBSTITUTE($A432," ",""),"-",""),".",""),"/",""),"i","I"),"ı","?")))</f>
        <v/>
      </c>
      <c r="C432" s="8">
        <f>IF($F432=1,$R432,"")</f>
        <v/>
      </c>
      <c r="D432" s="7">
        <f>IF($A432="","",IF($F432=0,"Biçim hatalı",IF(FIND(MID($B432,11,1),"0123456789")-1=$R432,"Geçerli","Kontrol hanesi hatalı (doğrusu: "&amp;$R432&amp;")")))</f>
        <v/>
      </c>
      <c r="F432">
        <f>IF($A432="","",IF(AND(LEN($B432)=11,SUMPRODUCT(--ISNUMBER(FIND(MID($B432,{1,2,3},1),"ABCDEFGHIJKLMNOPQRSTUVWXYZ")))=3,ISNUMBER(FIND(MID($B432,4,1),"UJZ")),SUMPRODUCT(--ISNUMBER(FIND(MID($B432,{5,6,7,8,9,10,11},1),"0123456789")))=7),1,0))</f>
        <v/>
      </c>
      <c r="G432">
        <f>IF($F432=1,INDEX({10,12,13,14,15,16,17,18,19,20,21,23,24,25,26,27,28,29,30,31,32,34,35,36,37,38},1,FIND(MID($B432,1,1),"ABCDEFGHIJKLMNOPQRSTUVWXYZ")),"")</f>
        <v/>
      </c>
      <c r="H432">
        <f>IF($F432=1,INDEX({10,12,13,14,15,16,17,18,19,20,21,23,24,25,26,27,28,29,30,31,32,34,35,36,37,38},1,FIND(MID($B432,2,1),"ABCDEFGHIJKLMNOPQRSTUVWXYZ")),"")</f>
        <v/>
      </c>
      <c r="I432">
        <f>IF($F432=1,INDEX({10,12,13,14,15,16,17,18,19,20,21,23,24,25,26,27,28,29,30,31,32,34,35,36,37,38},1,FIND(MID($B432,3,1),"ABCDEFGHIJKLMNOPQRSTUVWXYZ")),"")</f>
        <v/>
      </c>
      <c r="J432">
        <f>IF($F432=1,INDEX({10,12,13,14,15,16,17,18,19,20,21,23,24,25,26,27,28,29,30,31,32,34,35,36,37,38},1,FIND(MID($B432,4,1),"ABCDEFGHIJKLMNOPQRSTUVWXYZ")),"")</f>
        <v/>
      </c>
      <c r="K432">
        <f>IF($F432=1,FIND(MID($B432,5,1),"0123456789")-1,"")</f>
        <v/>
      </c>
      <c r="L432">
        <f>IF($F432=1,FIND(MID($B432,6,1),"0123456789")-1,"")</f>
        <v/>
      </c>
      <c r="M432">
        <f>IF($F432=1,FIND(MID($B432,7,1),"0123456789")-1,"")</f>
        <v/>
      </c>
      <c r="N432">
        <f>IF($F432=1,FIND(MID($B432,8,1),"0123456789")-1,"")</f>
        <v/>
      </c>
      <c r="O432">
        <f>IF($F432=1,FIND(MID($B432,9,1),"0123456789")-1,"")</f>
        <v/>
      </c>
      <c r="P432">
        <f>IF($F432=1,FIND(MID($B432,10,1),"0123456789")-1,"")</f>
        <v/>
      </c>
      <c r="Q432">
        <f>IF($F432=1,SUMPRODUCT($G432:$P432,{1,2,4,8,16,32,64,128,256,512}),"")</f>
        <v/>
      </c>
      <c r="R432">
        <f>IF($F432=1,MOD(MOD($Q432,11),10),"")</f>
        <v/>
      </c>
    </row>
    <row r="433">
      <c r="A433" s="6" t="n"/>
      <c r="B433" s="7">
        <f>IF($A433="","",UPPER(SUBSTITUTE(SUBSTITUTE(SUBSTITUTE(SUBSTITUTE(SUBSTITUTE(SUBSTITUTE($A433," ",""),"-",""),".",""),"/",""),"i","I"),"ı","?")))</f>
        <v/>
      </c>
      <c r="C433" s="8">
        <f>IF($F433=1,$R433,"")</f>
        <v/>
      </c>
      <c r="D433" s="7">
        <f>IF($A433="","",IF($F433=0,"Biçim hatalı",IF(FIND(MID($B433,11,1),"0123456789")-1=$R433,"Geçerli","Kontrol hanesi hatalı (doğrusu: "&amp;$R433&amp;")")))</f>
        <v/>
      </c>
      <c r="F433">
        <f>IF($A433="","",IF(AND(LEN($B433)=11,SUMPRODUCT(--ISNUMBER(FIND(MID($B433,{1,2,3},1),"ABCDEFGHIJKLMNOPQRSTUVWXYZ")))=3,ISNUMBER(FIND(MID($B433,4,1),"UJZ")),SUMPRODUCT(--ISNUMBER(FIND(MID($B433,{5,6,7,8,9,10,11},1),"0123456789")))=7),1,0))</f>
        <v/>
      </c>
      <c r="G433">
        <f>IF($F433=1,INDEX({10,12,13,14,15,16,17,18,19,20,21,23,24,25,26,27,28,29,30,31,32,34,35,36,37,38},1,FIND(MID($B433,1,1),"ABCDEFGHIJKLMNOPQRSTUVWXYZ")),"")</f>
        <v/>
      </c>
      <c r="H433">
        <f>IF($F433=1,INDEX({10,12,13,14,15,16,17,18,19,20,21,23,24,25,26,27,28,29,30,31,32,34,35,36,37,38},1,FIND(MID($B433,2,1),"ABCDEFGHIJKLMNOPQRSTUVWXYZ")),"")</f>
        <v/>
      </c>
      <c r="I433">
        <f>IF($F433=1,INDEX({10,12,13,14,15,16,17,18,19,20,21,23,24,25,26,27,28,29,30,31,32,34,35,36,37,38},1,FIND(MID($B433,3,1),"ABCDEFGHIJKLMNOPQRSTUVWXYZ")),"")</f>
        <v/>
      </c>
      <c r="J433">
        <f>IF($F433=1,INDEX({10,12,13,14,15,16,17,18,19,20,21,23,24,25,26,27,28,29,30,31,32,34,35,36,37,38},1,FIND(MID($B433,4,1),"ABCDEFGHIJKLMNOPQRSTUVWXYZ")),"")</f>
        <v/>
      </c>
      <c r="K433">
        <f>IF($F433=1,FIND(MID($B433,5,1),"0123456789")-1,"")</f>
        <v/>
      </c>
      <c r="L433">
        <f>IF($F433=1,FIND(MID($B433,6,1),"0123456789")-1,"")</f>
        <v/>
      </c>
      <c r="M433">
        <f>IF($F433=1,FIND(MID($B433,7,1),"0123456789")-1,"")</f>
        <v/>
      </c>
      <c r="N433">
        <f>IF($F433=1,FIND(MID($B433,8,1),"0123456789")-1,"")</f>
        <v/>
      </c>
      <c r="O433">
        <f>IF($F433=1,FIND(MID($B433,9,1),"0123456789")-1,"")</f>
        <v/>
      </c>
      <c r="P433">
        <f>IF($F433=1,FIND(MID($B433,10,1),"0123456789")-1,"")</f>
        <v/>
      </c>
      <c r="Q433">
        <f>IF($F433=1,SUMPRODUCT($G433:$P433,{1,2,4,8,16,32,64,128,256,512}),"")</f>
        <v/>
      </c>
      <c r="R433">
        <f>IF($F433=1,MOD(MOD($Q433,11),10),"")</f>
        <v/>
      </c>
    </row>
    <row r="434">
      <c r="A434" s="6" t="n"/>
      <c r="B434" s="7">
        <f>IF($A434="","",UPPER(SUBSTITUTE(SUBSTITUTE(SUBSTITUTE(SUBSTITUTE(SUBSTITUTE(SUBSTITUTE($A434," ",""),"-",""),".",""),"/",""),"i","I"),"ı","?")))</f>
        <v/>
      </c>
      <c r="C434" s="8">
        <f>IF($F434=1,$R434,"")</f>
        <v/>
      </c>
      <c r="D434" s="7">
        <f>IF($A434="","",IF($F434=0,"Biçim hatalı",IF(FIND(MID($B434,11,1),"0123456789")-1=$R434,"Geçerli","Kontrol hanesi hatalı (doğrusu: "&amp;$R434&amp;")")))</f>
        <v/>
      </c>
      <c r="F434">
        <f>IF($A434="","",IF(AND(LEN($B434)=11,SUMPRODUCT(--ISNUMBER(FIND(MID($B434,{1,2,3},1),"ABCDEFGHIJKLMNOPQRSTUVWXYZ")))=3,ISNUMBER(FIND(MID($B434,4,1),"UJZ")),SUMPRODUCT(--ISNUMBER(FIND(MID($B434,{5,6,7,8,9,10,11},1),"0123456789")))=7),1,0))</f>
        <v/>
      </c>
      <c r="G434">
        <f>IF($F434=1,INDEX({10,12,13,14,15,16,17,18,19,20,21,23,24,25,26,27,28,29,30,31,32,34,35,36,37,38},1,FIND(MID($B434,1,1),"ABCDEFGHIJKLMNOPQRSTUVWXYZ")),"")</f>
        <v/>
      </c>
      <c r="H434">
        <f>IF($F434=1,INDEX({10,12,13,14,15,16,17,18,19,20,21,23,24,25,26,27,28,29,30,31,32,34,35,36,37,38},1,FIND(MID($B434,2,1),"ABCDEFGHIJKLMNOPQRSTUVWXYZ")),"")</f>
        <v/>
      </c>
      <c r="I434">
        <f>IF($F434=1,INDEX({10,12,13,14,15,16,17,18,19,20,21,23,24,25,26,27,28,29,30,31,32,34,35,36,37,38},1,FIND(MID($B434,3,1),"ABCDEFGHIJKLMNOPQRSTUVWXYZ")),"")</f>
        <v/>
      </c>
      <c r="J434">
        <f>IF($F434=1,INDEX({10,12,13,14,15,16,17,18,19,20,21,23,24,25,26,27,28,29,30,31,32,34,35,36,37,38},1,FIND(MID($B434,4,1),"ABCDEFGHIJKLMNOPQRSTUVWXYZ")),"")</f>
        <v/>
      </c>
      <c r="K434">
        <f>IF($F434=1,FIND(MID($B434,5,1),"0123456789")-1,"")</f>
        <v/>
      </c>
      <c r="L434">
        <f>IF($F434=1,FIND(MID($B434,6,1),"0123456789")-1,"")</f>
        <v/>
      </c>
      <c r="M434">
        <f>IF($F434=1,FIND(MID($B434,7,1),"0123456789")-1,"")</f>
        <v/>
      </c>
      <c r="N434">
        <f>IF($F434=1,FIND(MID($B434,8,1),"0123456789")-1,"")</f>
        <v/>
      </c>
      <c r="O434">
        <f>IF($F434=1,FIND(MID($B434,9,1),"0123456789")-1,"")</f>
        <v/>
      </c>
      <c r="P434">
        <f>IF($F434=1,FIND(MID($B434,10,1),"0123456789")-1,"")</f>
        <v/>
      </c>
      <c r="Q434">
        <f>IF($F434=1,SUMPRODUCT($G434:$P434,{1,2,4,8,16,32,64,128,256,512}),"")</f>
        <v/>
      </c>
      <c r="R434">
        <f>IF($F434=1,MOD(MOD($Q434,11),10),"")</f>
        <v/>
      </c>
    </row>
    <row r="435">
      <c r="A435" s="6" t="n"/>
      <c r="B435" s="7">
        <f>IF($A435="","",UPPER(SUBSTITUTE(SUBSTITUTE(SUBSTITUTE(SUBSTITUTE(SUBSTITUTE(SUBSTITUTE($A435," ",""),"-",""),".",""),"/",""),"i","I"),"ı","?")))</f>
        <v/>
      </c>
      <c r="C435" s="8">
        <f>IF($F435=1,$R435,"")</f>
        <v/>
      </c>
      <c r="D435" s="7">
        <f>IF($A435="","",IF($F435=0,"Biçim hatalı",IF(FIND(MID($B435,11,1),"0123456789")-1=$R435,"Geçerli","Kontrol hanesi hatalı (doğrusu: "&amp;$R435&amp;")")))</f>
        <v/>
      </c>
      <c r="F435">
        <f>IF($A435="","",IF(AND(LEN($B435)=11,SUMPRODUCT(--ISNUMBER(FIND(MID($B435,{1,2,3},1),"ABCDEFGHIJKLMNOPQRSTUVWXYZ")))=3,ISNUMBER(FIND(MID($B435,4,1),"UJZ")),SUMPRODUCT(--ISNUMBER(FIND(MID($B435,{5,6,7,8,9,10,11},1),"0123456789")))=7),1,0))</f>
        <v/>
      </c>
      <c r="G435">
        <f>IF($F435=1,INDEX({10,12,13,14,15,16,17,18,19,20,21,23,24,25,26,27,28,29,30,31,32,34,35,36,37,38},1,FIND(MID($B435,1,1),"ABCDEFGHIJKLMNOPQRSTUVWXYZ")),"")</f>
        <v/>
      </c>
      <c r="H435">
        <f>IF($F435=1,INDEX({10,12,13,14,15,16,17,18,19,20,21,23,24,25,26,27,28,29,30,31,32,34,35,36,37,38},1,FIND(MID($B435,2,1),"ABCDEFGHIJKLMNOPQRSTUVWXYZ")),"")</f>
        <v/>
      </c>
      <c r="I435">
        <f>IF($F435=1,INDEX({10,12,13,14,15,16,17,18,19,20,21,23,24,25,26,27,28,29,30,31,32,34,35,36,37,38},1,FIND(MID($B435,3,1),"ABCDEFGHIJKLMNOPQRSTUVWXYZ")),"")</f>
        <v/>
      </c>
      <c r="J435">
        <f>IF($F435=1,INDEX({10,12,13,14,15,16,17,18,19,20,21,23,24,25,26,27,28,29,30,31,32,34,35,36,37,38},1,FIND(MID($B435,4,1),"ABCDEFGHIJKLMNOPQRSTUVWXYZ")),"")</f>
        <v/>
      </c>
      <c r="K435">
        <f>IF($F435=1,FIND(MID($B435,5,1),"0123456789")-1,"")</f>
        <v/>
      </c>
      <c r="L435">
        <f>IF($F435=1,FIND(MID($B435,6,1),"0123456789")-1,"")</f>
        <v/>
      </c>
      <c r="M435">
        <f>IF($F435=1,FIND(MID($B435,7,1),"0123456789")-1,"")</f>
        <v/>
      </c>
      <c r="N435">
        <f>IF($F435=1,FIND(MID($B435,8,1),"0123456789")-1,"")</f>
        <v/>
      </c>
      <c r="O435">
        <f>IF($F435=1,FIND(MID($B435,9,1),"0123456789")-1,"")</f>
        <v/>
      </c>
      <c r="P435">
        <f>IF($F435=1,FIND(MID($B435,10,1),"0123456789")-1,"")</f>
        <v/>
      </c>
      <c r="Q435">
        <f>IF($F435=1,SUMPRODUCT($G435:$P435,{1,2,4,8,16,32,64,128,256,512}),"")</f>
        <v/>
      </c>
      <c r="R435">
        <f>IF($F435=1,MOD(MOD($Q435,11),10),"")</f>
        <v/>
      </c>
    </row>
    <row r="436">
      <c r="A436" s="6" t="n"/>
      <c r="B436" s="7">
        <f>IF($A436="","",UPPER(SUBSTITUTE(SUBSTITUTE(SUBSTITUTE(SUBSTITUTE(SUBSTITUTE(SUBSTITUTE($A436," ",""),"-",""),".",""),"/",""),"i","I"),"ı","?")))</f>
        <v/>
      </c>
      <c r="C436" s="8">
        <f>IF($F436=1,$R436,"")</f>
        <v/>
      </c>
      <c r="D436" s="7">
        <f>IF($A436="","",IF($F436=0,"Biçim hatalı",IF(FIND(MID($B436,11,1),"0123456789")-1=$R436,"Geçerli","Kontrol hanesi hatalı (doğrusu: "&amp;$R436&amp;")")))</f>
        <v/>
      </c>
      <c r="F436">
        <f>IF($A436="","",IF(AND(LEN($B436)=11,SUMPRODUCT(--ISNUMBER(FIND(MID($B436,{1,2,3},1),"ABCDEFGHIJKLMNOPQRSTUVWXYZ")))=3,ISNUMBER(FIND(MID($B436,4,1),"UJZ")),SUMPRODUCT(--ISNUMBER(FIND(MID($B436,{5,6,7,8,9,10,11},1),"0123456789")))=7),1,0))</f>
        <v/>
      </c>
      <c r="G436">
        <f>IF($F436=1,INDEX({10,12,13,14,15,16,17,18,19,20,21,23,24,25,26,27,28,29,30,31,32,34,35,36,37,38},1,FIND(MID($B436,1,1),"ABCDEFGHIJKLMNOPQRSTUVWXYZ")),"")</f>
        <v/>
      </c>
      <c r="H436">
        <f>IF($F436=1,INDEX({10,12,13,14,15,16,17,18,19,20,21,23,24,25,26,27,28,29,30,31,32,34,35,36,37,38},1,FIND(MID($B436,2,1),"ABCDEFGHIJKLMNOPQRSTUVWXYZ")),"")</f>
        <v/>
      </c>
      <c r="I436">
        <f>IF($F436=1,INDEX({10,12,13,14,15,16,17,18,19,20,21,23,24,25,26,27,28,29,30,31,32,34,35,36,37,38},1,FIND(MID($B436,3,1),"ABCDEFGHIJKLMNOPQRSTUVWXYZ")),"")</f>
        <v/>
      </c>
      <c r="J436">
        <f>IF($F436=1,INDEX({10,12,13,14,15,16,17,18,19,20,21,23,24,25,26,27,28,29,30,31,32,34,35,36,37,38},1,FIND(MID($B436,4,1),"ABCDEFGHIJKLMNOPQRSTUVWXYZ")),"")</f>
        <v/>
      </c>
      <c r="K436">
        <f>IF($F436=1,FIND(MID($B436,5,1),"0123456789")-1,"")</f>
        <v/>
      </c>
      <c r="L436">
        <f>IF($F436=1,FIND(MID($B436,6,1),"0123456789")-1,"")</f>
        <v/>
      </c>
      <c r="M436">
        <f>IF($F436=1,FIND(MID($B436,7,1),"0123456789")-1,"")</f>
        <v/>
      </c>
      <c r="N436">
        <f>IF($F436=1,FIND(MID($B436,8,1),"0123456789")-1,"")</f>
        <v/>
      </c>
      <c r="O436">
        <f>IF($F436=1,FIND(MID($B436,9,1),"0123456789")-1,"")</f>
        <v/>
      </c>
      <c r="P436">
        <f>IF($F436=1,FIND(MID($B436,10,1),"0123456789")-1,"")</f>
        <v/>
      </c>
      <c r="Q436">
        <f>IF($F436=1,SUMPRODUCT($G436:$P436,{1,2,4,8,16,32,64,128,256,512}),"")</f>
        <v/>
      </c>
      <c r="R436">
        <f>IF($F436=1,MOD(MOD($Q436,11),10),"")</f>
        <v/>
      </c>
    </row>
    <row r="437">
      <c r="A437" s="6" t="n"/>
      <c r="B437" s="7">
        <f>IF($A437="","",UPPER(SUBSTITUTE(SUBSTITUTE(SUBSTITUTE(SUBSTITUTE(SUBSTITUTE(SUBSTITUTE($A437," ",""),"-",""),".",""),"/",""),"i","I"),"ı","?")))</f>
        <v/>
      </c>
      <c r="C437" s="8">
        <f>IF($F437=1,$R437,"")</f>
        <v/>
      </c>
      <c r="D437" s="7">
        <f>IF($A437="","",IF($F437=0,"Biçim hatalı",IF(FIND(MID($B437,11,1),"0123456789")-1=$R437,"Geçerli","Kontrol hanesi hatalı (doğrusu: "&amp;$R437&amp;")")))</f>
        <v/>
      </c>
      <c r="F437">
        <f>IF($A437="","",IF(AND(LEN($B437)=11,SUMPRODUCT(--ISNUMBER(FIND(MID($B437,{1,2,3},1),"ABCDEFGHIJKLMNOPQRSTUVWXYZ")))=3,ISNUMBER(FIND(MID($B437,4,1),"UJZ")),SUMPRODUCT(--ISNUMBER(FIND(MID($B437,{5,6,7,8,9,10,11},1),"0123456789")))=7),1,0))</f>
        <v/>
      </c>
      <c r="G437">
        <f>IF($F437=1,INDEX({10,12,13,14,15,16,17,18,19,20,21,23,24,25,26,27,28,29,30,31,32,34,35,36,37,38},1,FIND(MID($B437,1,1),"ABCDEFGHIJKLMNOPQRSTUVWXYZ")),"")</f>
        <v/>
      </c>
      <c r="H437">
        <f>IF($F437=1,INDEX({10,12,13,14,15,16,17,18,19,20,21,23,24,25,26,27,28,29,30,31,32,34,35,36,37,38},1,FIND(MID($B437,2,1),"ABCDEFGHIJKLMNOPQRSTUVWXYZ")),"")</f>
        <v/>
      </c>
      <c r="I437">
        <f>IF($F437=1,INDEX({10,12,13,14,15,16,17,18,19,20,21,23,24,25,26,27,28,29,30,31,32,34,35,36,37,38},1,FIND(MID($B437,3,1),"ABCDEFGHIJKLMNOPQRSTUVWXYZ")),"")</f>
        <v/>
      </c>
      <c r="J437">
        <f>IF($F437=1,INDEX({10,12,13,14,15,16,17,18,19,20,21,23,24,25,26,27,28,29,30,31,32,34,35,36,37,38},1,FIND(MID($B437,4,1),"ABCDEFGHIJKLMNOPQRSTUVWXYZ")),"")</f>
        <v/>
      </c>
      <c r="K437">
        <f>IF($F437=1,FIND(MID($B437,5,1),"0123456789")-1,"")</f>
        <v/>
      </c>
      <c r="L437">
        <f>IF($F437=1,FIND(MID($B437,6,1),"0123456789")-1,"")</f>
        <v/>
      </c>
      <c r="M437">
        <f>IF($F437=1,FIND(MID($B437,7,1),"0123456789")-1,"")</f>
        <v/>
      </c>
      <c r="N437">
        <f>IF($F437=1,FIND(MID($B437,8,1),"0123456789")-1,"")</f>
        <v/>
      </c>
      <c r="O437">
        <f>IF($F437=1,FIND(MID($B437,9,1),"0123456789")-1,"")</f>
        <v/>
      </c>
      <c r="P437">
        <f>IF($F437=1,FIND(MID($B437,10,1),"0123456789")-1,"")</f>
        <v/>
      </c>
      <c r="Q437">
        <f>IF($F437=1,SUMPRODUCT($G437:$P437,{1,2,4,8,16,32,64,128,256,512}),"")</f>
        <v/>
      </c>
      <c r="R437">
        <f>IF($F437=1,MOD(MOD($Q437,11),10),"")</f>
        <v/>
      </c>
    </row>
    <row r="438">
      <c r="A438" s="6" t="n"/>
      <c r="B438" s="7">
        <f>IF($A438="","",UPPER(SUBSTITUTE(SUBSTITUTE(SUBSTITUTE(SUBSTITUTE(SUBSTITUTE(SUBSTITUTE($A438," ",""),"-",""),".",""),"/",""),"i","I"),"ı","?")))</f>
        <v/>
      </c>
      <c r="C438" s="8">
        <f>IF($F438=1,$R438,"")</f>
        <v/>
      </c>
      <c r="D438" s="7">
        <f>IF($A438="","",IF($F438=0,"Biçim hatalı",IF(FIND(MID($B438,11,1),"0123456789")-1=$R438,"Geçerli","Kontrol hanesi hatalı (doğrusu: "&amp;$R438&amp;")")))</f>
        <v/>
      </c>
      <c r="F438">
        <f>IF($A438="","",IF(AND(LEN($B438)=11,SUMPRODUCT(--ISNUMBER(FIND(MID($B438,{1,2,3},1),"ABCDEFGHIJKLMNOPQRSTUVWXYZ")))=3,ISNUMBER(FIND(MID($B438,4,1),"UJZ")),SUMPRODUCT(--ISNUMBER(FIND(MID($B438,{5,6,7,8,9,10,11},1),"0123456789")))=7),1,0))</f>
        <v/>
      </c>
      <c r="G438">
        <f>IF($F438=1,INDEX({10,12,13,14,15,16,17,18,19,20,21,23,24,25,26,27,28,29,30,31,32,34,35,36,37,38},1,FIND(MID($B438,1,1),"ABCDEFGHIJKLMNOPQRSTUVWXYZ")),"")</f>
        <v/>
      </c>
      <c r="H438">
        <f>IF($F438=1,INDEX({10,12,13,14,15,16,17,18,19,20,21,23,24,25,26,27,28,29,30,31,32,34,35,36,37,38},1,FIND(MID($B438,2,1),"ABCDEFGHIJKLMNOPQRSTUVWXYZ")),"")</f>
        <v/>
      </c>
      <c r="I438">
        <f>IF($F438=1,INDEX({10,12,13,14,15,16,17,18,19,20,21,23,24,25,26,27,28,29,30,31,32,34,35,36,37,38},1,FIND(MID($B438,3,1),"ABCDEFGHIJKLMNOPQRSTUVWXYZ")),"")</f>
        <v/>
      </c>
      <c r="J438">
        <f>IF($F438=1,INDEX({10,12,13,14,15,16,17,18,19,20,21,23,24,25,26,27,28,29,30,31,32,34,35,36,37,38},1,FIND(MID($B438,4,1),"ABCDEFGHIJKLMNOPQRSTUVWXYZ")),"")</f>
        <v/>
      </c>
      <c r="K438">
        <f>IF($F438=1,FIND(MID($B438,5,1),"0123456789")-1,"")</f>
        <v/>
      </c>
      <c r="L438">
        <f>IF($F438=1,FIND(MID($B438,6,1),"0123456789")-1,"")</f>
        <v/>
      </c>
      <c r="M438">
        <f>IF($F438=1,FIND(MID($B438,7,1),"0123456789")-1,"")</f>
        <v/>
      </c>
      <c r="N438">
        <f>IF($F438=1,FIND(MID($B438,8,1),"0123456789")-1,"")</f>
        <v/>
      </c>
      <c r="O438">
        <f>IF($F438=1,FIND(MID($B438,9,1),"0123456789")-1,"")</f>
        <v/>
      </c>
      <c r="P438">
        <f>IF($F438=1,FIND(MID($B438,10,1),"0123456789")-1,"")</f>
        <v/>
      </c>
      <c r="Q438">
        <f>IF($F438=1,SUMPRODUCT($G438:$P438,{1,2,4,8,16,32,64,128,256,512}),"")</f>
        <v/>
      </c>
      <c r="R438">
        <f>IF($F438=1,MOD(MOD($Q438,11),10),"")</f>
        <v/>
      </c>
    </row>
    <row r="439">
      <c r="A439" s="6" t="n"/>
      <c r="B439" s="7">
        <f>IF($A439="","",UPPER(SUBSTITUTE(SUBSTITUTE(SUBSTITUTE(SUBSTITUTE(SUBSTITUTE(SUBSTITUTE($A439," ",""),"-",""),".",""),"/",""),"i","I"),"ı","?")))</f>
        <v/>
      </c>
      <c r="C439" s="8">
        <f>IF($F439=1,$R439,"")</f>
        <v/>
      </c>
      <c r="D439" s="7">
        <f>IF($A439="","",IF($F439=0,"Biçim hatalı",IF(FIND(MID($B439,11,1),"0123456789")-1=$R439,"Geçerli","Kontrol hanesi hatalı (doğrusu: "&amp;$R439&amp;")")))</f>
        <v/>
      </c>
      <c r="F439">
        <f>IF($A439="","",IF(AND(LEN($B439)=11,SUMPRODUCT(--ISNUMBER(FIND(MID($B439,{1,2,3},1),"ABCDEFGHIJKLMNOPQRSTUVWXYZ")))=3,ISNUMBER(FIND(MID($B439,4,1),"UJZ")),SUMPRODUCT(--ISNUMBER(FIND(MID($B439,{5,6,7,8,9,10,11},1),"0123456789")))=7),1,0))</f>
        <v/>
      </c>
      <c r="G439">
        <f>IF($F439=1,INDEX({10,12,13,14,15,16,17,18,19,20,21,23,24,25,26,27,28,29,30,31,32,34,35,36,37,38},1,FIND(MID($B439,1,1),"ABCDEFGHIJKLMNOPQRSTUVWXYZ")),"")</f>
        <v/>
      </c>
      <c r="H439">
        <f>IF($F439=1,INDEX({10,12,13,14,15,16,17,18,19,20,21,23,24,25,26,27,28,29,30,31,32,34,35,36,37,38},1,FIND(MID($B439,2,1),"ABCDEFGHIJKLMNOPQRSTUVWXYZ")),"")</f>
        <v/>
      </c>
      <c r="I439">
        <f>IF($F439=1,INDEX({10,12,13,14,15,16,17,18,19,20,21,23,24,25,26,27,28,29,30,31,32,34,35,36,37,38},1,FIND(MID($B439,3,1),"ABCDEFGHIJKLMNOPQRSTUVWXYZ")),"")</f>
        <v/>
      </c>
      <c r="J439">
        <f>IF($F439=1,INDEX({10,12,13,14,15,16,17,18,19,20,21,23,24,25,26,27,28,29,30,31,32,34,35,36,37,38},1,FIND(MID($B439,4,1),"ABCDEFGHIJKLMNOPQRSTUVWXYZ")),"")</f>
        <v/>
      </c>
      <c r="K439">
        <f>IF($F439=1,FIND(MID($B439,5,1),"0123456789")-1,"")</f>
        <v/>
      </c>
      <c r="L439">
        <f>IF($F439=1,FIND(MID($B439,6,1),"0123456789")-1,"")</f>
        <v/>
      </c>
      <c r="M439">
        <f>IF($F439=1,FIND(MID($B439,7,1),"0123456789")-1,"")</f>
        <v/>
      </c>
      <c r="N439">
        <f>IF($F439=1,FIND(MID($B439,8,1),"0123456789")-1,"")</f>
        <v/>
      </c>
      <c r="O439">
        <f>IF($F439=1,FIND(MID($B439,9,1),"0123456789")-1,"")</f>
        <v/>
      </c>
      <c r="P439">
        <f>IF($F439=1,FIND(MID($B439,10,1),"0123456789")-1,"")</f>
        <v/>
      </c>
      <c r="Q439">
        <f>IF($F439=1,SUMPRODUCT($G439:$P439,{1,2,4,8,16,32,64,128,256,512}),"")</f>
        <v/>
      </c>
      <c r="R439">
        <f>IF($F439=1,MOD(MOD($Q439,11),10),"")</f>
        <v/>
      </c>
    </row>
    <row r="440">
      <c r="A440" s="6" t="n"/>
      <c r="B440" s="7">
        <f>IF($A440="","",UPPER(SUBSTITUTE(SUBSTITUTE(SUBSTITUTE(SUBSTITUTE(SUBSTITUTE(SUBSTITUTE($A440," ",""),"-",""),".",""),"/",""),"i","I"),"ı","?")))</f>
        <v/>
      </c>
      <c r="C440" s="8">
        <f>IF($F440=1,$R440,"")</f>
        <v/>
      </c>
      <c r="D440" s="7">
        <f>IF($A440="","",IF($F440=0,"Biçim hatalı",IF(FIND(MID($B440,11,1),"0123456789")-1=$R440,"Geçerli","Kontrol hanesi hatalı (doğrusu: "&amp;$R440&amp;")")))</f>
        <v/>
      </c>
      <c r="F440">
        <f>IF($A440="","",IF(AND(LEN($B440)=11,SUMPRODUCT(--ISNUMBER(FIND(MID($B440,{1,2,3},1),"ABCDEFGHIJKLMNOPQRSTUVWXYZ")))=3,ISNUMBER(FIND(MID($B440,4,1),"UJZ")),SUMPRODUCT(--ISNUMBER(FIND(MID($B440,{5,6,7,8,9,10,11},1),"0123456789")))=7),1,0))</f>
        <v/>
      </c>
      <c r="G440">
        <f>IF($F440=1,INDEX({10,12,13,14,15,16,17,18,19,20,21,23,24,25,26,27,28,29,30,31,32,34,35,36,37,38},1,FIND(MID($B440,1,1),"ABCDEFGHIJKLMNOPQRSTUVWXYZ")),"")</f>
        <v/>
      </c>
      <c r="H440">
        <f>IF($F440=1,INDEX({10,12,13,14,15,16,17,18,19,20,21,23,24,25,26,27,28,29,30,31,32,34,35,36,37,38},1,FIND(MID($B440,2,1),"ABCDEFGHIJKLMNOPQRSTUVWXYZ")),"")</f>
        <v/>
      </c>
      <c r="I440">
        <f>IF($F440=1,INDEX({10,12,13,14,15,16,17,18,19,20,21,23,24,25,26,27,28,29,30,31,32,34,35,36,37,38},1,FIND(MID($B440,3,1),"ABCDEFGHIJKLMNOPQRSTUVWXYZ")),"")</f>
        <v/>
      </c>
      <c r="J440">
        <f>IF($F440=1,INDEX({10,12,13,14,15,16,17,18,19,20,21,23,24,25,26,27,28,29,30,31,32,34,35,36,37,38},1,FIND(MID($B440,4,1),"ABCDEFGHIJKLMNOPQRSTUVWXYZ")),"")</f>
        <v/>
      </c>
      <c r="K440">
        <f>IF($F440=1,FIND(MID($B440,5,1),"0123456789")-1,"")</f>
        <v/>
      </c>
      <c r="L440">
        <f>IF($F440=1,FIND(MID($B440,6,1),"0123456789")-1,"")</f>
        <v/>
      </c>
      <c r="M440">
        <f>IF($F440=1,FIND(MID($B440,7,1),"0123456789")-1,"")</f>
        <v/>
      </c>
      <c r="N440">
        <f>IF($F440=1,FIND(MID($B440,8,1),"0123456789")-1,"")</f>
        <v/>
      </c>
      <c r="O440">
        <f>IF($F440=1,FIND(MID($B440,9,1),"0123456789")-1,"")</f>
        <v/>
      </c>
      <c r="P440">
        <f>IF($F440=1,FIND(MID($B440,10,1),"0123456789")-1,"")</f>
        <v/>
      </c>
      <c r="Q440">
        <f>IF($F440=1,SUMPRODUCT($G440:$P440,{1,2,4,8,16,32,64,128,256,512}),"")</f>
        <v/>
      </c>
      <c r="R440">
        <f>IF($F440=1,MOD(MOD($Q440,11),10),"")</f>
        <v/>
      </c>
    </row>
    <row r="441">
      <c r="A441" s="6" t="n"/>
      <c r="B441" s="7">
        <f>IF($A441="","",UPPER(SUBSTITUTE(SUBSTITUTE(SUBSTITUTE(SUBSTITUTE(SUBSTITUTE(SUBSTITUTE($A441," ",""),"-",""),".",""),"/",""),"i","I"),"ı","?")))</f>
        <v/>
      </c>
      <c r="C441" s="8">
        <f>IF($F441=1,$R441,"")</f>
        <v/>
      </c>
      <c r="D441" s="7">
        <f>IF($A441="","",IF($F441=0,"Biçim hatalı",IF(FIND(MID($B441,11,1),"0123456789")-1=$R441,"Geçerli","Kontrol hanesi hatalı (doğrusu: "&amp;$R441&amp;")")))</f>
        <v/>
      </c>
      <c r="F441">
        <f>IF($A441="","",IF(AND(LEN($B441)=11,SUMPRODUCT(--ISNUMBER(FIND(MID($B441,{1,2,3},1),"ABCDEFGHIJKLMNOPQRSTUVWXYZ")))=3,ISNUMBER(FIND(MID($B441,4,1),"UJZ")),SUMPRODUCT(--ISNUMBER(FIND(MID($B441,{5,6,7,8,9,10,11},1),"0123456789")))=7),1,0))</f>
        <v/>
      </c>
      <c r="G441">
        <f>IF($F441=1,INDEX({10,12,13,14,15,16,17,18,19,20,21,23,24,25,26,27,28,29,30,31,32,34,35,36,37,38},1,FIND(MID($B441,1,1),"ABCDEFGHIJKLMNOPQRSTUVWXYZ")),"")</f>
        <v/>
      </c>
      <c r="H441">
        <f>IF($F441=1,INDEX({10,12,13,14,15,16,17,18,19,20,21,23,24,25,26,27,28,29,30,31,32,34,35,36,37,38},1,FIND(MID($B441,2,1),"ABCDEFGHIJKLMNOPQRSTUVWXYZ")),"")</f>
        <v/>
      </c>
      <c r="I441">
        <f>IF($F441=1,INDEX({10,12,13,14,15,16,17,18,19,20,21,23,24,25,26,27,28,29,30,31,32,34,35,36,37,38},1,FIND(MID($B441,3,1),"ABCDEFGHIJKLMNOPQRSTUVWXYZ")),"")</f>
        <v/>
      </c>
      <c r="J441">
        <f>IF($F441=1,INDEX({10,12,13,14,15,16,17,18,19,20,21,23,24,25,26,27,28,29,30,31,32,34,35,36,37,38},1,FIND(MID($B441,4,1),"ABCDEFGHIJKLMNOPQRSTUVWXYZ")),"")</f>
        <v/>
      </c>
      <c r="K441">
        <f>IF($F441=1,FIND(MID($B441,5,1),"0123456789")-1,"")</f>
        <v/>
      </c>
      <c r="L441">
        <f>IF($F441=1,FIND(MID($B441,6,1),"0123456789")-1,"")</f>
        <v/>
      </c>
      <c r="M441">
        <f>IF($F441=1,FIND(MID($B441,7,1),"0123456789")-1,"")</f>
        <v/>
      </c>
      <c r="N441">
        <f>IF($F441=1,FIND(MID($B441,8,1),"0123456789")-1,"")</f>
        <v/>
      </c>
      <c r="O441">
        <f>IF($F441=1,FIND(MID($B441,9,1),"0123456789")-1,"")</f>
        <v/>
      </c>
      <c r="P441">
        <f>IF($F441=1,FIND(MID($B441,10,1),"0123456789")-1,"")</f>
        <v/>
      </c>
      <c r="Q441">
        <f>IF($F441=1,SUMPRODUCT($G441:$P441,{1,2,4,8,16,32,64,128,256,512}),"")</f>
        <v/>
      </c>
      <c r="R441">
        <f>IF($F441=1,MOD(MOD($Q441,11),10),"")</f>
        <v/>
      </c>
    </row>
    <row r="442">
      <c r="A442" s="6" t="n"/>
      <c r="B442" s="7">
        <f>IF($A442="","",UPPER(SUBSTITUTE(SUBSTITUTE(SUBSTITUTE(SUBSTITUTE(SUBSTITUTE(SUBSTITUTE($A442," ",""),"-",""),".",""),"/",""),"i","I"),"ı","?")))</f>
        <v/>
      </c>
      <c r="C442" s="8">
        <f>IF($F442=1,$R442,"")</f>
        <v/>
      </c>
      <c r="D442" s="7">
        <f>IF($A442="","",IF($F442=0,"Biçim hatalı",IF(FIND(MID($B442,11,1),"0123456789")-1=$R442,"Geçerli","Kontrol hanesi hatalı (doğrusu: "&amp;$R442&amp;")")))</f>
        <v/>
      </c>
      <c r="F442">
        <f>IF($A442="","",IF(AND(LEN($B442)=11,SUMPRODUCT(--ISNUMBER(FIND(MID($B442,{1,2,3},1),"ABCDEFGHIJKLMNOPQRSTUVWXYZ")))=3,ISNUMBER(FIND(MID($B442,4,1),"UJZ")),SUMPRODUCT(--ISNUMBER(FIND(MID($B442,{5,6,7,8,9,10,11},1),"0123456789")))=7),1,0))</f>
        <v/>
      </c>
      <c r="G442">
        <f>IF($F442=1,INDEX({10,12,13,14,15,16,17,18,19,20,21,23,24,25,26,27,28,29,30,31,32,34,35,36,37,38},1,FIND(MID($B442,1,1),"ABCDEFGHIJKLMNOPQRSTUVWXYZ")),"")</f>
        <v/>
      </c>
      <c r="H442">
        <f>IF($F442=1,INDEX({10,12,13,14,15,16,17,18,19,20,21,23,24,25,26,27,28,29,30,31,32,34,35,36,37,38},1,FIND(MID($B442,2,1),"ABCDEFGHIJKLMNOPQRSTUVWXYZ")),"")</f>
        <v/>
      </c>
      <c r="I442">
        <f>IF($F442=1,INDEX({10,12,13,14,15,16,17,18,19,20,21,23,24,25,26,27,28,29,30,31,32,34,35,36,37,38},1,FIND(MID($B442,3,1),"ABCDEFGHIJKLMNOPQRSTUVWXYZ")),"")</f>
        <v/>
      </c>
      <c r="J442">
        <f>IF($F442=1,INDEX({10,12,13,14,15,16,17,18,19,20,21,23,24,25,26,27,28,29,30,31,32,34,35,36,37,38},1,FIND(MID($B442,4,1),"ABCDEFGHIJKLMNOPQRSTUVWXYZ")),"")</f>
        <v/>
      </c>
      <c r="K442">
        <f>IF($F442=1,FIND(MID($B442,5,1),"0123456789")-1,"")</f>
        <v/>
      </c>
      <c r="L442">
        <f>IF($F442=1,FIND(MID($B442,6,1),"0123456789")-1,"")</f>
        <v/>
      </c>
      <c r="M442">
        <f>IF($F442=1,FIND(MID($B442,7,1),"0123456789")-1,"")</f>
        <v/>
      </c>
      <c r="N442">
        <f>IF($F442=1,FIND(MID($B442,8,1),"0123456789")-1,"")</f>
        <v/>
      </c>
      <c r="O442">
        <f>IF($F442=1,FIND(MID($B442,9,1),"0123456789")-1,"")</f>
        <v/>
      </c>
      <c r="P442">
        <f>IF($F442=1,FIND(MID($B442,10,1),"0123456789")-1,"")</f>
        <v/>
      </c>
      <c r="Q442">
        <f>IF($F442=1,SUMPRODUCT($G442:$P442,{1,2,4,8,16,32,64,128,256,512}),"")</f>
        <v/>
      </c>
      <c r="R442">
        <f>IF($F442=1,MOD(MOD($Q442,11),10),"")</f>
        <v/>
      </c>
    </row>
    <row r="443">
      <c r="A443" s="6" t="n"/>
      <c r="B443" s="7">
        <f>IF($A443="","",UPPER(SUBSTITUTE(SUBSTITUTE(SUBSTITUTE(SUBSTITUTE(SUBSTITUTE(SUBSTITUTE($A443," ",""),"-",""),".",""),"/",""),"i","I"),"ı","?")))</f>
        <v/>
      </c>
      <c r="C443" s="8">
        <f>IF($F443=1,$R443,"")</f>
        <v/>
      </c>
      <c r="D443" s="7">
        <f>IF($A443="","",IF($F443=0,"Biçim hatalı",IF(FIND(MID($B443,11,1),"0123456789")-1=$R443,"Geçerli","Kontrol hanesi hatalı (doğrusu: "&amp;$R443&amp;")")))</f>
        <v/>
      </c>
      <c r="F443">
        <f>IF($A443="","",IF(AND(LEN($B443)=11,SUMPRODUCT(--ISNUMBER(FIND(MID($B443,{1,2,3},1),"ABCDEFGHIJKLMNOPQRSTUVWXYZ")))=3,ISNUMBER(FIND(MID($B443,4,1),"UJZ")),SUMPRODUCT(--ISNUMBER(FIND(MID($B443,{5,6,7,8,9,10,11},1),"0123456789")))=7),1,0))</f>
        <v/>
      </c>
      <c r="G443">
        <f>IF($F443=1,INDEX({10,12,13,14,15,16,17,18,19,20,21,23,24,25,26,27,28,29,30,31,32,34,35,36,37,38},1,FIND(MID($B443,1,1),"ABCDEFGHIJKLMNOPQRSTUVWXYZ")),"")</f>
        <v/>
      </c>
      <c r="H443">
        <f>IF($F443=1,INDEX({10,12,13,14,15,16,17,18,19,20,21,23,24,25,26,27,28,29,30,31,32,34,35,36,37,38},1,FIND(MID($B443,2,1),"ABCDEFGHIJKLMNOPQRSTUVWXYZ")),"")</f>
        <v/>
      </c>
      <c r="I443">
        <f>IF($F443=1,INDEX({10,12,13,14,15,16,17,18,19,20,21,23,24,25,26,27,28,29,30,31,32,34,35,36,37,38},1,FIND(MID($B443,3,1),"ABCDEFGHIJKLMNOPQRSTUVWXYZ")),"")</f>
        <v/>
      </c>
      <c r="J443">
        <f>IF($F443=1,INDEX({10,12,13,14,15,16,17,18,19,20,21,23,24,25,26,27,28,29,30,31,32,34,35,36,37,38},1,FIND(MID($B443,4,1),"ABCDEFGHIJKLMNOPQRSTUVWXYZ")),"")</f>
        <v/>
      </c>
      <c r="K443">
        <f>IF($F443=1,FIND(MID($B443,5,1),"0123456789")-1,"")</f>
        <v/>
      </c>
      <c r="L443">
        <f>IF($F443=1,FIND(MID($B443,6,1),"0123456789")-1,"")</f>
        <v/>
      </c>
      <c r="M443">
        <f>IF($F443=1,FIND(MID($B443,7,1),"0123456789")-1,"")</f>
        <v/>
      </c>
      <c r="N443">
        <f>IF($F443=1,FIND(MID($B443,8,1),"0123456789")-1,"")</f>
        <v/>
      </c>
      <c r="O443">
        <f>IF($F443=1,FIND(MID($B443,9,1),"0123456789")-1,"")</f>
        <v/>
      </c>
      <c r="P443">
        <f>IF($F443=1,FIND(MID($B443,10,1),"0123456789")-1,"")</f>
        <v/>
      </c>
      <c r="Q443">
        <f>IF($F443=1,SUMPRODUCT($G443:$P443,{1,2,4,8,16,32,64,128,256,512}),"")</f>
        <v/>
      </c>
      <c r="R443">
        <f>IF($F443=1,MOD(MOD($Q443,11),10),"")</f>
        <v/>
      </c>
    </row>
    <row r="444">
      <c r="A444" s="6" t="n"/>
      <c r="B444" s="7">
        <f>IF($A444="","",UPPER(SUBSTITUTE(SUBSTITUTE(SUBSTITUTE(SUBSTITUTE(SUBSTITUTE(SUBSTITUTE($A444," ",""),"-",""),".",""),"/",""),"i","I"),"ı","?")))</f>
        <v/>
      </c>
      <c r="C444" s="8">
        <f>IF($F444=1,$R444,"")</f>
        <v/>
      </c>
      <c r="D444" s="7">
        <f>IF($A444="","",IF($F444=0,"Biçim hatalı",IF(FIND(MID($B444,11,1),"0123456789")-1=$R444,"Geçerli","Kontrol hanesi hatalı (doğrusu: "&amp;$R444&amp;")")))</f>
        <v/>
      </c>
      <c r="F444">
        <f>IF($A444="","",IF(AND(LEN($B444)=11,SUMPRODUCT(--ISNUMBER(FIND(MID($B444,{1,2,3},1),"ABCDEFGHIJKLMNOPQRSTUVWXYZ")))=3,ISNUMBER(FIND(MID($B444,4,1),"UJZ")),SUMPRODUCT(--ISNUMBER(FIND(MID($B444,{5,6,7,8,9,10,11},1),"0123456789")))=7),1,0))</f>
        <v/>
      </c>
      <c r="G444">
        <f>IF($F444=1,INDEX({10,12,13,14,15,16,17,18,19,20,21,23,24,25,26,27,28,29,30,31,32,34,35,36,37,38},1,FIND(MID($B444,1,1),"ABCDEFGHIJKLMNOPQRSTUVWXYZ")),"")</f>
        <v/>
      </c>
      <c r="H444">
        <f>IF($F444=1,INDEX({10,12,13,14,15,16,17,18,19,20,21,23,24,25,26,27,28,29,30,31,32,34,35,36,37,38},1,FIND(MID($B444,2,1),"ABCDEFGHIJKLMNOPQRSTUVWXYZ")),"")</f>
        <v/>
      </c>
      <c r="I444">
        <f>IF($F444=1,INDEX({10,12,13,14,15,16,17,18,19,20,21,23,24,25,26,27,28,29,30,31,32,34,35,36,37,38},1,FIND(MID($B444,3,1),"ABCDEFGHIJKLMNOPQRSTUVWXYZ")),"")</f>
        <v/>
      </c>
      <c r="J444">
        <f>IF($F444=1,INDEX({10,12,13,14,15,16,17,18,19,20,21,23,24,25,26,27,28,29,30,31,32,34,35,36,37,38},1,FIND(MID($B444,4,1),"ABCDEFGHIJKLMNOPQRSTUVWXYZ")),"")</f>
        <v/>
      </c>
      <c r="K444">
        <f>IF($F444=1,FIND(MID($B444,5,1),"0123456789")-1,"")</f>
        <v/>
      </c>
      <c r="L444">
        <f>IF($F444=1,FIND(MID($B444,6,1),"0123456789")-1,"")</f>
        <v/>
      </c>
      <c r="M444">
        <f>IF($F444=1,FIND(MID($B444,7,1),"0123456789")-1,"")</f>
        <v/>
      </c>
      <c r="N444">
        <f>IF($F444=1,FIND(MID($B444,8,1),"0123456789")-1,"")</f>
        <v/>
      </c>
      <c r="O444">
        <f>IF($F444=1,FIND(MID($B444,9,1),"0123456789")-1,"")</f>
        <v/>
      </c>
      <c r="P444">
        <f>IF($F444=1,FIND(MID($B444,10,1),"0123456789")-1,"")</f>
        <v/>
      </c>
      <c r="Q444">
        <f>IF($F444=1,SUMPRODUCT($G444:$P444,{1,2,4,8,16,32,64,128,256,512}),"")</f>
        <v/>
      </c>
      <c r="R444">
        <f>IF($F444=1,MOD(MOD($Q444,11),10),"")</f>
        <v/>
      </c>
    </row>
    <row r="445">
      <c r="A445" s="6" t="n"/>
      <c r="B445" s="7">
        <f>IF($A445="","",UPPER(SUBSTITUTE(SUBSTITUTE(SUBSTITUTE(SUBSTITUTE(SUBSTITUTE(SUBSTITUTE($A445," ",""),"-",""),".",""),"/",""),"i","I"),"ı","?")))</f>
        <v/>
      </c>
      <c r="C445" s="8">
        <f>IF($F445=1,$R445,"")</f>
        <v/>
      </c>
      <c r="D445" s="7">
        <f>IF($A445="","",IF($F445=0,"Biçim hatalı",IF(FIND(MID($B445,11,1),"0123456789")-1=$R445,"Geçerli","Kontrol hanesi hatalı (doğrusu: "&amp;$R445&amp;")")))</f>
        <v/>
      </c>
      <c r="F445">
        <f>IF($A445="","",IF(AND(LEN($B445)=11,SUMPRODUCT(--ISNUMBER(FIND(MID($B445,{1,2,3},1),"ABCDEFGHIJKLMNOPQRSTUVWXYZ")))=3,ISNUMBER(FIND(MID($B445,4,1),"UJZ")),SUMPRODUCT(--ISNUMBER(FIND(MID($B445,{5,6,7,8,9,10,11},1),"0123456789")))=7),1,0))</f>
        <v/>
      </c>
      <c r="G445">
        <f>IF($F445=1,INDEX({10,12,13,14,15,16,17,18,19,20,21,23,24,25,26,27,28,29,30,31,32,34,35,36,37,38},1,FIND(MID($B445,1,1),"ABCDEFGHIJKLMNOPQRSTUVWXYZ")),"")</f>
        <v/>
      </c>
      <c r="H445">
        <f>IF($F445=1,INDEX({10,12,13,14,15,16,17,18,19,20,21,23,24,25,26,27,28,29,30,31,32,34,35,36,37,38},1,FIND(MID($B445,2,1),"ABCDEFGHIJKLMNOPQRSTUVWXYZ")),"")</f>
        <v/>
      </c>
      <c r="I445">
        <f>IF($F445=1,INDEX({10,12,13,14,15,16,17,18,19,20,21,23,24,25,26,27,28,29,30,31,32,34,35,36,37,38},1,FIND(MID($B445,3,1),"ABCDEFGHIJKLMNOPQRSTUVWXYZ")),"")</f>
        <v/>
      </c>
      <c r="J445">
        <f>IF($F445=1,INDEX({10,12,13,14,15,16,17,18,19,20,21,23,24,25,26,27,28,29,30,31,32,34,35,36,37,38},1,FIND(MID($B445,4,1),"ABCDEFGHIJKLMNOPQRSTUVWXYZ")),"")</f>
        <v/>
      </c>
      <c r="K445">
        <f>IF($F445=1,FIND(MID($B445,5,1),"0123456789")-1,"")</f>
        <v/>
      </c>
      <c r="L445">
        <f>IF($F445=1,FIND(MID($B445,6,1),"0123456789")-1,"")</f>
        <v/>
      </c>
      <c r="M445">
        <f>IF($F445=1,FIND(MID($B445,7,1),"0123456789")-1,"")</f>
        <v/>
      </c>
      <c r="N445">
        <f>IF($F445=1,FIND(MID($B445,8,1),"0123456789")-1,"")</f>
        <v/>
      </c>
      <c r="O445">
        <f>IF($F445=1,FIND(MID($B445,9,1),"0123456789")-1,"")</f>
        <v/>
      </c>
      <c r="P445">
        <f>IF($F445=1,FIND(MID($B445,10,1),"0123456789")-1,"")</f>
        <v/>
      </c>
      <c r="Q445">
        <f>IF($F445=1,SUMPRODUCT($G445:$P445,{1,2,4,8,16,32,64,128,256,512}),"")</f>
        <v/>
      </c>
      <c r="R445">
        <f>IF($F445=1,MOD(MOD($Q445,11),10),"")</f>
        <v/>
      </c>
    </row>
    <row r="446">
      <c r="A446" s="6" t="n"/>
      <c r="B446" s="7">
        <f>IF($A446="","",UPPER(SUBSTITUTE(SUBSTITUTE(SUBSTITUTE(SUBSTITUTE(SUBSTITUTE(SUBSTITUTE($A446," ",""),"-",""),".",""),"/",""),"i","I"),"ı","?")))</f>
        <v/>
      </c>
      <c r="C446" s="8">
        <f>IF($F446=1,$R446,"")</f>
        <v/>
      </c>
      <c r="D446" s="7">
        <f>IF($A446="","",IF($F446=0,"Biçim hatalı",IF(FIND(MID($B446,11,1),"0123456789")-1=$R446,"Geçerli","Kontrol hanesi hatalı (doğrusu: "&amp;$R446&amp;")")))</f>
        <v/>
      </c>
      <c r="F446">
        <f>IF($A446="","",IF(AND(LEN($B446)=11,SUMPRODUCT(--ISNUMBER(FIND(MID($B446,{1,2,3},1),"ABCDEFGHIJKLMNOPQRSTUVWXYZ")))=3,ISNUMBER(FIND(MID($B446,4,1),"UJZ")),SUMPRODUCT(--ISNUMBER(FIND(MID($B446,{5,6,7,8,9,10,11},1),"0123456789")))=7),1,0))</f>
        <v/>
      </c>
      <c r="G446">
        <f>IF($F446=1,INDEX({10,12,13,14,15,16,17,18,19,20,21,23,24,25,26,27,28,29,30,31,32,34,35,36,37,38},1,FIND(MID($B446,1,1),"ABCDEFGHIJKLMNOPQRSTUVWXYZ")),"")</f>
        <v/>
      </c>
      <c r="H446">
        <f>IF($F446=1,INDEX({10,12,13,14,15,16,17,18,19,20,21,23,24,25,26,27,28,29,30,31,32,34,35,36,37,38},1,FIND(MID($B446,2,1),"ABCDEFGHIJKLMNOPQRSTUVWXYZ")),"")</f>
        <v/>
      </c>
      <c r="I446">
        <f>IF($F446=1,INDEX({10,12,13,14,15,16,17,18,19,20,21,23,24,25,26,27,28,29,30,31,32,34,35,36,37,38},1,FIND(MID($B446,3,1),"ABCDEFGHIJKLMNOPQRSTUVWXYZ")),"")</f>
        <v/>
      </c>
      <c r="J446">
        <f>IF($F446=1,INDEX({10,12,13,14,15,16,17,18,19,20,21,23,24,25,26,27,28,29,30,31,32,34,35,36,37,38},1,FIND(MID($B446,4,1),"ABCDEFGHIJKLMNOPQRSTUVWXYZ")),"")</f>
        <v/>
      </c>
      <c r="K446">
        <f>IF($F446=1,FIND(MID($B446,5,1),"0123456789")-1,"")</f>
        <v/>
      </c>
      <c r="L446">
        <f>IF($F446=1,FIND(MID($B446,6,1),"0123456789")-1,"")</f>
        <v/>
      </c>
      <c r="M446">
        <f>IF($F446=1,FIND(MID($B446,7,1),"0123456789")-1,"")</f>
        <v/>
      </c>
      <c r="N446">
        <f>IF($F446=1,FIND(MID($B446,8,1),"0123456789")-1,"")</f>
        <v/>
      </c>
      <c r="O446">
        <f>IF($F446=1,FIND(MID($B446,9,1),"0123456789")-1,"")</f>
        <v/>
      </c>
      <c r="P446">
        <f>IF($F446=1,FIND(MID($B446,10,1),"0123456789")-1,"")</f>
        <v/>
      </c>
      <c r="Q446">
        <f>IF($F446=1,SUMPRODUCT($G446:$P446,{1,2,4,8,16,32,64,128,256,512}),"")</f>
        <v/>
      </c>
      <c r="R446">
        <f>IF($F446=1,MOD(MOD($Q446,11),10),"")</f>
        <v/>
      </c>
    </row>
    <row r="447">
      <c r="A447" s="6" t="n"/>
      <c r="B447" s="7">
        <f>IF($A447="","",UPPER(SUBSTITUTE(SUBSTITUTE(SUBSTITUTE(SUBSTITUTE(SUBSTITUTE(SUBSTITUTE($A447," ",""),"-",""),".",""),"/",""),"i","I"),"ı","?")))</f>
        <v/>
      </c>
      <c r="C447" s="8">
        <f>IF($F447=1,$R447,"")</f>
        <v/>
      </c>
      <c r="D447" s="7">
        <f>IF($A447="","",IF($F447=0,"Biçim hatalı",IF(FIND(MID($B447,11,1),"0123456789")-1=$R447,"Geçerli","Kontrol hanesi hatalı (doğrusu: "&amp;$R447&amp;")")))</f>
        <v/>
      </c>
      <c r="F447">
        <f>IF($A447="","",IF(AND(LEN($B447)=11,SUMPRODUCT(--ISNUMBER(FIND(MID($B447,{1,2,3},1),"ABCDEFGHIJKLMNOPQRSTUVWXYZ")))=3,ISNUMBER(FIND(MID($B447,4,1),"UJZ")),SUMPRODUCT(--ISNUMBER(FIND(MID($B447,{5,6,7,8,9,10,11},1),"0123456789")))=7),1,0))</f>
        <v/>
      </c>
      <c r="G447">
        <f>IF($F447=1,INDEX({10,12,13,14,15,16,17,18,19,20,21,23,24,25,26,27,28,29,30,31,32,34,35,36,37,38},1,FIND(MID($B447,1,1),"ABCDEFGHIJKLMNOPQRSTUVWXYZ")),"")</f>
        <v/>
      </c>
      <c r="H447">
        <f>IF($F447=1,INDEX({10,12,13,14,15,16,17,18,19,20,21,23,24,25,26,27,28,29,30,31,32,34,35,36,37,38},1,FIND(MID($B447,2,1),"ABCDEFGHIJKLMNOPQRSTUVWXYZ")),"")</f>
        <v/>
      </c>
      <c r="I447">
        <f>IF($F447=1,INDEX({10,12,13,14,15,16,17,18,19,20,21,23,24,25,26,27,28,29,30,31,32,34,35,36,37,38},1,FIND(MID($B447,3,1),"ABCDEFGHIJKLMNOPQRSTUVWXYZ")),"")</f>
        <v/>
      </c>
      <c r="J447">
        <f>IF($F447=1,INDEX({10,12,13,14,15,16,17,18,19,20,21,23,24,25,26,27,28,29,30,31,32,34,35,36,37,38},1,FIND(MID($B447,4,1),"ABCDEFGHIJKLMNOPQRSTUVWXYZ")),"")</f>
        <v/>
      </c>
      <c r="K447">
        <f>IF($F447=1,FIND(MID($B447,5,1),"0123456789")-1,"")</f>
        <v/>
      </c>
      <c r="L447">
        <f>IF($F447=1,FIND(MID($B447,6,1),"0123456789")-1,"")</f>
        <v/>
      </c>
      <c r="M447">
        <f>IF($F447=1,FIND(MID($B447,7,1),"0123456789")-1,"")</f>
        <v/>
      </c>
      <c r="N447">
        <f>IF($F447=1,FIND(MID($B447,8,1),"0123456789")-1,"")</f>
        <v/>
      </c>
      <c r="O447">
        <f>IF($F447=1,FIND(MID($B447,9,1),"0123456789")-1,"")</f>
        <v/>
      </c>
      <c r="P447">
        <f>IF($F447=1,FIND(MID($B447,10,1),"0123456789")-1,"")</f>
        <v/>
      </c>
      <c r="Q447">
        <f>IF($F447=1,SUMPRODUCT($G447:$P447,{1,2,4,8,16,32,64,128,256,512}),"")</f>
        <v/>
      </c>
      <c r="R447">
        <f>IF($F447=1,MOD(MOD($Q447,11),10),"")</f>
        <v/>
      </c>
    </row>
    <row r="448">
      <c r="A448" s="6" t="n"/>
      <c r="B448" s="7">
        <f>IF($A448="","",UPPER(SUBSTITUTE(SUBSTITUTE(SUBSTITUTE(SUBSTITUTE(SUBSTITUTE(SUBSTITUTE($A448," ",""),"-",""),".",""),"/",""),"i","I"),"ı","?")))</f>
        <v/>
      </c>
      <c r="C448" s="8">
        <f>IF($F448=1,$R448,"")</f>
        <v/>
      </c>
      <c r="D448" s="7">
        <f>IF($A448="","",IF($F448=0,"Biçim hatalı",IF(FIND(MID($B448,11,1),"0123456789")-1=$R448,"Geçerli","Kontrol hanesi hatalı (doğrusu: "&amp;$R448&amp;")")))</f>
        <v/>
      </c>
      <c r="F448">
        <f>IF($A448="","",IF(AND(LEN($B448)=11,SUMPRODUCT(--ISNUMBER(FIND(MID($B448,{1,2,3},1),"ABCDEFGHIJKLMNOPQRSTUVWXYZ")))=3,ISNUMBER(FIND(MID($B448,4,1),"UJZ")),SUMPRODUCT(--ISNUMBER(FIND(MID($B448,{5,6,7,8,9,10,11},1),"0123456789")))=7),1,0))</f>
        <v/>
      </c>
      <c r="G448">
        <f>IF($F448=1,INDEX({10,12,13,14,15,16,17,18,19,20,21,23,24,25,26,27,28,29,30,31,32,34,35,36,37,38},1,FIND(MID($B448,1,1),"ABCDEFGHIJKLMNOPQRSTUVWXYZ")),"")</f>
        <v/>
      </c>
      <c r="H448">
        <f>IF($F448=1,INDEX({10,12,13,14,15,16,17,18,19,20,21,23,24,25,26,27,28,29,30,31,32,34,35,36,37,38},1,FIND(MID($B448,2,1),"ABCDEFGHIJKLMNOPQRSTUVWXYZ")),"")</f>
        <v/>
      </c>
      <c r="I448">
        <f>IF($F448=1,INDEX({10,12,13,14,15,16,17,18,19,20,21,23,24,25,26,27,28,29,30,31,32,34,35,36,37,38},1,FIND(MID($B448,3,1),"ABCDEFGHIJKLMNOPQRSTUVWXYZ")),"")</f>
        <v/>
      </c>
      <c r="J448">
        <f>IF($F448=1,INDEX({10,12,13,14,15,16,17,18,19,20,21,23,24,25,26,27,28,29,30,31,32,34,35,36,37,38},1,FIND(MID($B448,4,1),"ABCDEFGHIJKLMNOPQRSTUVWXYZ")),"")</f>
        <v/>
      </c>
      <c r="K448">
        <f>IF($F448=1,FIND(MID($B448,5,1),"0123456789")-1,"")</f>
        <v/>
      </c>
      <c r="L448">
        <f>IF($F448=1,FIND(MID($B448,6,1),"0123456789")-1,"")</f>
        <v/>
      </c>
      <c r="M448">
        <f>IF($F448=1,FIND(MID($B448,7,1),"0123456789")-1,"")</f>
        <v/>
      </c>
      <c r="N448">
        <f>IF($F448=1,FIND(MID($B448,8,1),"0123456789")-1,"")</f>
        <v/>
      </c>
      <c r="O448">
        <f>IF($F448=1,FIND(MID($B448,9,1),"0123456789")-1,"")</f>
        <v/>
      </c>
      <c r="P448">
        <f>IF($F448=1,FIND(MID($B448,10,1),"0123456789")-1,"")</f>
        <v/>
      </c>
      <c r="Q448">
        <f>IF($F448=1,SUMPRODUCT($G448:$P448,{1,2,4,8,16,32,64,128,256,512}),"")</f>
        <v/>
      </c>
      <c r="R448">
        <f>IF($F448=1,MOD(MOD($Q448,11),10),"")</f>
        <v/>
      </c>
    </row>
    <row r="449">
      <c r="A449" s="6" t="n"/>
      <c r="B449" s="7">
        <f>IF($A449="","",UPPER(SUBSTITUTE(SUBSTITUTE(SUBSTITUTE(SUBSTITUTE(SUBSTITUTE(SUBSTITUTE($A449," ",""),"-",""),".",""),"/",""),"i","I"),"ı","?")))</f>
        <v/>
      </c>
      <c r="C449" s="8">
        <f>IF($F449=1,$R449,"")</f>
        <v/>
      </c>
      <c r="D449" s="7">
        <f>IF($A449="","",IF($F449=0,"Biçim hatalı",IF(FIND(MID($B449,11,1),"0123456789")-1=$R449,"Geçerli","Kontrol hanesi hatalı (doğrusu: "&amp;$R449&amp;")")))</f>
        <v/>
      </c>
      <c r="F449">
        <f>IF($A449="","",IF(AND(LEN($B449)=11,SUMPRODUCT(--ISNUMBER(FIND(MID($B449,{1,2,3},1),"ABCDEFGHIJKLMNOPQRSTUVWXYZ")))=3,ISNUMBER(FIND(MID($B449,4,1),"UJZ")),SUMPRODUCT(--ISNUMBER(FIND(MID($B449,{5,6,7,8,9,10,11},1),"0123456789")))=7),1,0))</f>
        <v/>
      </c>
      <c r="G449">
        <f>IF($F449=1,INDEX({10,12,13,14,15,16,17,18,19,20,21,23,24,25,26,27,28,29,30,31,32,34,35,36,37,38},1,FIND(MID($B449,1,1),"ABCDEFGHIJKLMNOPQRSTUVWXYZ")),"")</f>
        <v/>
      </c>
      <c r="H449">
        <f>IF($F449=1,INDEX({10,12,13,14,15,16,17,18,19,20,21,23,24,25,26,27,28,29,30,31,32,34,35,36,37,38},1,FIND(MID($B449,2,1),"ABCDEFGHIJKLMNOPQRSTUVWXYZ")),"")</f>
        <v/>
      </c>
      <c r="I449">
        <f>IF($F449=1,INDEX({10,12,13,14,15,16,17,18,19,20,21,23,24,25,26,27,28,29,30,31,32,34,35,36,37,38},1,FIND(MID($B449,3,1),"ABCDEFGHIJKLMNOPQRSTUVWXYZ")),"")</f>
        <v/>
      </c>
      <c r="J449">
        <f>IF($F449=1,INDEX({10,12,13,14,15,16,17,18,19,20,21,23,24,25,26,27,28,29,30,31,32,34,35,36,37,38},1,FIND(MID($B449,4,1),"ABCDEFGHIJKLMNOPQRSTUVWXYZ")),"")</f>
        <v/>
      </c>
      <c r="K449">
        <f>IF($F449=1,FIND(MID($B449,5,1),"0123456789")-1,"")</f>
        <v/>
      </c>
      <c r="L449">
        <f>IF($F449=1,FIND(MID($B449,6,1),"0123456789")-1,"")</f>
        <v/>
      </c>
      <c r="M449">
        <f>IF($F449=1,FIND(MID($B449,7,1),"0123456789")-1,"")</f>
        <v/>
      </c>
      <c r="N449">
        <f>IF($F449=1,FIND(MID($B449,8,1),"0123456789")-1,"")</f>
        <v/>
      </c>
      <c r="O449">
        <f>IF($F449=1,FIND(MID($B449,9,1),"0123456789")-1,"")</f>
        <v/>
      </c>
      <c r="P449">
        <f>IF($F449=1,FIND(MID($B449,10,1),"0123456789")-1,"")</f>
        <v/>
      </c>
      <c r="Q449">
        <f>IF($F449=1,SUMPRODUCT($G449:$P449,{1,2,4,8,16,32,64,128,256,512}),"")</f>
        <v/>
      </c>
      <c r="R449">
        <f>IF($F449=1,MOD(MOD($Q449,11),10),"")</f>
        <v/>
      </c>
    </row>
    <row r="450">
      <c r="A450" s="6" t="n"/>
      <c r="B450" s="7">
        <f>IF($A450="","",UPPER(SUBSTITUTE(SUBSTITUTE(SUBSTITUTE(SUBSTITUTE(SUBSTITUTE(SUBSTITUTE($A450," ",""),"-",""),".",""),"/",""),"i","I"),"ı","?")))</f>
        <v/>
      </c>
      <c r="C450" s="8">
        <f>IF($F450=1,$R450,"")</f>
        <v/>
      </c>
      <c r="D450" s="7">
        <f>IF($A450="","",IF($F450=0,"Biçim hatalı",IF(FIND(MID($B450,11,1),"0123456789")-1=$R450,"Geçerli","Kontrol hanesi hatalı (doğrusu: "&amp;$R450&amp;")")))</f>
        <v/>
      </c>
      <c r="F450">
        <f>IF($A450="","",IF(AND(LEN($B450)=11,SUMPRODUCT(--ISNUMBER(FIND(MID($B450,{1,2,3},1),"ABCDEFGHIJKLMNOPQRSTUVWXYZ")))=3,ISNUMBER(FIND(MID($B450,4,1),"UJZ")),SUMPRODUCT(--ISNUMBER(FIND(MID($B450,{5,6,7,8,9,10,11},1),"0123456789")))=7),1,0))</f>
        <v/>
      </c>
      <c r="G450">
        <f>IF($F450=1,INDEX({10,12,13,14,15,16,17,18,19,20,21,23,24,25,26,27,28,29,30,31,32,34,35,36,37,38},1,FIND(MID($B450,1,1),"ABCDEFGHIJKLMNOPQRSTUVWXYZ")),"")</f>
        <v/>
      </c>
      <c r="H450">
        <f>IF($F450=1,INDEX({10,12,13,14,15,16,17,18,19,20,21,23,24,25,26,27,28,29,30,31,32,34,35,36,37,38},1,FIND(MID($B450,2,1),"ABCDEFGHIJKLMNOPQRSTUVWXYZ")),"")</f>
        <v/>
      </c>
      <c r="I450">
        <f>IF($F450=1,INDEX({10,12,13,14,15,16,17,18,19,20,21,23,24,25,26,27,28,29,30,31,32,34,35,36,37,38},1,FIND(MID($B450,3,1),"ABCDEFGHIJKLMNOPQRSTUVWXYZ")),"")</f>
        <v/>
      </c>
      <c r="J450">
        <f>IF($F450=1,INDEX({10,12,13,14,15,16,17,18,19,20,21,23,24,25,26,27,28,29,30,31,32,34,35,36,37,38},1,FIND(MID($B450,4,1),"ABCDEFGHIJKLMNOPQRSTUVWXYZ")),"")</f>
        <v/>
      </c>
      <c r="K450">
        <f>IF($F450=1,FIND(MID($B450,5,1),"0123456789")-1,"")</f>
        <v/>
      </c>
      <c r="L450">
        <f>IF($F450=1,FIND(MID($B450,6,1),"0123456789")-1,"")</f>
        <v/>
      </c>
      <c r="M450">
        <f>IF($F450=1,FIND(MID($B450,7,1),"0123456789")-1,"")</f>
        <v/>
      </c>
      <c r="N450">
        <f>IF($F450=1,FIND(MID($B450,8,1),"0123456789")-1,"")</f>
        <v/>
      </c>
      <c r="O450">
        <f>IF($F450=1,FIND(MID($B450,9,1),"0123456789")-1,"")</f>
        <v/>
      </c>
      <c r="P450">
        <f>IF($F450=1,FIND(MID($B450,10,1),"0123456789")-1,"")</f>
        <v/>
      </c>
      <c r="Q450">
        <f>IF($F450=1,SUMPRODUCT($G450:$P450,{1,2,4,8,16,32,64,128,256,512}),"")</f>
        <v/>
      </c>
      <c r="R450">
        <f>IF($F450=1,MOD(MOD($Q450,11),10),"")</f>
        <v/>
      </c>
    </row>
    <row r="451">
      <c r="A451" s="6" t="n"/>
      <c r="B451" s="7">
        <f>IF($A451="","",UPPER(SUBSTITUTE(SUBSTITUTE(SUBSTITUTE(SUBSTITUTE(SUBSTITUTE(SUBSTITUTE($A451," ",""),"-",""),".",""),"/",""),"i","I"),"ı","?")))</f>
        <v/>
      </c>
      <c r="C451" s="8">
        <f>IF($F451=1,$R451,"")</f>
        <v/>
      </c>
      <c r="D451" s="7">
        <f>IF($A451="","",IF($F451=0,"Biçim hatalı",IF(FIND(MID($B451,11,1),"0123456789")-1=$R451,"Geçerli","Kontrol hanesi hatalı (doğrusu: "&amp;$R451&amp;")")))</f>
        <v/>
      </c>
      <c r="F451">
        <f>IF($A451="","",IF(AND(LEN($B451)=11,SUMPRODUCT(--ISNUMBER(FIND(MID($B451,{1,2,3},1),"ABCDEFGHIJKLMNOPQRSTUVWXYZ")))=3,ISNUMBER(FIND(MID($B451,4,1),"UJZ")),SUMPRODUCT(--ISNUMBER(FIND(MID($B451,{5,6,7,8,9,10,11},1),"0123456789")))=7),1,0))</f>
        <v/>
      </c>
      <c r="G451">
        <f>IF($F451=1,INDEX({10,12,13,14,15,16,17,18,19,20,21,23,24,25,26,27,28,29,30,31,32,34,35,36,37,38},1,FIND(MID($B451,1,1),"ABCDEFGHIJKLMNOPQRSTUVWXYZ")),"")</f>
        <v/>
      </c>
      <c r="H451">
        <f>IF($F451=1,INDEX({10,12,13,14,15,16,17,18,19,20,21,23,24,25,26,27,28,29,30,31,32,34,35,36,37,38},1,FIND(MID($B451,2,1),"ABCDEFGHIJKLMNOPQRSTUVWXYZ")),"")</f>
        <v/>
      </c>
      <c r="I451">
        <f>IF($F451=1,INDEX({10,12,13,14,15,16,17,18,19,20,21,23,24,25,26,27,28,29,30,31,32,34,35,36,37,38},1,FIND(MID($B451,3,1),"ABCDEFGHIJKLMNOPQRSTUVWXYZ")),"")</f>
        <v/>
      </c>
      <c r="J451">
        <f>IF($F451=1,INDEX({10,12,13,14,15,16,17,18,19,20,21,23,24,25,26,27,28,29,30,31,32,34,35,36,37,38},1,FIND(MID($B451,4,1),"ABCDEFGHIJKLMNOPQRSTUVWXYZ")),"")</f>
        <v/>
      </c>
      <c r="K451">
        <f>IF($F451=1,FIND(MID($B451,5,1),"0123456789")-1,"")</f>
        <v/>
      </c>
      <c r="L451">
        <f>IF($F451=1,FIND(MID($B451,6,1),"0123456789")-1,"")</f>
        <v/>
      </c>
      <c r="M451">
        <f>IF($F451=1,FIND(MID($B451,7,1),"0123456789")-1,"")</f>
        <v/>
      </c>
      <c r="N451">
        <f>IF($F451=1,FIND(MID($B451,8,1),"0123456789")-1,"")</f>
        <v/>
      </c>
      <c r="O451">
        <f>IF($F451=1,FIND(MID($B451,9,1),"0123456789")-1,"")</f>
        <v/>
      </c>
      <c r="P451">
        <f>IF($F451=1,FIND(MID($B451,10,1),"0123456789")-1,"")</f>
        <v/>
      </c>
      <c r="Q451">
        <f>IF($F451=1,SUMPRODUCT($G451:$P451,{1,2,4,8,16,32,64,128,256,512}),"")</f>
        <v/>
      </c>
      <c r="R451">
        <f>IF($F451=1,MOD(MOD($Q451,11),10),"")</f>
        <v/>
      </c>
    </row>
    <row r="452">
      <c r="A452" s="6" t="n"/>
      <c r="B452" s="7">
        <f>IF($A452="","",UPPER(SUBSTITUTE(SUBSTITUTE(SUBSTITUTE(SUBSTITUTE(SUBSTITUTE(SUBSTITUTE($A452," ",""),"-",""),".",""),"/",""),"i","I"),"ı","?")))</f>
        <v/>
      </c>
      <c r="C452" s="8">
        <f>IF($F452=1,$R452,"")</f>
        <v/>
      </c>
      <c r="D452" s="7">
        <f>IF($A452="","",IF($F452=0,"Biçim hatalı",IF(FIND(MID($B452,11,1),"0123456789")-1=$R452,"Geçerli","Kontrol hanesi hatalı (doğrusu: "&amp;$R452&amp;")")))</f>
        <v/>
      </c>
      <c r="F452">
        <f>IF($A452="","",IF(AND(LEN($B452)=11,SUMPRODUCT(--ISNUMBER(FIND(MID($B452,{1,2,3},1),"ABCDEFGHIJKLMNOPQRSTUVWXYZ")))=3,ISNUMBER(FIND(MID($B452,4,1),"UJZ")),SUMPRODUCT(--ISNUMBER(FIND(MID($B452,{5,6,7,8,9,10,11},1),"0123456789")))=7),1,0))</f>
        <v/>
      </c>
      <c r="G452">
        <f>IF($F452=1,INDEX({10,12,13,14,15,16,17,18,19,20,21,23,24,25,26,27,28,29,30,31,32,34,35,36,37,38},1,FIND(MID($B452,1,1),"ABCDEFGHIJKLMNOPQRSTUVWXYZ")),"")</f>
        <v/>
      </c>
      <c r="H452">
        <f>IF($F452=1,INDEX({10,12,13,14,15,16,17,18,19,20,21,23,24,25,26,27,28,29,30,31,32,34,35,36,37,38},1,FIND(MID($B452,2,1),"ABCDEFGHIJKLMNOPQRSTUVWXYZ")),"")</f>
        <v/>
      </c>
      <c r="I452">
        <f>IF($F452=1,INDEX({10,12,13,14,15,16,17,18,19,20,21,23,24,25,26,27,28,29,30,31,32,34,35,36,37,38},1,FIND(MID($B452,3,1),"ABCDEFGHIJKLMNOPQRSTUVWXYZ")),"")</f>
        <v/>
      </c>
      <c r="J452">
        <f>IF($F452=1,INDEX({10,12,13,14,15,16,17,18,19,20,21,23,24,25,26,27,28,29,30,31,32,34,35,36,37,38},1,FIND(MID($B452,4,1),"ABCDEFGHIJKLMNOPQRSTUVWXYZ")),"")</f>
        <v/>
      </c>
      <c r="K452">
        <f>IF($F452=1,FIND(MID($B452,5,1),"0123456789")-1,"")</f>
        <v/>
      </c>
      <c r="L452">
        <f>IF($F452=1,FIND(MID($B452,6,1),"0123456789")-1,"")</f>
        <v/>
      </c>
      <c r="M452">
        <f>IF($F452=1,FIND(MID($B452,7,1),"0123456789")-1,"")</f>
        <v/>
      </c>
      <c r="N452">
        <f>IF($F452=1,FIND(MID($B452,8,1),"0123456789")-1,"")</f>
        <v/>
      </c>
      <c r="O452">
        <f>IF($F452=1,FIND(MID($B452,9,1),"0123456789")-1,"")</f>
        <v/>
      </c>
      <c r="P452">
        <f>IF($F452=1,FIND(MID($B452,10,1),"0123456789")-1,"")</f>
        <v/>
      </c>
      <c r="Q452">
        <f>IF($F452=1,SUMPRODUCT($G452:$P452,{1,2,4,8,16,32,64,128,256,512}),"")</f>
        <v/>
      </c>
      <c r="R452">
        <f>IF($F452=1,MOD(MOD($Q452,11),10),"")</f>
        <v/>
      </c>
    </row>
    <row r="453">
      <c r="A453" s="6" t="n"/>
      <c r="B453" s="7">
        <f>IF($A453="","",UPPER(SUBSTITUTE(SUBSTITUTE(SUBSTITUTE(SUBSTITUTE(SUBSTITUTE(SUBSTITUTE($A453," ",""),"-",""),".",""),"/",""),"i","I"),"ı","?")))</f>
        <v/>
      </c>
      <c r="C453" s="8">
        <f>IF($F453=1,$R453,"")</f>
        <v/>
      </c>
      <c r="D453" s="7">
        <f>IF($A453="","",IF($F453=0,"Biçim hatalı",IF(FIND(MID($B453,11,1),"0123456789")-1=$R453,"Geçerli","Kontrol hanesi hatalı (doğrusu: "&amp;$R453&amp;")")))</f>
        <v/>
      </c>
      <c r="F453">
        <f>IF($A453="","",IF(AND(LEN($B453)=11,SUMPRODUCT(--ISNUMBER(FIND(MID($B453,{1,2,3},1),"ABCDEFGHIJKLMNOPQRSTUVWXYZ")))=3,ISNUMBER(FIND(MID($B453,4,1),"UJZ")),SUMPRODUCT(--ISNUMBER(FIND(MID($B453,{5,6,7,8,9,10,11},1),"0123456789")))=7),1,0))</f>
        <v/>
      </c>
      <c r="G453">
        <f>IF($F453=1,INDEX({10,12,13,14,15,16,17,18,19,20,21,23,24,25,26,27,28,29,30,31,32,34,35,36,37,38},1,FIND(MID($B453,1,1),"ABCDEFGHIJKLMNOPQRSTUVWXYZ")),"")</f>
        <v/>
      </c>
      <c r="H453">
        <f>IF($F453=1,INDEX({10,12,13,14,15,16,17,18,19,20,21,23,24,25,26,27,28,29,30,31,32,34,35,36,37,38},1,FIND(MID($B453,2,1),"ABCDEFGHIJKLMNOPQRSTUVWXYZ")),"")</f>
        <v/>
      </c>
      <c r="I453">
        <f>IF($F453=1,INDEX({10,12,13,14,15,16,17,18,19,20,21,23,24,25,26,27,28,29,30,31,32,34,35,36,37,38},1,FIND(MID($B453,3,1),"ABCDEFGHIJKLMNOPQRSTUVWXYZ")),"")</f>
        <v/>
      </c>
      <c r="J453">
        <f>IF($F453=1,INDEX({10,12,13,14,15,16,17,18,19,20,21,23,24,25,26,27,28,29,30,31,32,34,35,36,37,38},1,FIND(MID($B453,4,1),"ABCDEFGHIJKLMNOPQRSTUVWXYZ")),"")</f>
        <v/>
      </c>
      <c r="K453">
        <f>IF($F453=1,FIND(MID($B453,5,1),"0123456789")-1,"")</f>
        <v/>
      </c>
      <c r="L453">
        <f>IF($F453=1,FIND(MID($B453,6,1),"0123456789")-1,"")</f>
        <v/>
      </c>
      <c r="M453">
        <f>IF($F453=1,FIND(MID($B453,7,1),"0123456789")-1,"")</f>
        <v/>
      </c>
      <c r="N453">
        <f>IF($F453=1,FIND(MID($B453,8,1),"0123456789")-1,"")</f>
        <v/>
      </c>
      <c r="O453">
        <f>IF($F453=1,FIND(MID($B453,9,1),"0123456789")-1,"")</f>
        <v/>
      </c>
      <c r="P453">
        <f>IF($F453=1,FIND(MID($B453,10,1),"0123456789")-1,"")</f>
        <v/>
      </c>
      <c r="Q453">
        <f>IF($F453=1,SUMPRODUCT($G453:$P453,{1,2,4,8,16,32,64,128,256,512}),"")</f>
        <v/>
      </c>
      <c r="R453">
        <f>IF($F453=1,MOD(MOD($Q453,11),10),"")</f>
        <v/>
      </c>
    </row>
    <row r="454">
      <c r="A454" s="6" t="n"/>
      <c r="B454" s="7">
        <f>IF($A454="","",UPPER(SUBSTITUTE(SUBSTITUTE(SUBSTITUTE(SUBSTITUTE(SUBSTITUTE(SUBSTITUTE($A454," ",""),"-",""),".",""),"/",""),"i","I"),"ı","?")))</f>
        <v/>
      </c>
      <c r="C454" s="8">
        <f>IF($F454=1,$R454,"")</f>
        <v/>
      </c>
      <c r="D454" s="7">
        <f>IF($A454="","",IF($F454=0,"Biçim hatalı",IF(FIND(MID($B454,11,1),"0123456789")-1=$R454,"Geçerli","Kontrol hanesi hatalı (doğrusu: "&amp;$R454&amp;")")))</f>
        <v/>
      </c>
      <c r="F454">
        <f>IF($A454="","",IF(AND(LEN($B454)=11,SUMPRODUCT(--ISNUMBER(FIND(MID($B454,{1,2,3},1),"ABCDEFGHIJKLMNOPQRSTUVWXYZ")))=3,ISNUMBER(FIND(MID($B454,4,1),"UJZ")),SUMPRODUCT(--ISNUMBER(FIND(MID($B454,{5,6,7,8,9,10,11},1),"0123456789")))=7),1,0))</f>
        <v/>
      </c>
      <c r="G454">
        <f>IF($F454=1,INDEX({10,12,13,14,15,16,17,18,19,20,21,23,24,25,26,27,28,29,30,31,32,34,35,36,37,38},1,FIND(MID($B454,1,1),"ABCDEFGHIJKLMNOPQRSTUVWXYZ")),"")</f>
        <v/>
      </c>
      <c r="H454">
        <f>IF($F454=1,INDEX({10,12,13,14,15,16,17,18,19,20,21,23,24,25,26,27,28,29,30,31,32,34,35,36,37,38},1,FIND(MID($B454,2,1),"ABCDEFGHIJKLMNOPQRSTUVWXYZ")),"")</f>
        <v/>
      </c>
      <c r="I454">
        <f>IF($F454=1,INDEX({10,12,13,14,15,16,17,18,19,20,21,23,24,25,26,27,28,29,30,31,32,34,35,36,37,38},1,FIND(MID($B454,3,1),"ABCDEFGHIJKLMNOPQRSTUVWXYZ")),"")</f>
        <v/>
      </c>
      <c r="J454">
        <f>IF($F454=1,INDEX({10,12,13,14,15,16,17,18,19,20,21,23,24,25,26,27,28,29,30,31,32,34,35,36,37,38},1,FIND(MID($B454,4,1),"ABCDEFGHIJKLMNOPQRSTUVWXYZ")),"")</f>
        <v/>
      </c>
      <c r="K454">
        <f>IF($F454=1,FIND(MID($B454,5,1),"0123456789")-1,"")</f>
        <v/>
      </c>
      <c r="L454">
        <f>IF($F454=1,FIND(MID($B454,6,1),"0123456789")-1,"")</f>
        <v/>
      </c>
      <c r="M454">
        <f>IF($F454=1,FIND(MID($B454,7,1),"0123456789")-1,"")</f>
        <v/>
      </c>
      <c r="N454">
        <f>IF($F454=1,FIND(MID($B454,8,1),"0123456789")-1,"")</f>
        <v/>
      </c>
      <c r="O454">
        <f>IF($F454=1,FIND(MID($B454,9,1),"0123456789")-1,"")</f>
        <v/>
      </c>
      <c r="P454">
        <f>IF($F454=1,FIND(MID($B454,10,1),"0123456789")-1,"")</f>
        <v/>
      </c>
      <c r="Q454">
        <f>IF($F454=1,SUMPRODUCT($G454:$P454,{1,2,4,8,16,32,64,128,256,512}),"")</f>
        <v/>
      </c>
      <c r="R454">
        <f>IF($F454=1,MOD(MOD($Q454,11),10),"")</f>
        <v/>
      </c>
    </row>
    <row r="455">
      <c r="A455" s="6" t="n"/>
      <c r="B455" s="7">
        <f>IF($A455="","",UPPER(SUBSTITUTE(SUBSTITUTE(SUBSTITUTE(SUBSTITUTE(SUBSTITUTE(SUBSTITUTE($A455," ",""),"-",""),".",""),"/",""),"i","I"),"ı","?")))</f>
        <v/>
      </c>
      <c r="C455" s="8">
        <f>IF($F455=1,$R455,"")</f>
        <v/>
      </c>
      <c r="D455" s="7">
        <f>IF($A455="","",IF($F455=0,"Biçim hatalı",IF(FIND(MID($B455,11,1),"0123456789")-1=$R455,"Geçerli","Kontrol hanesi hatalı (doğrusu: "&amp;$R455&amp;")")))</f>
        <v/>
      </c>
      <c r="F455">
        <f>IF($A455="","",IF(AND(LEN($B455)=11,SUMPRODUCT(--ISNUMBER(FIND(MID($B455,{1,2,3},1),"ABCDEFGHIJKLMNOPQRSTUVWXYZ")))=3,ISNUMBER(FIND(MID($B455,4,1),"UJZ")),SUMPRODUCT(--ISNUMBER(FIND(MID($B455,{5,6,7,8,9,10,11},1),"0123456789")))=7),1,0))</f>
        <v/>
      </c>
      <c r="G455">
        <f>IF($F455=1,INDEX({10,12,13,14,15,16,17,18,19,20,21,23,24,25,26,27,28,29,30,31,32,34,35,36,37,38},1,FIND(MID($B455,1,1),"ABCDEFGHIJKLMNOPQRSTUVWXYZ")),"")</f>
        <v/>
      </c>
      <c r="H455">
        <f>IF($F455=1,INDEX({10,12,13,14,15,16,17,18,19,20,21,23,24,25,26,27,28,29,30,31,32,34,35,36,37,38},1,FIND(MID($B455,2,1),"ABCDEFGHIJKLMNOPQRSTUVWXYZ")),"")</f>
        <v/>
      </c>
      <c r="I455">
        <f>IF($F455=1,INDEX({10,12,13,14,15,16,17,18,19,20,21,23,24,25,26,27,28,29,30,31,32,34,35,36,37,38},1,FIND(MID($B455,3,1),"ABCDEFGHIJKLMNOPQRSTUVWXYZ")),"")</f>
        <v/>
      </c>
      <c r="J455">
        <f>IF($F455=1,INDEX({10,12,13,14,15,16,17,18,19,20,21,23,24,25,26,27,28,29,30,31,32,34,35,36,37,38},1,FIND(MID($B455,4,1),"ABCDEFGHIJKLMNOPQRSTUVWXYZ")),"")</f>
        <v/>
      </c>
      <c r="K455">
        <f>IF($F455=1,FIND(MID($B455,5,1),"0123456789")-1,"")</f>
        <v/>
      </c>
      <c r="L455">
        <f>IF($F455=1,FIND(MID($B455,6,1),"0123456789")-1,"")</f>
        <v/>
      </c>
      <c r="M455">
        <f>IF($F455=1,FIND(MID($B455,7,1),"0123456789")-1,"")</f>
        <v/>
      </c>
      <c r="N455">
        <f>IF($F455=1,FIND(MID($B455,8,1),"0123456789")-1,"")</f>
        <v/>
      </c>
      <c r="O455">
        <f>IF($F455=1,FIND(MID($B455,9,1),"0123456789")-1,"")</f>
        <v/>
      </c>
      <c r="P455">
        <f>IF($F455=1,FIND(MID($B455,10,1),"0123456789")-1,"")</f>
        <v/>
      </c>
      <c r="Q455">
        <f>IF($F455=1,SUMPRODUCT($G455:$P455,{1,2,4,8,16,32,64,128,256,512}),"")</f>
        <v/>
      </c>
      <c r="R455">
        <f>IF($F455=1,MOD(MOD($Q455,11),10),"")</f>
        <v/>
      </c>
    </row>
    <row r="456">
      <c r="A456" s="6" t="n"/>
      <c r="B456" s="7">
        <f>IF($A456="","",UPPER(SUBSTITUTE(SUBSTITUTE(SUBSTITUTE(SUBSTITUTE(SUBSTITUTE(SUBSTITUTE($A456," ",""),"-",""),".",""),"/",""),"i","I"),"ı","?")))</f>
        <v/>
      </c>
      <c r="C456" s="8">
        <f>IF($F456=1,$R456,"")</f>
        <v/>
      </c>
      <c r="D456" s="7">
        <f>IF($A456="","",IF($F456=0,"Biçim hatalı",IF(FIND(MID($B456,11,1),"0123456789")-1=$R456,"Geçerli","Kontrol hanesi hatalı (doğrusu: "&amp;$R456&amp;")")))</f>
        <v/>
      </c>
      <c r="F456">
        <f>IF($A456="","",IF(AND(LEN($B456)=11,SUMPRODUCT(--ISNUMBER(FIND(MID($B456,{1,2,3},1),"ABCDEFGHIJKLMNOPQRSTUVWXYZ")))=3,ISNUMBER(FIND(MID($B456,4,1),"UJZ")),SUMPRODUCT(--ISNUMBER(FIND(MID($B456,{5,6,7,8,9,10,11},1),"0123456789")))=7),1,0))</f>
        <v/>
      </c>
      <c r="G456">
        <f>IF($F456=1,INDEX({10,12,13,14,15,16,17,18,19,20,21,23,24,25,26,27,28,29,30,31,32,34,35,36,37,38},1,FIND(MID($B456,1,1),"ABCDEFGHIJKLMNOPQRSTUVWXYZ")),"")</f>
        <v/>
      </c>
      <c r="H456">
        <f>IF($F456=1,INDEX({10,12,13,14,15,16,17,18,19,20,21,23,24,25,26,27,28,29,30,31,32,34,35,36,37,38},1,FIND(MID($B456,2,1),"ABCDEFGHIJKLMNOPQRSTUVWXYZ")),"")</f>
        <v/>
      </c>
      <c r="I456">
        <f>IF($F456=1,INDEX({10,12,13,14,15,16,17,18,19,20,21,23,24,25,26,27,28,29,30,31,32,34,35,36,37,38},1,FIND(MID($B456,3,1),"ABCDEFGHIJKLMNOPQRSTUVWXYZ")),"")</f>
        <v/>
      </c>
      <c r="J456">
        <f>IF($F456=1,INDEX({10,12,13,14,15,16,17,18,19,20,21,23,24,25,26,27,28,29,30,31,32,34,35,36,37,38},1,FIND(MID($B456,4,1),"ABCDEFGHIJKLMNOPQRSTUVWXYZ")),"")</f>
        <v/>
      </c>
      <c r="K456">
        <f>IF($F456=1,FIND(MID($B456,5,1),"0123456789")-1,"")</f>
        <v/>
      </c>
      <c r="L456">
        <f>IF($F456=1,FIND(MID($B456,6,1),"0123456789")-1,"")</f>
        <v/>
      </c>
      <c r="M456">
        <f>IF($F456=1,FIND(MID($B456,7,1),"0123456789")-1,"")</f>
        <v/>
      </c>
      <c r="N456">
        <f>IF($F456=1,FIND(MID($B456,8,1),"0123456789")-1,"")</f>
        <v/>
      </c>
      <c r="O456">
        <f>IF($F456=1,FIND(MID($B456,9,1),"0123456789")-1,"")</f>
        <v/>
      </c>
      <c r="P456">
        <f>IF($F456=1,FIND(MID($B456,10,1),"0123456789")-1,"")</f>
        <v/>
      </c>
      <c r="Q456">
        <f>IF($F456=1,SUMPRODUCT($G456:$P456,{1,2,4,8,16,32,64,128,256,512}),"")</f>
        <v/>
      </c>
      <c r="R456">
        <f>IF($F456=1,MOD(MOD($Q456,11),10),"")</f>
        <v/>
      </c>
    </row>
    <row r="457">
      <c r="A457" s="6" t="n"/>
      <c r="B457" s="7">
        <f>IF($A457="","",UPPER(SUBSTITUTE(SUBSTITUTE(SUBSTITUTE(SUBSTITUTE(SUBSTITUTE(SUBSTITUTE($A457," ",""),"-",""),".",""),"/",""),"i","I"),"ı","?")))</f>
        <v/>
      </c>
      <c r="C457" s="8">
        <f>IF($F457=1,$R457,"")</f>
        <v/>
      </c>
      <c r="D457" s="7">
        <f>IF($A457="","",IF($F457=0,"Biçim hatalı",IF(FIND(MID($B457,11,1),"0123456789")-1=$R457,"Geçerli","Kontrol hanesi hatalı (doğrusu: "&amp;$R457&amp;")")))</f>
        <v/>
      </c>
      <c r="F457">
        <f>IF($A457="","",IF(AND(LEN($B457)=11,SUMPRODUCT(--ISNUMBER(FIND(MID($B457,{1,2,3},1),"ABCDEFGHIJKLMNOPQRSTUVWXYZ")))=3,ISNUMBER(FIND(MID($B457,4,1),"UJZ")),SUMPRODUCT(--ISNUMBER(FIND(MID($B457,{5,6,7,8,9,10,11},1),"0123456789")))=7),1,0))</f>
        <v/>
      </c>
      <c r="G457">
        <f>IF($F457=1,INDEX({10,12,13,14,15,16,17,18,19,20,21,23,24,25,26,27,28,29,30,31,32,34,35,36,37,38},1,FIND(MID($B457,1,1),"ABCDEFGHIJKLMNOPQRSTUVWXYZ")),"")</f>
        <v/>
      </c>
      <c r="H457">
        <f>IF($F457=1,INDEX({10,12,13,14,15,16,17,18,19,20,21,23,24,25,26,27,28,29,30,31,32,34,35,36,37,38},1,FIND(MID($B457,2,1),"ABCDEFGHIJKLMNOPQRSTUVWXYZ")),"")</f>
        <v/>
      </c>
      <c r="I457">
        <f>IF($F457=1,INDEX({10,12,13,14,15,16,17,18,19,20,21,23,24,25,26,27,28,29,30,31,32,34,35,36,37,38},1,FIND(MID($B457,3,1),"ABCDEFGHIJKLMNOPQRSTUVWXYZ")),"")</f>
        <v/>
      </c>
      <c r="J457">
        <f>IF($F457=1,INDEX({10,12,13,14,15,16,17,18,19,20,21,23,24,25,26,27,28,29,30,31,32,34,35,36,37,38},1,FIND(MID($B457,4,1),"ABCDEFGHIJKLMNOPQRSTUVWXYZ")),"")</f>
        <v/>
      </c>
      <c r="K457">
        <f>IF($F457=1,FIND(MID($B457,5,1),"0123456789")-1,"")</f>
        <v/>
      </c>
      <c r="L457">
        <f>IF($F457=1,FIND(MID($B457,6,1),"0123456789")-1,"")</f>
        <v/>
      </c>
      <c r="M457">
        <f>IF($F457=1,FIND(MID($B457,7,1),"0123456789")-1,"")</f>
        <v/>
      </c>
      <c r="N457">
        <f>IF($F457=1,FIND(MID($B457,8,1),"0123456789")-1,"")</f>
        <v/>
      </c>
      <c r="O457">
        <f>IF($F457=1,FIND(MID($B457,9,1),"0123456789")-1,"")</f>
        <v/>
      </c>
      <c r="P457">
        <f>IF($F457=1,FIND(MID($B457,10,1),"0123456789")-1,"")</f>
        <v/>
      </c>
      <c r="Q457">
        <f>IF($F457=1,SUMPRODUCT($G457:$P457,{1,2,4,8,16,32,64,128,256,512}),"")</f>
        <v/>
      </c>
      <c r="R457">
        <f>IF($F457=1,MOD(MOD($Q457,11),10),"")</f>
        <v/>
      </c>
    </row>
    <row r="458">
      <c r="A458" s="6" t="n"/>
      <c r="B458" s="7">
        <f>IF($A458="","",UPPER(SUBSTITUTE(SUBSTITUTE(SUBSTITUTE(SUBSTITUTE(SUBSTITUTE(SUBSTITUTE($A458," ",""),"-",""),".",""),"/",""),"i","I"),"ı","?")))</f>
        <v/>
      </c>
      <c r="C458" s="8">
        <f>IF($F458=1,$R458,"")</f>
        <v/>
      </c>
      <c r="D458" s="7">
        <f>IF($A458="","",IF($F458=0,"Biçim hatalı",IF(FIND(MID($B458,11,1),"0123456789")-1=$R458,"Geçerli","Kontrol hanesi hatalı (doğrusu: "&amp;$R458&amp;")")))</f>
        <v/>
      </c>
      <c r="F458">
        <f>IF($A458="","",IF(AND(LEN($B458)=11,SUMPRODUCT(--ISNUMBER(FIND(MID($B458,{1,2,3},1),"ABCDEFGHIJKLMNOPQRSTUVWXYZ")))=3,ISNUMBER(FIND(MID($B458,4,1),"UJZ")),SUMPRODUCT(--ISNUMBER(FIND(MID($B458,{5,6,7,8,9,10,11},1),"0123456789")))=7),1,0))</f>
        <v/>
      </c>
      <c r="G458">
        <f>IF($F458=1,INDEX({10,12,13,14,15,16,17,18,19,20,21,23,24,25,26,27,28,29,30,31,32,34,35,36,37,38},1,FIND(MID($B458,1,1),"ABCDEFGHIJKLMNOPQRSTUVWXYZ")),"")</f>
        <v/>
      </c>
      <c r="H458">
        <f>IF($F458=1,INDEX({10,12,13,14,15,16,17,18,19,20,21,23,24,25,26,27,28,29,30,31,32,34,35,36,37,38},1,FIND(MID($B458,2,1),"ABCDEFGHIJKLMNOPQRSTUVWXYZ")),"")</f>
        <v/>
      </c>
      <c r="I458">
        <f>IF($F458=1,INDEX({10,12,13,14,15,16,17,18,19,20,21,23,24,25,26,27,28,29,30,31,32,34,35,36,37,38},1,FIND(MID($B458,3,1),"ABCDEFGHIJKLMNOPQRSTUVWXYZ")),"")</f>
        <v/>
      </c>
      <c r="J458">
        <f>IF($F458=1,INDEX({10,12,13,14,15,16,17,18,19,20,21,23,24,25,26,27,28,29,30,31,32,34,35,36,37,38},1,FIND(MID($B458,4,1),"ABCDEFGHIJKLMNOPQRSTUVWXYZ")),"")</f>
        <v/>
      </c>
      <c r="K458">
        <f>IF($F458=1,FIND(MID($B458,5,1),"0123456789")-1,"")</f>
        <v/>
      </c>
      <c r="L458">
        <f>IF($F458=1,FIND(MID($B458,6,1),"0123456789")-1,"")</f>
        <v/>
      </c>
      <c r="M458">
        <f>IF($F458=1,FIND(MID($B458,7,1),"0123456789")-1,"")</f>
        <v/>
      </c>
      <c r="N458">
        <f>IF($F458=1,FIND(MID($B458,8,1),"0123456789")-1,"")</f>
        <v/>
      </c>
      <c r="O458">
        <f>IF($F458=1,FIND(MID($B458,9,1),"0123456789")-1,"")</f>
        <v/>
      </c>
      <c r="P458">
        <f>IF($F458=1,FIND(MID($B458,10,1),"0123456789")-1,"")</f>
        <v/>
      </c>
      <c r="Q458">
        <f>IF($F458=1,SUMPRODUCT($G458:$P458,{1,2,4,8,16,32,64,128,256,512}),"")</f>
        <v/>
      </c>
      <c r="R458">
        <f>IF($F458=1,MOD(MOD($Q458,11),10),"")</f>
        <v/>
      </c>
    </row>
    <row r="459">
      <c r="A459" s="6" t="n"/>
      <c r="B459" s="7">
        <f>IF($A459="","",UPPER(SUBSTITUTE(SUBSTITUTE(SUBSTITUTE(SUBSTITUTE(SUBSTITUTE(SUBSTITUTE($A459," ",""),"-",""),".",""),"/",""),"i","I"),"ı","?")))</f>
        <v/>
      </c>
      <c r="C459" s="8">
        <f>IF($F459=1,$R459,"")</f>
        <v/>
      </c>
      <c r="D459" s="7">
        <f>IF($A459="","",IF($F459=0,"Biçim hatalı",IF(FIND(MID($B459,11,1),"0123456789")-1=$R459,"Geçerli","Kontrol hanesi hatalı (doğrusu: "&amp;$R459&amp;")")))</f>
        <v/>
      </c>
      <c r="F459">
        <f>IF($A459="","",IF(AND(LEN($B459)=11,SUMPRODUCT(--ISNUMBER(FIND(MID($B459,{1,2,3},1),"ABCDEFGHIJKLMNOPQRSTUVWXYZ")))=3,ISNUMBER(FIND(MID($B459,4,1),"UJZ")),SUMPRODUCT(--ISNUMBER(FIND(MID($B459,{5,6,7,8,9,10,11},1),"0123456789")))=7),1,0))</f>
        <v/>
      </c>
      <c r="G459">
        <f>IF($F459=1,INDEX({10,12,13,14,15,16,17,18,19,20,21,23,24,25,26,27,28,29,30,31,32,34,35,36,37,38},1,FIND(MID($B459,1,1),"ABCDEFGHIJKLMNOPQRSTUVWXYZ")),"")</f>
        <v/>
      </c>
      <c r="H459">
        <f>IF($F459=1,INDEX({10,12,13,14,15,16,17,18,19,20,21,23,24,25,26,27,28,29,30,31,32,34,35,36,37,38},1,FIND(MID($B459,2,1),"ABCDEFGHIJKLMNOPQRSTUVWXYZ")),"")</f>
        <v/>
      </c>
      <c r="I459">
        <f>IF($F459=1,INDEX({10,12,13,14,15,16,17,18,19,20,21,23,24,25,26,27,28,29,30,31,32,34,35,36,37,38},1,FIND(MID($B459,3,1),"ABCDEFGHIJKLMNOPQRSTUVWXYZ")),"")</f>
        <v/>
      </c>
      <c r="J459">
        <f>IF($F459=1,INDEX({10,12,13,14,15,16,17,18,19,20,21,23,24,25,26,27,28,29,30,31,32,34,35,36,37,38},1,FIND(MID($B459,4,1),"ABCDEFGHIJKLMNOPQRSTUVWXYZ")),"")</f>
        <v/>
      </c>
      <c r="K459">
        <f>IF($F459=1,FIND(MID($B459,5,1),"0123456789")-1,"")</f>
        <v/>
      </c>
      <c r="L459">
        <f>IF($F459=1,FIND(MID($B459,6,1),"0123456789")-1,"")</f>
        <v/>
      </c>
      <c r="M459">
        <f>IF($F459=1,FIND(MID($B459,7,1),"0123456789")-1,"")</f>
        <v/>
      </c>
      <c r="N459">
        <f>IF($F459=1,FIND(MID($B459,8,1),"0123456789")-1,"")</f>
        <v/>
      </c>
      <c r="O459">
        <f>IF($F459=1,FIND(MID($B459,9,1),"0123456789")-1,"")</f>
        <v/>
      </c>
      <c r="P459">
        <f>IF($F459=1,FIND(MID($B459,10,1),"0123456789")-1,"")</f>
        <v/>
      </c>
      <c r="Q459">
        <f>IF($F459=1,SUMPRODUCT($G459:$P459,{1,2,4,8,16,32,64,128,256,512}),"")</f>
        <v/>
      </c>
      <c r="R459">
        <f>IF($F459=1,MOD(MOD($Q459,11),10),"")</f>
        <v/>
      </c>
    </row>
    <row r="460">
      <c r="A460" s="6" t="n"/>
      <c r="B460" s="7">
        <f>IF($A460="","",UPPER(SUBSTITUTE(SUBSTITUTE(SUBSTITUTE(SUBSTITUTE(SUBSTITUTE(SUBSTITUTE($A460," ",""),"-",""),".",""),"/",""),"i","I"),"ı","?")))</f>
        <v/>
      </c>
      <c r="C460" s="8">
        <f>IF($F460=1,$R460,"")</f>
        <v/>
      </c>
      <c r="D460" s="7">
        <f>IF($A460="","",IF($F460=0,"Biçim hatalı",IF(FIND(MID($B460,11,1),"0123456789")-1=$R460,"Geçerli","Kontrol hanesi hatalı (doğrusu: "&amp;$R460&amp;")")))</f>
        <v/>
      </c>
      <c r="F460">
        <f>IF($A460="","",IF(AND(LEN($B460)=11,SUMPRODUCT(--ISNUMBER(FIND(MID($B460,{1,2,3},1),"ABCDEFGHIJKLMNOPQRSTUVWXYZ")))=3,ISNUMBER(FIND(MID($B460,4,1),"UJZ")),SUMPRODUCT(--ISNUMBER(FIND(MID($B460,{5,6,7,8,9,10,11},1),"0123456789")))=7),1,0))</f>
        <v/>
      </c>
      <c r="G460">
        <f>IF($F460=1,INDEX({10,12,13,14,15,16,17,18,19,20,21,23,24,25,26,27,28,29,30,31,32,34,35,36,37,38},1,FIND(MID($B460,1,1),"ABCDEFGHIJKLMNOPQRSTUVWXYZ")),"")</f>
        <v/>
      </c>
      <c r="H460">
        <f>IF($F460=1,INDEX({10,12,13,14,15,16,17,18,19,20,21,23,24,25,26,27,28,29,30,31,32,34,35,36,37,38},1,FIND(MID($B460,2,1),"ABCDEFGHIJKLMNOPQRSTUVWXYZ")),"")</f>
        <v/>
      </c>
      <c r="I460">
        <f>IF($F460=1,INDEX({10,12,13,14,15,16,17,18,19,20,21,23,24,25,26,27,28,29,30,31,32,34,35,36,37,38},1,FIND(MID($B460,3,1),"ABCDEFGHIJKLMNOPQRSTUVWXYZ")),"")</f>
        <v/>
      </c>
      <c r="J460">
        <f>IF($F460=1,INDEX({10,12,13,14,15,16,17,18,19,20,21,23,24,25,26,27,28,29,30,31,32,34,35,36,37,38},1,FIND(MID($B460,4,1),"ABCDEFGHIJKLMNOPQRSTUVWXYZ")),"")</f>
        <v/>
      </c>
      <c r="K460">
        <f>IF($F460=1,FIND(MID($B460,5,1),"0123456789")-1,"")</f>
        <v/>
      </c>
      <c r="L460">
        <f>IF($F460=1,FIND(MID($B460,6,1),"0123456789")-1,"")</f>
        <v/>
      </c>
      <c r="M460">
        <f>IF($F460=1,FIND(MID($B460,7,1),"0123456789")-1,"")</f>
        <v/>
      </c>
      <c r="N460">
        <f>IF($F460=1,FIND(MID($B460,8,1),"0123456789")-1,"")</f>
        <v/>
      </c>
      <c r="O460">
        <f>IF($F460=1,FIND(MID($B460,9,1),"0123456789")-1,"")</f>
        <v/>
      </c>
      <c r="P460">
        <f>IF($F460=1,FIND(MID($B460,10,1),"0123456789")-1,"")</f>
        <v/>
      </c>
      <c r="Q460">
        <f>IF($F460=1,SUMPRODUCT($G460:$P460,{1,2,4,8,16,32,64,128,256,512}),"")</f>
        <v/>
      </c>
      <c r="R460">
        <f>IF($F460=1,MOD(MOD($Q460,11),10),"")</f>
        <v/>
      </c>
    </row>
    <row r="461">
      <c r="A461" s="6" t="n"/>
      <c r="B461" s="7">
        <f>IF($A461="","",UPPER(SUBSTITUTE(SUBSTITUTE(SUBSTITUTE(SUBSTITUTE(SUBSTITUTE(SUBSTITUTE($A461," ",""),"-",""),".",""),"/",""),"i","I"),"ı","?")))</f>
        <v/>
      </c>
      <c r="C461" s="8">
        <f>IF($F461=1,$R461,"")</f>
        <v/>
      </c>
      <c r="D461" s="7">
        <f>IF($A461="","",IF($F461=0,"Biçim hatalı",IF(FIND(MID($B461,11,1),"0123456789")-1=$R461,"Geçerli","Kontrol hanesi hatalı (doğrusu: "&amp;$R461&amp;")")))</f>
        <v/>
      </c>
      <c r="F461">
        <f>IF($A461="","",IF(AND(LEN($B461)=11,SUMPRODUCT(--ISNUMBER(FIND(MID($B461,{1,2,3},1),"ABCDEFGHIJKLMNOPQRSTUVWXYZ")))=3,ISNUMBER(FIND(MID($B461,4,1),"UJZ")),SUMPRODUCT(--ISNUMBER(FIND(MID($B461,{5,6,7,8,9,10,11},1),"0123456789")))=7),1,0))</f>
        <v/>
      </c>
      <c r="G461">
        <f>IF($F461=1,INDEX({10,12,13,14,15,16,17,18,19,20,21,23,24,25,26,27,28,29,30,31,32,34,35,36,37,38},1,FIND(MID($B461,1,1),"ABCDEFGHIJKLMNOPQRSTUVWXYZ")),"")</f>
        <v/>
      </c>
      <c r="H461">
        <f>IF($F461=1,INDEX({10,12,13,14,15,16,17,18,19,20,21,23,24,25,26,27,28,29,30,31,32,34,35,36,37,38},1,FIND(MID($B461,2,1),"ABCDEFGHIJKLMNOPQRSTUVWXYZ")),"")</f>
        <v/>
      </c>
      <c r="I461">
        <f>IF($F461=1,INDEX({10,12,13,14,15,16,17,18,19,20,21,23,24,25,26,27,28,29,30,31,32,34,35,36,37,38},1,FIND(MID($B461,3,1),"ABCDEFGHIJKLMNOPQRSTUVWXYZ")),"")</f>
        <v/>
      </c>
      <c r="J461">
        <f>IF($F461=1,INDEX({10,12,13,14,15,16,17,18,19,20,21,23,24,25,26,27,28,29,30,31,32,34,35,36,37,38},1,FIND(MID($B461,4,1),"ABCDEFGHIJKLMNOPQRSTUVWXYZ")),"")</f>
        <v/>
      </c>
      <c r="K461">
        <f>IF($F461=1,FIND(MID($B461,5,1),"0123456789")-1,"")</f>
        <v/>
      </c>
      <c r="L461">
        <f>IF($F461=1,FIND(MID($B461,6,1),"0123456789")-1,"")</f>
        <v/>
      </c>
      <c r="M461">
        <f>IF($F461=1,FIND(MID($B461,7,1),"0123456789")-1,"")</f>
        <v/>
      </c>
      <c r="N461">
        <f>IF($F461=1,FIND(MID($B461,8,1),"0123456789")-1,"")</f>
        <v/>
      </c>
      <c r="O461">
        <f>IF($F461=1,FIND(MID($B461,9,1),"0123456789")-1,"")</f>
        <v/>
      </c>
      <c r="P461">
        <f>IF($F461=1,FIND(MID($B461,10,1),"0123456789")-1,"")</f>
        <v/>
      </c>
      <c r="Q461">
        <f>IF($F461=1,SUMPRODUCT($G461:$P461,{1,2,4,8,16,32,64,128,256,512}),"")</f>
        <v/>
      </c>
      <c r="R461">
        <f>IF($F461=1,MOD(MOD($Q461,11),10),"")</f>
        <v/>
      </c>
    </row>
    <row r="462">
      <c r="A462" s="6" t="n"/>
      <c r="B462" s="7">
        <f>IF($A462="","",UPPER(SUBSTITUTE(SUBSTITUTE(SUBSTITUTE(SUBSTITUTE(SUBSTITUTE(SUBSTITUTE($A462," ",""),"-",""),".",""),"/",""),"i","I"),"ı","?")))</f>
        <v/>
      </c>
      <c r="C462" s="8">
        <f>IF($F462=1,$R462,"")</f>
        <v/>
      </c>
      <c r="D462" s="7">
        <f>IF($A462="","",IF($F462=0,"Biçim hatalı",IF(FIND(MID($B462,11,1),"0123456789")-1=$R462,"Geçerli","Kontrol hanesi hatalı (doğrusu: "&amp;$R462&amp;")")))</f>
        <v/>
      </c>
      <c r="F462">
        <f>IF($A462="","",IF(AND(LEN($B462)=11,SUMPRODUCT(--ISNUMBER(FIND(MID($B462,{1,2,3},1),"ABCDEFGHIJKLMNOPQRSTUVWXYZ")))=3,ISNUMBER(FIND(MID($B462,4,1),"UJZ")),SUMPRODUCT(--ISNUMBER(FIND(MID($B462,{5,6,7,8,9,10,11},1),"0123456789")))=7),1,0))</f>
        <v/>
      </c>
      <c r="G462">
        <f>IF($F462=1,INDEX({10,12,13,14,15,16,17,18,19,20,21,23,24,25,26,27,28,29,30,31,32,34,35,36,37,38},1,FIND(MID($B462,1,1),"ABCDEFGHIJKLMNOPQRSTUVWXYZ")),"")</f>
        <v/>
      </c>
      <c r="H462">
        <f>IF($F462=1,INDEX({10,12,13,14,15,16,17,18,19,20,21,23,24,25,26,27,28,29,30,31,32,34,35,36,37,38},1,FIND(MID($B462,2,1),"ABCDEFGHIJKLMNOPQRSTUVWXYZ")),"")</f>
        <v/>
      </c>
      <c r="I462">
        <f>IF($F462=1,INDEX({10,12,13,14,15,16,17,18,19,20,21,23,24,25,26,27,28,29,30,31,32,34,35,36,37,38},1,FIND(MID($B462,3,1),"ABCDEFGHIJKLMNOPQRSTUVWXYZ")),"")</f>
        <v/>
      </c>
      <c r="J462">
        <f>IF($F462=1,INDEX({10,12,13,14,15,16,17,18,19,20,21,23,24,25,26,27,28,29,30,31,32,34,35,36,37,38},1,FIND(MID($B462,4,1),"ABCDEFGHIJKLMNOPQRSTUVWXYZ")),"")</f>
        <v/>
      </c>
      <c r="K462">
        <f>IF($F462=1,FIND(MID($B462,5,1),"0123456789")-1,"")</f>
        <v/>
      </c>
      <c r="L462">
        <f>IF($F462=1,FIND(MID($B462,6,1),"0123456789")-1,"")</f>
        <v/>
      </c>
      <c r="M462">
        <f>IF($F462=1,FIND(MID($B462,7,1),"0123456789")-1,"")</f>
        <v/>
      </c>
      <c r="N462">
        <f>IF($F462=1,FIND(MID($B462,8,1),"0123456789")-1,"")</f>
        <v/>
      </c>
      <c r="O462">
        <f>IF($F462=1,FIND(MID($B462,9,1),"0123456789")-1,"")</f>
        <v/>
      </c>
      <c r="P462">
        <f>IF($F462=1,FIND(MID($B462,10,1),"0123456789")-1,"")</f>
        <v/>
      </c>
      <c r="Q462">
        <f>IF($F462=1,SUMPRODUCT($G462:$P462,{1,2,4,8,16,32,64,128,256,512}),"")</f>
        <v/>
      </c>
      <c r="R462">
        <f>IF($F462=1,MOD(MOD($Q462,11),10),"")</f>
        <v/>
      </c>
    </row>
    <row r="463">
      <c r="A463" s="6" t="n"/>
      <c r="B463" s="7">
        <f>IF($A463="","",UPPER(SUBSTITUTE(SUBSTITUTE(SUBSTITUTE(SUBSTITUTE(SUBSTITUTE(SUBSTITUTE($A463," ",""),"-",""),".",""),"/",""),"i","I"),"ı","?")))</f>
        <v/>
      </c>
      <c r="C463" s="8">
        <f>IF($F463=1,$R463,"")</f>
        <v/>
      </c>
      <c r="D463" s="7">
        <f>IF($A463="","",IF($F463=0,"Biçim hatalı",IF(FIND(MID($B463,11,1),"0123456789")-1=$R463,"Geçerli","Kontrol hanesi hatalı (doğrusu: "&amp;$R463&amp;")")))</f>
        <v/>
      </c>
      <c r="F463">
        <f>IF($A463="","",IF(AND(LEN($B463)=11,SUMPRODUCT(--ISNUMBER(FIND(MID($B463,{1,2,3},1),"ABCDEFGHIJKLMNOPQRSTUVWXYZ")))=3,ISNUMBER(FIND(MID($B463,4,1),"UJZ")),SUMPRODUCT(--ISNUMBER(FIND(MID($B463,{5,6,7,8,9,10,11},1),"0123456789")))=7),1,0))</f>
        <v/>
      </c>
      <c r="G463">
        <f>IF($F463=1,INDEX({10,12,13,14,15,16,17,18,19,20,21,23,24,25,26,27,28,29,30,31,32,34,35,36,37,38},1,FIND(MID($B463,1,1),"ABCDEFGHIJKLMNOPQRSTUVWXYZ")),"")</f>
        <v/>
      </c>
      <c r="H463">
        <f>IF($F463=1,INDEX({10,12,13,14,15,16,17,18,19,20,21,23,24,25,26,27,28,29,30,31,32,34,35,36,37,38},1,FIND(MID($B463,2,1),"ABCDEFGHIJKLMNOPQRSTUVWXYZ")),"")</f>
        <v/>
      </c>
      <c r="I463">
        <f>IF($F463=1,INDEX({10,12,13,14,15,16,17,18,19,20,21,23,24,25,26,27,28,29,30,31,32,34,35,36,37,38},1,FIND(MID($B463,3,1),"ABCDEFGHIJKLMNOPQRSTUVWXYZ")),"")</f>
        <v/>
      </c>
      <c r="J463">
        <f>IF($F463=1,INDEX({10,12,13,14,15,16,17,18,19,20,21,23,24,25,26,27,28,29,30,31,32,34,35,36,37,38},1,FIND(MID($B463,4,1),"ABCDEFGHIJKLMNOPQRSTUVWXYZ")),"")</f>
        <v/>
      </c>
      <c r="K463">
        <f>IF($F463=1,FIND(MID($B463,5,1),"0123456789")-1,"")</f>
        <v/>
      </c>
      <c r="L463">
        <f>IF($F463=1,FIND(MID($B463,6,1),"0123456789")-1,"")</f>
        <v/>
      </c>
      <c r="M463">
        <f>IF($F463=1,FIND(MID($B463,7,1),"0123456789")-1,"")</f>
        <v/>
      </c>
      <c r="N463">
        <f>IF($F463=1,FIND(MID($B463,8,1),"0123456789")-1,"")</f>
        <v/>
      </c>
      <c r="O463">
        <f>IF($F463=1,FIND(MID($B463,9,1),"0123456789")-1,"")</f>
        <v/>
      </c>
      <c r="P463">
        <f>IF($F463=1,FIND(MID($B463,10,1),"0123456789")-1,"")</f>
        <v/>
      </c>
      <c r="Q463">
        <f>IF($F463=1,SUMPRODUCT($G463:$P463,{1,2,4,8,16,32,64,128,256,512}),"")</f>
        <v/>
      </c>
      <c r="R463">
        <f>IF($F463=1,MOD(MOD($Q463,11),10),"")</f>
        <v/>
      </c>
    </row>
    <row r="464">
      <c r="A464" s="6" t="n"/>
      <c r="B464" s="7">
        <f>IF($A464="","",UPPER(SUBSTITUTE(SUBSTITUTE(SUBSTITUTE(SUBSTITUTE(SUBSTITUTE(SUBSTITUTE($A464," ",""),"-",""),".",""),"/",""),"i","I"),"ı","?")))</f>
        <v/>
      </c>
      <c r="C464" s="8">
        <f>IF($F464=1,$R464,"")</f>
        <v/>
      </c>
      <c r="D464" s="7">
        <f>IF($A464="","",IF($F464=0,"Biçim hatalı",IF(FIND(MID($B464,11,1),"0123456789")-1=$R464,"Geçerli","Kontrol hanesi hatalı (doğrusu: "&amp;$R464&amp;")")))</f>
        <v/>
      </c>
      <c r="F464">
        <f>IF($A464="","",IF(AND(LEN($B464)=11,SUMPRODUCT(--ISNUMBER(FIND(MID($B464,{1,2,3},1),"ABCDEFGHIJKLMNOPQRSTUVWXYZ")))=3,ISNUMBER(FIND(MID($B464,4,1),"UJZ")),SUMPRODUCT(--ISNUMBER(FIND(MID($B464,{5,6,7,8,9,10,11},1),"0123456789")))=7),1,0))</f>
        <v/>
      </c>
      <c r="G464">
        <f>IF($F464=1,INDEX({10,12,13,14,15,16,17,18,19,20,21,23,24,25,26,27,28,29,30,31,32,34,35,36,37,38},1,FIND(MID($B464,1,1),"ABCDEFGHIJKLMNOPQRSTUVWXYZ")),"")</f>
        <v/>
      </c>
      <c r="H464">
        <f>IF($F464=1,INDEX({10,12,13,14,15,16,17,18,19,20,21,23,24,25,26,27,28,29,30,31,32,34,35,36,37,38},1,FIND(MID($B464,2,1),"ABCDEFGHIJKLMNOPQRSTUVWXYZ")),"")</f>
        <v/>
      </c>
      <c r="I464">
        <f>IF($F464=1,INDEX({10,12,13,14,15,16,17,18,19,20,21,23,24,25,26,27,28,29,30,31,32,34,35,36,37,38},1,FIND(MID($B464,3,1),"ABCDEFGHIJKLMNOPQRSTUVWXYZ")),"")</f>
        <v/>
      </c>
      <c r="J464">
        <f>IF($F464=1,INDEX({10,12,13,14,15,16,17,18,19,20,21,23,24,25,26,27,28,29,30,31,32,34,35,36,37,38},1,FIND(MID($B464,4,1),"ABCDEFGHIJKLMNOPQRSTUVWXYZ")),"")</f>
        <v/>
      </c>
      <c r="K464">
        <f>IF($F464=1,FIND(MID($B464,5,1),"0123456789")-1,"")</f>
        <v/>
      </c>
      <c r="L464">
        <f>IF($F464=1,FIND(MID($B464,6,1),"0123456789")-1,"")</f>
        <v/>
      </c>
      <c r="M464">
        <f>IF($F464=1,FIND(MID($B464,7,1),"0123456789")-1,"")</f>
        <v/>
      </c>
      <c r="N464">
        <f>IF($F464=1,FIND(MID($B464,8,1),"0123456789")-1,"")</f>
        <v/>
      </c>
      <c r="O464">
        <f>IF($F464=1,FIND(MID($B464,9,1),"0123456789")-1,"")</f>
        <v/>
      </c>
      <c r="P464">
        <f>IF($F464=1,FIND(MID($B464,10,1),"0123456789")-1,"")</f>
        <v/>
      </c>
      <c r="Q464">
        <f>IF($F464=1,SUMPRODUCT($G464:$P464,{1,2,4,8,16,32,64,128,256,512}),"")</f>
        <v/>
      </c>
      <c r="R464">
        <f>IF($F464=1,MOD(MOD($Q464,11),10),"")</f>
        <v/>
      </c>
    </row>
    <row r="465">
      <c r="A465" s="6" t="n"/>
      <c r="B465" s="7">
        <f>IF($A465="","",UPPER(SUBSTITUTE(SUBSTITUTE(SUBSTITUTE(SUBSTITUTE(SUBSTITUTE(SUBSTITUTE($A465," ",""),"-",""),".",""),"/",""),"i","I"),"ı","?")))</f>
        <v/>
      </c>
      <c r="C465" s="8">
        <f>IF($F465=1,$R465,"")</f>
        <v/>
      </c>
      <c r="D465" s="7">
        <f>IF($A465="","",IF($F465=0,"Biçim hatalı",IF(FIND(MID($B465,11,1),"0123456789")-1=$R465,"Geçerli","Kontrol hanesi hatalı (doğrusu: "&amp;$R465&amp;")")))</f>
        <v/>
      </c>
      <c r="F465">
        <f>IF($A465="","",IF(AND(LEN($B465)=11,SUMPRODUCT(--ISNUMBER(FIND(MID($B465,{1,2,3},1),"ABCDEFGHIJKLMNOPQRSTUVWXYZ")))=3,ISNUMBER(FIND(MID($B465,4,1),"UJZ")),SUMPRODUCT(--ISNUMBER(FIND(MID($B465,{5,6,7,8,9,10,11},1),"0123456789")))=7),1,0))</f>
        <v/>
      </c>
      <c r="G465">
        <f>IF($F465=1,INDEX({10,12,13,14,15,16,17,18,19,20,21,23,24,25,26,27,28,29,30,31,32,34,35,36,37,38},1,FIND(MID($B465,1,1),"ABCDEFGHIJKLMNOPQRSTUVWXYZ")),"")</f>
        <v/>
      </c>
      <c r="H465">
        <f>IF($F465=1,INDEX({10,12,13,14,15,16,17,18,19,20,21,23,24,25,26,27,28,29,30,31,32,34,35,36,37,38},1,FIND(MID($B465,2,1),"ABCDEFGHIJKLMNOPQRSTUVWXYZ")),"")</f>
        <v/>
      </c>
      <c r="I465">
        <f>IF($F465=1,INDEX({10,12,13,14,15,16,17,18,19,20,21,23,24,25,26,27,28,29,30,31,32,34,35,36,37,38},1,FIND(MID($B465,3,1),"ABCDEFGHIJKLMNOPQRSTUVWXYZ")),"")</f>
        <v/>
      </c>
      <c r="J465">
        <f>IF($F465=1,INDEX({10,12,13,14,15,16,17,18,19,20,21,23,24,25,26,27,28,29,30,31,32,34,35,36,37,38},1,FIND(MID($B465,4,1),"ABCDEFGHIJKLMNOPQRSTUVWXYZ")),"")</f>
        <v/>
      </c>
      <c r="K465">
        <f>IF($F465=1,FIND(MID($B465,5,1),"0123456789")-1,"")</f>
        <v/>
      </c>
      <c r="L465">
        <f>IF($F465=1,FIND(MID($B465,6,1),"0123456789")-1,"")</f>
        <v/>
      </c>
      <c r="M465">
        <f>IF($F465=1,FIND(MID($B465,7,1),"0123456789")-1,"")</f>
        <v/>
      </c>
      <c r="N465">
        <f>IF($F465=1,FIND(MID($B465,8,1),"0123456789")-1,"")</f>
        <v/>
      </c>
      <c r="O465">
        <f>IF($F465=1,FIND(MID($B465,9,1),"0123456789")-1,"")</f>
        <v/>
      </c>
      <c r="P465">
        <f>IF($F465=1,FIND(MID($B465,10,1),"0123456789")-1,"")</f>
        <v/>
      </c>
      <c r="Q465">
        <f>IF($F465=1,SUMPRODUCT($G465:$P465,{1,2,4,8,16,32,64,128,256,512}),"")</f>
        <v/>
      </c>
      <c r="R465">
        <f>IF($F465=1,MOD(MOD($Q465,11),10),"")</f>
        <v/>
      </c>
    </row>
    <row r="466">
      <c r="A466" s="6" t="n"/>
      <c r="B466" s="7">
        <f>IF($A466="","",UPPER(SUBSTITUTE(SUBSTITUTE(SUBSTITUTE(SUBSTITUTE(SUBSTITUTE(SUBSTITUTE($A466," ",""),"-",""),".",""),"/",""),"i","I"),"ı","?")))</f>
        <v/>
      </c>
      <c r="C466" s="8">
        <f>IF($F466=1,$R466,"")</f>
        <v/>
      </c>
      <c r="D466" s="7">
        <f>IF($A466="","",IF($F466=0,"Biçim hatalı",IF(FIND(MID($B466,11,1),"0123456789")-1=$R466,"Geçerli","Kontrol hanesi hatalı (doğrusu: "&amp;$R466&amp;")")))</f>
        <v/>
      </c>
      <c r="F466">
        <f>IF($A466="","",IF(AND(LEN($B466)=11,SUMPRODUCT(--ISNUMBER(FIND(MID($B466,{1,2,3},1),"ABCDEFGHIJKLMNOPQRSTUVWXYZ")))=3,ISNUMBER(FIND(MID($B466,4,1),"UJZ")),SUMPRODUCT(--ISNUMBER(FIND(MID($B466,{5,6,7,8,9,10,11},1),"0123456789")))=7),1,0))</f>
        <v/>
      </c>
      <c r="G466">
        <f>IF($F466=1,INDEX({10,12,13,14,15,16,17,18,19,20,21,23,24,25,26,27,28,29,30,31,32,34,35,36,37,38},1,FIND(MID($B466,1,1),"ABCDEFGHIJKLMNOPQRSTUVWXYZ")),"")</f>
        <v/>
      </c>
      <c r="H466">
        <f>IF($F466=1,INDEX({10,12,13,14,15,16,17,18,19,20,21,23,24,25,26,27,28,29,30,31,32,34,35,36,37,38},1,FIND(MID($B466,2,1),"ABCDEFGHIJKLMNOPQRSTUVWXYZ")),"")</f>
        <v/>
      </c>
      <c r="I466">
        <f>IF($F466=1,INDEX({10,12,13,14,15,16,17,18,19,20,21,23,24,25,26,27,28,29,30,31,32,34,35,36,37,38},1,FIND(MID($B466,3,1),"ABCDEFGHIJKLMNOPQRSTUVWXYZ")),"")</f>
        <v/>
      </c>
      <c r="J466">
        <f>IF($F466=1,INDEX({10,12,13,14,15,16,17,18,19,20,21,23,24,25,26,27,28,29,30,31,32,34,35,36,37,38},1,FIND(MID($B466,4,1),"ABCDEFGHIJKLMNOPQRSTUVWXYZ")),"")</f>
        <v/>
      </c>
      <c r="K466">
        <f>IF($F466=1,FIND(MID($B466,5,1),"0123456789")-1,"")</f>
        <v/>
      </c>
      <c r="L466">
        <f>IF($F466=1,FIND(MID($B466,6,1),"0123456789")-1,"")</f>
        <v/>
      </c>
      <c r="M466">
        <f>IF($F466=1,FIND(MID($B466,7,1),"0123456789")-1,"")</f>
        <v/>
      </c>
      <c r="N466">
        <f>IF($F466=1,FIND(MID($B466,8,1),"0123456789")-1,"")</f>
        <v/>
      </c>
      <c r="O466">
        <f>IF($F466=1,FIND(MID($B466,9,1),"0123456789")-1,"")</f>
        <v/>
      </c>
      <c r="P466">
        <f>IF($F466=1,FIND(MID($B466,10,1),"0123456789")-1,"")</f>
        <v/>
      </c>
      <c r="Q466">
        <f>IF($F466=1,SUMPRODUCT($G466:$P466,{1,2,4,8,16,32,64,128,256,512}),"")</f>
        <v/>
      </c>
      <c r="R466">
        <f>IF($F466=1,MOD(MOD($Q466,11),10),"")</f>
        <v/>
      </c>
    </row>
    <row r="467">
      <c r="A467" s="6" t="n"/>
      <c r="B467" s="7">
        <f>IF($A467="","",UPPER(SUBSTITUTE(SUBSTITUTE(SUBSTITUTE(SUBSTITUTE(SUBSTITUTE(SUBSTITUTE($A467," ",""),"-",""),".",""),"/",""),"i","I"),"ı","?")))</f>
        <v/>
      </c>
      <c r="C467" s="8">
        <f>IF($F467=1,$R467,"")</f>
        <v/>
      </c>
      <c r="D467" s="7">
        <f>IF($A467="","",IF($F467=0,"Biçim hatalı",IF(FIND(MID($B467,11,1),"0123456789")-1=$R467,"Geçerli","Kontrol hanesi hatalı (doğrusu: "&amp;$R467&amp;")")))</f>
        <v/>
      </c>
      <c r="F467">
        <f>IF($A467="","",IF(AND(LEN($B467)=11,SUMPRODUCT(--ISNUMBER(FIND(MID($B467,{1,2,3},1),"ABCDEFGHIJKLMNOPQRSTUVWXYZ")))=3,ISNUMBER(FIND(MID($B467,4,1),"UJZ")),SUMPRODUCT(--ISNUMBER(FIND(MID($B467,{5,6,7,8,9,10,11},1),"0123456789")))=7),1,0))</f>
        <v/>
      </c>
      <c r="G467">
        <f>IF($F467=1,INDEX({10,12,13,14,15,16,17,18,19,20,21,23,24,25,26,27,28,29,30,31,32,34,35,36,37,38},1,FIND(MID($B467,1,1),"ABCDEFGHIJKLMNOPQRSTUVWXYZ")),"")</f>
        <v/>
      </c>
      <c r="H467">
        <f>IF($F467=1,INDEX({10,12,13,14,15,16,17,18,19,20,21,23,24,25,26,27,28,29,30,31,32,34,35,36,37,38},1,FIND(MID($B467,2,1),"ABCDEFGHIJKLMNOPQRSTUVWXYZ")),"")</f>
        <v/>
      </c>
      <c r="I467">
        <f>IF($F467=1,INDEX({10,12,13,14,15,16,17,18,19,20,21,23,24,25,26,27,28,29,30,31,32,34,35,36,37,38},1,FIND(MID($B467,3,1),"ABCDEFGHIJKLMNOPQRSTUVWXYZ")),"")</f>
        <v/>
      </c>
      <c r="J467">
        <f>IF($F467=1,INDEX({10,12,13,14,15,16,17,18,19,20,21,23,24,25,26,27,28,29,30,31,32,34,35,36,37,38},1,FIND(MID($B467,4,1),"ABCDEFGHIJKLMNOPQRSTUVWXYZ")),"")</f>
        <v/>
      </c>
      <c r="K467">
        <f>IF($F467=1,FIND(MID($B467,5,1),"0123456789")-1,"")</f>
        <v/>
      </c>
      <c r="L467">
        <f>IF($F467=1,FIND(MID($B467,6,1),"0123456789")-1,"")</f>
        <v/>
      </c>
      <c r="M467">
        <f>IF($F467=1,FIND(MID($B467,7,1),"0123456789")-1,"")</f>
        <v/>
      </c>
      <c r="N467">
        <f>IF($F467=1,FIND(MID($B467,8,1),"0123456789")-1,"")</f>
        <v/>
      </c>
      <c r="O467">
        <f>IF($F467=1,FIND(MID($B467,9,1),"0123456789")-1,"")</f>
        <v/>
      </c>
      <c r="P467">
        <f>IF($F467=1,FIND(MID($B467,10,1),"0123456789")-1,"")</f>
        <v/>
      </c>
      <c r="Q467">
        <f>IF($F467=1,SUMPRODUCT($G467:$P467,{1,2,4,8,16,32,64,128,256,512}),"")</f>
        <v/>
      </c>
      <c r="R467">
        <f>IF($F467=1,MOD(MOD($Q467,11),10),"")</f>
        <v/>
      </c>
    </row>
    <row r="468">
      <c r="A468" s="6" t="n"/>
      <c r="B468" s="7">
        <f>IF($A468="","",UPPER(SUBSTITUTE(SUBSTITUTE(SUBSTITUTE(SUBSTITUTE(SUBSTITUTE(SUBSTITUTE($A468," ",""),"-",""),".",""),"/",""),"i","I"),"ı","?")))</f>
        <v/>
      </c>
      <c r="C468" s="8">
        <f>IF($F468=1,$R468,"")</f>
        <v/>
      </c>
      <c r="D468" s="7">
        <f>IF($A468="","",IF($F468=0,"Biçim hatalı",IF(FIND(MID($B468,11,1),"0123456789")-1=$R468,"Geçerli","Kontrol hanesi hatalı (doğrusu: "&amp;$R468&amp;")")))</f>
        <v/>
      </c>
      <c r="F468">
        <f>IF($A468="","",IF(AND(LEN($B468)=11,SUMPRODUCT(--ISNUMBER(FIND(MID($B468,{1,2,3},1),"ABCDEFGHIJKLMNOPQRSTUVWXYZ")))=3,ISNUMBER(FIND(MID($B468,4,1),"UJZ")),SUMPRODUCT(--ISNUMBER(FIND(MID($B468,{5,6,7,8,9,10,11},1),"0123456789")))=7),1,0))</f>
        <v/>
      </c>
      <c r="G468">
        <f>IF($F468=1,INDEX({10,12,13,14,15,16,17,18,19,20,21,23,24,25,26,27,28,29,30,31,32,34,35,36,37,38},1,FIND(MID($B468,1,1),"ABCDEFGHIJKLMNOPQRSTUVWXYZ")),"")</f>
        <v/>
      </c>
      <c r="H468">
        <f>IF($F468=1,INDEX({10,12,13,14,15,16,17,18,19,20,21,23,24,25,26,27,28,29,30,31,32,34,35,36,37,38},1,FIND(MID($B468,2,1),"ABCDEFGHIJKLMNOPQRSTUVWXYZ")),"")</f>
        <v/>
      </c>
      <c r="I468">
        <f>IF($F468=1,INDEX({10,12,13,14,15,16,17,18,19,20,21,23,24,25,26,27,28,29,30,31,32,34,35,36,37,38},1,FIND(MID($B468,3,1),"ABCDEFGHIJKLMNOPQRSTUVWXYZ")),"")</f>
        <v/>
      </c>
      <c r="J468">
        <f>IF($F468=1,INDEX({10,12,13,14,15,16,17,18,19,20,21,23,24,25,26,27,28,29,30,31,32,34,35,36,37,38},1,FIND(MID($B468,4,1),"ABCDEFGHIJKLMNOPQRSTUVWXYZ")),"")</f>
        <v/>
      </c>
      <c r="K468">
        <f>IF($F468=1,FIND(MID($B468,5,1),"0123456789")-1,"")</f>
        <v/>
      </c>
      <c r="L468">
        <f>IF($F468=1,FIND(MID($B468,6,1),"0123456789")-1,"")</f>
        <v/>
      </c>
      <c r="M468">
        <f>IF($F468=1,FIND(MID($B468,7,1),"0123456789")-1,"")</f>
        <v/>
      </c>
      <c r="N468">
        <f>IF($F468=1,FIND(MID($B468,8,1),"0123456789")-1,"")</f>
        <v/>
      </c>
      <c r="O468">
        <f>IF($F468=1,FIND(MID($B468,9,1),"0123456789")-1,"")</f>
        <v/>
      </c>
      <c r="P468">
        <f>IF($F468=1,FIND(MID($B468,10,1),"0123456789")-1,"")</f>
        <v/>
      </c>
      <c r="Q468">
        <f>IF($F468=1,SUMPRODUCT($G468:$P468,{1,2,4,8,16,32,64,128,256,512}),"")</f>
        <v/>
      </c>
      <c r="R468">
        <f>IF($F468=1,MOD(MOD($Q468,11),10),"")</f>
        <v/>
      </c>
    </row>
    <row r="469">
      <c r="A469" s="6" t="n"/>
      <c r="B469" s="7">
        <f>IF($A469="","",UPPER(SUBSTITUTE(SUBSTITUTE(SUBSTITUTE(SUBSTITUTE(SUBSTITUTE(SUBSTITUTE($A469," ",""),"-",""),".",""),"/",""),"i","I"),"ı","?")))</f>
        <v/>
      </c>
      <c r="C469" s="8">
        <f>IF($F469=1,$R469,"")</f>
        <v/>
      </c>
      <c r="D469" s="7">
        <f>IF($A469="","",IF($F469=0,"Biçim hatalı",IF(FIND(MID($B469,11,1),"0123456789")-1=$R469,"Geçerli","Kontrol hanesi hatalı (doğrusu: "&amp;$R469&amp;")")))</f>
        <v/>
      </c>
      <c r="F469">
        <f>IF($A469="","",IF(AND(LEN($B469)=11,SUMPRODUCT(--ISNUMBER(FIND(MID($B469,{1,2,3},1),"ABCDEFGHIJKLMNOPQRSTUVWXYZ")))=3,ISNUMBER(FIND(MID($B469,4,1),"UJZ")),SUMPRODUCT(--ISNUMBER(FIND(MID($B469,{5,6,7,8,9,10,11},1),"0123456789")))=7),1,0))</f>
        <v/>
      </c>
      <c r="G469">
        <f>IF($F469=1,INDEX({10,12,13,14,15,16,17,18,19,20,21,23,24,25,26,27,28,29,30,31,32,34,35,36,37,38},1,FIND(MID($B469,1,1),"ABCDEFGHIJKLMNOPQRSTUVWXYZ")),"")</f>
        <v/>
      </c>
      <c r="H469">
        <f>IF($F469=1,INDEX({10,12,13,14,15,16,17,18,19,20,21,23,24,25,26,27,28,29,30,31,32,34,35,36,37,38},1,FIND(MID($B469,2,1),"ABCDEFGHIJKLMNOPQRSTUVWXYZ")),"")</f>
        <v/>
      </c>
      <c r="I469">
        <f>IF($F469=1,INDEX({10,12,13,14,15,16,17,18,19,20,21,23,24,25,26,27,28,29,30,31,32,34,35,36,37,38},1,FIND(MID($B469,3,1),"ABCDEFGHIJKLMNOPQRSTUVWXYZ")),"")</f>
        <v/>
      </c>
      <c r="J469">
        <f>IF($F469=1,INDEX({10,12,13,14,15,16,17,18,19,20,21,23,24,25,26,27,28,29,30,31,32,34,35,36,37,38},1,FIND(MID($B469,4,1),"ABCDEFGHIJKLMNOPQRSTUVWXYZ")),"")</f>
        <v/>
      </c>
      <c r="K469">
        <f>IF($F469=1,FIND(MID($B469,5,1),"0123456789")-1,"")</f>
        <v/>
      </c>
      <c r="L469">
        <f>IF($F469=1,FIND(MID($B469,6,1),"0123456789")-1,"")</f>
        <v/>
      </c>
      <c r="M469">
        <f>IF($F469=1,FIND(MID($B469,7,1),"0123456789")-1,"")</f>
        <v/>
      </c>
      <c r="N469">
        <f>IF($F469=1,FIND(MID($B469,8,1),"0123456789")-1,"")</f>
        <v/>
      </c>
      <c r="O469">
        <f>IF($F469=1,FIND(MID($B469,9,1),"0123456789")-1,"")</f>
        <v/>
      </c>
      <c r="P469">
        <f>IF($F469=1,FIND(MID($B469,10,1),"0123456789")-1,"")</f>
        <v/>
      </c>
      <c r="Q469">
        <f>IF($F469=1,SUMPRODUCT($G469:$P469,{1,2,4,8,16,32,64,128,256,512}),"")</f>
        <v/>
      </c>
      <c r="R469">
        <f>IF($F469=1,MOD(MOD($Q469,11),10),"")</f>
        <v/>
      </c>
    </row>
    <row r="470">
      <c r="A470" s="6" t="n"/>
      <c r="B470" s="7">
        <f>IF($A470="","",UPPER(SUBSTITUTE(SUBSTITUTE(SUBSTITUTE(SUBSTITUTE(SUBSTITUTE(SUBSTITUTE($A470," ",""),"-",""),".",""),"/",""),"i","I"),"ı","?")))</f>
        <v/>
      </c>
      <c r="C470" s="8">
        <f>IF($F470=1,$R470,"")</f>
        <v/>
      </c>
      <c r="D470" s="7">
        <f>IF($A470="","",IF($F470=0,"Biçim hatalı",IF(FIND(MID($B470,11,1),"0123456789")-1=$R470,"Geçerli","Kontrol hanesi hatalı (doğrusu: "&amp;$R470&amp;")")))</f>
        <v/>
      </c>
      <c r="F470">
        <f>IF($A470="","",IF(AND(LEN($B470)=11,SUMPRODUCT(--ISNUMBER(FIND(MID($B470,{1,2,3},1),"ABCDEFGHIJKLMNOPQRSTUVWXYZ")))=3,ISNUMBER(FIND(MID($B470,4,1),"UJZ")),SUMPRODUCT(--ISNUMBER(FIND(MID($B470,{5,6,7,8,9,10,11},1),"0123456789")))=7),1,0))</f>
        <v/>
      </c>
      <c r="G470">
        <f>IF($F470=1,INDEX({10,12,13,14,15,16,17,18,19,20,21,23,24,25,26,27,28,29,30,31,32,34,35,36,37,38},1,FIND(MID($B470,1,1),"ABCDEFGHIJKLMNOPQRSTUVWXYZ")),"")</f>
        <v/>
      </c>
      <c r="H470">
        <f>IF($F470=1,INDEX({10,12,13,14,15,16,17,18,19,20,21,23,24,25,26,27,28,29,30,31,32,34,35,36,37,38},1,FIND(MID($B470,2,1),"ABCDEFGHIJKLMNOPQRSTUVWXYZ")),"")</f>
        <v/>
      </c>
      <c r="I470">
        <f>IF($F470=1,INDEX({10,12,13,14,15,16,17,18,19,20,21,23,24,25,26,27,28,29,30,31,32,34,35,36,37,38},1,FIND(MID($B470,3,1),"ABCDEFGHIJKLMNOPQRSTUVWXYZ")),"")</f>
        <v/>
      </c>
      <c r="J470">
        <f>IF($F470=1,INDEX({10,12,13,14,15,16,17,18,19,20,21,23,24,25,26,27,28,29,30,31,32,34,35,36,37,38},1,FIND(MID($B470,4,1),"ABCDEFGHIJKLMNOPQRSTUVWXYZ")),"")</f>
        <v/>
      </c>
      <c r="K470">
        <f>IF($F470=1,FIND(MID($B470,5,1),"0123456789")-1,"")</f>
        <v/>
      </c>
      <c r="L470">
        <f>IF($F470=1,FIND(MID($B470,6,1),"0123456789")-1,"")</f>
        <v/>
      </c>
      <c r="M470">
        <f>IF($F470=1,FIND(MID($B470,7,1),"0123456789")-1,"")</f>
        <v/>
      </c>
      <c r="N470">
        <f>IF($F470=1,FIND(MID($B470,8,1),"0123456789")-1,"")</f>
        <v/>
      </c>
      <c r="O470">
        <f>IF($F470=1,FIND(MID($B470,9,1),"0123456789")-1,"")</f>
        <v/>
      </c>
      <c r="P470">
        <f>IF($F470=1,FIND(MID($B470,10,1),"0123456789")-1,"")</f>
        <v/>
      </c>
      <c r="Q470">
        <f>IF($F470=1,SUMPRODUCT($G470:$P470,{1,2,4,8,16,32,64,128,256,512}),"")</f>
        <v/>
      </c>
      <c r="R470">
        <f>IF($F470=1,MOD(MOD($Q470,11),10),"")</f>
        <v/>
      </c>
    </row>
    <row r="471">
      <c r="A471" s="6" t="n"/>
      <c r="B471" s="7">
        <f>IF($A471="","",UPPER(SUBSTITUTE(SUBSTITUTE(SUBSTITUTE(SUBSTITUTE(SUBSTITUTE(SUBSTITUTE($A471," ",""),"-",""),".",""),"/",""),"i","I"),"ı","?")))</f>
        <v/>
      </c>
      <c r="C471" s="8">
        <f>IF($F471=1,$R471,"")</f>
        <v/>
      </c>
      <c r="D471" s="7">
        <f>IF($A471="","",IF($F471=0,"Biçim hatalı",IF(FIND(MID($B471,11,1),"0123456789")-1=$R471,"Geçerli","Kontrol hanesi hatalı (doğrusu: "&amp;$R471&amp;")")))</f>
        <v/>
      </c>
      <c r="F471">
        <f>IF($A471="","",IF(AND(LEN($B471)=11,SUMPRODUCT(--ISNUMBER(FIND(MID($B471,{1,2,3},1),"ABCDEFGHIJKLMNOPQRSTUVWXYZ")))=3,ISNUMBER(FIND(MID($B471,4,1),"UJZ")),SUMPRODUCT(--ISNUMBER(FIND(MID($B471,{5,6,7,8,9,10,11},1),"0123456789")))=7),1,0))</f>
        <v/>
      </c>
      <c r="G471">
        <f>IF($F471=1,INDEX({10,12,13,14,15,16,17,18,19,20,21,23,24,25,26,27,28,29,30,31,32,34,35,36,37,38},1,FIND(MID($B471,1,1),"ABCDEFGHIJKLMNOPQRSTUVWXYZ")),"")</f>
        <v/>
      </c>
      <c r="H471">
        <f>IF($F471=1,INDEX({10,12,13,14,15,16,17,18,19,20,21,23,24,25,26,27,28,29,30,31,32,34,35,36,37,38},1,FIND(MID($B471,2,1),"ABCDEFGHIJKLMNOPQRSTUVWXYZ")),"")</f>
        <v/>
      </c>
      <c r="I471">
        <f>IF($F471=1,INDEX({10,12,13,14,15,16,17,18,19,20,21,23,24,25,26,27,28,29,30,31,32,34,35,36,37,38},1,FIND(MID($B471,3,1),"ABCDEFGHIJKLMNOPQRSTUVWXYZ")),"")</f>
        <v/>
      </c>
      <c r="J471">
        <f>IF($F471=1,INDEX({10,12,13,14,15,16,17,18,19,20,21,23,24,25,26,27,28,29,30,31,32,34,35,36,37,38},1,FIND(MID($B471,4,1),"ABCDEFGHIJKLMNOPQRSTUVWXYZ")),"")</f>
        <v/>
      </c>
      <c r="K471">
        <f>IF($F471=1,FIND(MID($B471,5,1),"0123456789")-1,"")</f>
        <v/>
      </c>
      <c r="L471">
        <f>IF($F471=1,FIND(MID($B471,6,1),"0123456789")-1,"")</f>
        <v/>
      </c>
      <c r="M471">
        <f>IF($F471=1,FIND(MID($B471,7,1),"0123456789")-1,"")</f>
        <v/>
      </c>
      <c r="N471">
        <f>IF($F471=1,FIND(MID($B471,8,1),"0123456789")-1,"")</f>
        <v/>
      </c>
      <c r="O471">
        <f>IF($F471=1,FIND(MID($B471,9,1),"0123456789")-1,"")</f>
        <v/>
      </c>
      <c r="P471">
        <f>IF($F471=1,FIND(MID($B471,10,1),"0123456789")-1,"")</f>
        <v/>
      </c>
      <c r="Q471">
        <f>IF($F471=1,SUMPRODUCT($G471:$P471,{1,2,4,8,16,32,64,128,256,512}),"")</f>
        <v/>
      </c>
      <c r="R471">
        <f>IF($F471=1,MOD(MOD($Q471,11),10),"")</f>
        <v/>
      </c>
    </row>
    <row r="472">
      <c r="A472" s="6" t="n"/>
      <c r="B472" s="7">
        <f>IF($A472="","",UPPER(SUBSTITUTE(SUBSTITUTE(SUBSTITUTE(SUBSTITUTE(SUBSTITUTE(SUBSTITUTE($A472," ",""),"-",""),".",""),"/",""),"i","I"),"ı","?")))</f>
        <v/>
      </c>
      <c r="C472" s="8">
        <f>IF($F472=1,$R472,"")</f>
        <v/>
      </c>
      <c r="D472" s="7">
        <f>IF($A472="","",IF($F472=0,"Biçim hatalı",IF(FIND(MID($B472,11,1),"0123456789")-1=$R472,"Geçerli","Kontrol hanesi hatalı (doğrusu: "&amp;$R472&amp;")")))</f>
        <v/>
      </c>
      <c r="F472">
        <f>IF($A472="","",IF(AND(LEN($B472)=11,SUMPRODUCT(--ISNUMBER(FIND(MID($B472,{1,2,3},1),"ABCDEFGHIJKLMNOPQRSTUVWXYZ")))=3,ISNUMBER(FIND(MID($B472,4,1),"UJZ")),SUMPRODUCT(--ISNUMBER(FIND(MID($B472,{5,6,7,8,9,10,11},1),"0123456789")))=7),1,0))</f>
        <v/>
      </c>
      <c r="G472">
        <f>IF($F472=1,INDEX({10,12,13,14,15,16,17,18,19,20,21,23,24,25,26,27,28,29,30,31,32,34,35,36,37,38},1,FIND(MID($B472,1,1),"ABCDEFGHIJKLMNOPQRSTUVWXYZ")),"")</f>
        <v/>
      </c>
      <c r="H472">
        <f>IF($F472=1,INDEX({10,12,13,14,15,16,17,18,19,20,21,23,24,25,26,27,28,29,30,31,32,34,35,36,37,38},1,FIND(MID($B472,2,1),"ABCDEFGHIJKLMNOPQRSTUVWXYZ")),"")</f>
        <v/>
      </c>
      <c r="I472">
        <f>IF($F472=1,INDEX({10,12,13,14,15,16,17,18,19,20,21,23,24,25,26,27,28,29,30,31,32,34,35,36,37,38},1,FIND(MID($B472,3,1),"ABCDEFGHIJKLMNOPQRSTUVWXYZ")),"")</f>
        <v/>
      </c>
      <c r="J472">
        <f>IF($F472=1,INDEX({10,12,13,14,15,16,17,18,19,20,21,23,24,25,26,27,28,29,30,31,32,34,35,36,37,38},1,FIND(MID($B472,4,1),"ABCDEFGHIJKLMNOPQRSTUVWXYZ")),"")</f>
        <v/>
      </c>
      <c r="K472">
        <f>IF($F472=1,FIND(MID($B472,5,1),"0123456789")-1,"")</f>
        <v/>
      </c>
      <c r="L472">
        <f>IF($F472=1,FIND(MID($B472,6,1),"0123456789")-1,"")</f>
        <v/>
      </c>
      <c r="M472">
        <f>IF($F472=1,FIND(MID($B472,7,1),"0123456789")-1,"")</f>
        <v/>
      </c>
      <c r="N472">
        <f>IF($F472=1,FIND(MID($B472,8,1),"0123456789")-1,"")</f>
        <v/>
      </c>
      <c r="O472">
        <f>IF($F472=1,FIND(MID($B472,9,1),"0123456789")-1,"")</f>
        <v/>
      </c>
      <c r="P472">
        <f>IF($F472=1,FIND(MID($B472,10,1),"0123456789")-1,"")</f>
        <v/>
      </c>
      <c r="Q472">
        <f>IF($F472=1,SUMPRODUCT($G472:$P472,{1,2,4,8,16,32,64,128,256,512}),"")</f>
        <v/>
      </c>
      <c r="R472">
        <f>IF($F472=1,MOD(MOD($Q472,11),10),"")</f>
        <v/>
      </c>
    </row>
    <row r="473">
      <c r="A473" s="6" t="n"/>
      <c r="B473" s="7">
        <f>IF($A473="","",UPPER(SUBSTITUTE(SUBSTITUTE(SUBSTITUTE(SUBSTITUTE(SUBSTITUTE(SUBSTITUTE($A473," ",""),"-",""),".",""),"/",""),"i","I"),"ı","?")))</f>
        <v/>
      </c>
      <c r="C473" s="8">
        <f>IF($F473=1,$R473,"")</f>
        <v/>
      </c>
      <c r="D473" s="7">
        <f>IF($A473="","",IF($F473=0,"Biçim hatalı",IF(FIND(MID($B473,11,1),"0123456789")-1=$R473,"Geçerli","Kontrol hanesi hatalı (doğrusu: "&amp;$R473&amp;")")))</f>
        <v/>
      </c>
      <c r="F473">
        <f>IF($A473="","",IF(AND(LEN($B473)=11,SUMPRODUCT(--ISNUMBER(FIND(MID($B473,{1,2,3},1),"ABCDEFGHIJKLMNOPQRSTUVWXYZ")))=3,ISNUMBER(FIND(MID($B473,4,1),"UJZ")),SUMPRODUCT(--ISNUMBER(FIND(MID($B473,{5,6,7,8,9,10,11},1),"0123456789")))=7),1,0))</f>
        <v/>
      </c>
      <c r="G473">
        <f>IF($F473=1,INDEX({10,12,13,14,15,16,17,18,19,20,21,23,24,25,26,27,28,29,30,31,32,34,35,36,37,38},1,FIND(MID($B473,1,1),"ABCDEFGHIJKLMNOPQRSTUVWXYZ")),"")</f>
        <v/>
      </c>
      <c r="H473">
        <f>IF($F473=1,INDEX({10,12,13,14,15,16,17,18,19,20,21,23,24,25,26,27,28,29,30,31,32,34,35,36,37,38},1,FIND(MID($B473,2,1),"ABCDEFGHIJKLMNOPQRSTUVWXYZ")),"")</f>
        <v/>
      </c>
      <c r="I473">
        <f>IF($F473=1,INDEX({10,12,13,14,15,16,17,18,19,20,21,23,24,25,26,27,28,29,30,31,32,34,35,36,37,38},1,FIND(MID($B473,3,1),"ABCDEFGHIJKLMNOPQRSTUVWXYZ")),"")</f>
        <v/>
      </c>
      <c r="J473">
        <f>IF($F473=1,INDEX({10,12,13,14,15,16,17,18,19,20,21,23,24,25,26,27,28,29,30,31,32,34,35,36,37,38},1,FIND(MID($B473,4,1),"ABCDEFGHIJKLMNOPQRSTUVWXYZ")),"")</f>
        <v/>
      </c>
      <c r="K473">
        <f>IF($F473=1,FIND(MID($B473,5,1),"0123456789")-1,"")</f>
        <v/>
      </c>
      <c r="L473">
        <f>IF($F473=1,FIND(MID($B473,6,1),"0123456789")-1,"")</f>
        <v/>
      </c>
      <c r="M473">
        <f>IF($F473=1,FIND(MID($B473,7,1),"0123456789")-1,"")</f>
        <v/>
      </c>
      <c r="N473">
        <f>IF($F473=1,FIND(MID($B473,8,1),"0123456789")-1,"")</f>
        <v/>
      </c>
      <c r="O473">
        <f>IF($F473=1,FIND(MID($B473,9,1),"0123456789")-1,"")</f>
        <v/>
      </c>
      <c r="P473">
        <f>IF($F473=1,FIND(MID($B473,10,1),"0123456789")-1,"")</f>
        <v/>
      </c>
      <c r="Q473">
        <f>IF($F473=1,SUMPRODUCT($G473:$P473,{1,2,4,8,16,32,64,128,256,512}),"")</f>
        <v/>
      </c>
      <c r="R473">
        <f>IF($F473=1,MOD(MOD($Q473,11),10),"")</f>
        <v/>
      </c>
    </row>
    <row r="474">
      <c r="A474" s="6" t="n"/>
      <c r="B474" s="7">
        <f>IF($A474="","",UPPER(SUBSTITUTE(SUBSTITUTE(SUBSTITUTE(SUBSTITUTE(SUBSTITUTE(SUBSTITUTE($A474," ",""),"-",""),".",""),"/",""),"i","I"),"ı","?")))</f>
        <v/>
      </c>
      <c r="C474" s="8">
        <f>IF($F474=1,$R474,"")</f>
        <v/>
      </c>
      <c r="D474" s="7">
        <f>IF($A474="","",IF($F474=0,"Biçim hatalı",IF(FIND(MID($B474,11,1),"0123456789")-1=$R474,"Geçerli","Kontrol hanesi hatalı (doğrusu: "&amp;$R474&amp;")")))</f>
        <v/>
      </c>
      <c r="F474">
        <f>IF($A474="","",IF(AND(LEN($B474)=11,SUMPRODUCT(--ISNUMBER(FIND(MID($B474,{1,2,3},1),"ABCDEFGHIJKLMNOPQRSTUVWXYZ")))=3,ISNUMBER(FIND(MID($B474,4,1),"UJZ")),SUMPRODUCT(--ISNUMBER(FIND(MID($B474,{5,6,7,8,9,10,11},1),"0123456789")))=7),1,0))</f>
        <v/>
      </c>
      <c r="G474">
        <f>IF($F474=1,INDEX({10,12,13,14,15,16,17,18,19,20,21,23,24,25,26,27,28,29,30,31,32,34,35,36,37,38},1,FIND(MID($B474,1,1),"ABCDEFGHIJKLMNOPQRSTUVWXYZ")),"")</f>
        <v/>
      </c>
      <c r="H474">
        <f>IF($F474=1,INDEX({10,12,13,14,15,16,17,18,19,20,21,23,24,25,26,27,28,29,30,31,32,34,35,36,37,38},1,FIND(MID($B474,2,1),"ABCDEFGHIJKLMNOPQRSTUVWXYZ")),"")</f>
        <v/>
      </c>
      <c r="I474">
        <f>IF($F474=1,INDEX({10,12,13,14,15,16,17,18,19,20,21,23,24,25,26,27,28,29,30,31,32,34,35,36,37,38},1,FIND(MID($B474,3,1),"ABCDEFGHIJKLMNOPQRSTUVWXYZ")),"")</f>
        <v/>
      </c>
      <c r="J474">
        <f>IF($F474=1,INDEX({10,12,13,14,15,16,17,18,19,20,21,23,24,25,26,27,28,29,30,31,32,34,35,36,37,38},1,FIND(MID($B474,4,1),"ABCDEFGHIJKLMNOPQRSTUVWXYZ")),"")</f>
        <v/>
      </c>
      <c r="K474">
        <f>IF($F474=1,FIND(MID($B474,5,1),"0123456789")-1,"")</f>
        <v/>
      </c>
      <c r="L474">
        <f>IF($F474=1,FIND(MID($B474,6,1),"0123456789")-1,"")</f>
        <v/>
      </c>
      <c r="M474">
        <f>IF($F474=1,FIND(MID($B474,7,1),"0123456789")-1,"")</f>
        <v/>
      </c>
      <c r="N474">
        <f>IF($F474=1,FIND(MID($B474,8,1),"0123456789")-1,"")</f>
        <v/>
      </c>
      <c r="O474">
        <f>IF($F474=1,FIND(MID($B474,9,1),"0123456789")-1,"")</f>
        <v/>
      </c>
      <c r="P474">
        <f>IF($F474=1,FIND(MID($B474,10,1),"0123456789")-1,"")</f>
        <v/>
      </c>
      <c r="Q474">
        <f>IF($F474=1,SUMPRODUCT($G474:$P474,{1,2,4,8,16,32,64,128,256,512}),"")</f>
        <v/>
      </c>
      <c r="R474">
        <f>IF($F474=1,MOD(MOD($Q474,11),10),"")</f>
        <v/>
      </c>
    </row>
    <row r="475">
      <c r="A475" s="6" t="n"/>
      <c r="B475" s="7">
        <f>IF($A475="","",UPPER(SUBSTITUTE(SUBSTITUTE(SUBSTITUTE(SUBSTITUTE(SUBSTITUTE(SUBSTITUTE($A475," ",""),"-",""),".",""),"/",""),"i","I"),"ı","?")))</f>
        <v/>
      </c>
      <c r="C475" s="8">
        <f>IF($F475=1,$R475,"")</f>
        <v/>
      </c>
      <c r="D475" s="7">
        <f>IF($A475="","",IF($F475=0,"Biçim hatalı",IF(FIND(MID($B475,11,1),"0123456789")-1=$R475,"Geçerli","Kontrol hanesi hatalı (doğrusu: "&amp;$R475&amp;")")))</f>
        <v/>
      </c>
      <c r="F475">
        <f>IF($A475="","",IF(AND(LEN($B475)=11,SUMPRODUCT(--ISNUMBER(FIND(MID($B475,{1,2,3},1),"ABCDEFGHIJKLMNOPQRSTUVWXYZ")))=3,ISNUMBER(FIND(MID($B475,4,1),"UJZ")),SUMPRODUCT(--ISNUMBER(FIND(MID($B475,{5,6,7,8,9,10,11},1),"0123456789")))=7),1,0))</f>
        <v/>
      </c>
      <c r="G475">
        <f>IF($F475=1,INDEX({10,12,13,14,15,16,17,18,19,20,21,23,24,25,26,27,28,29,30,31,32,34,35,36,37,38},1,FIND(MID($B475,1,1),"ABCDEFGHIJKLMNOPQRSTUVWXYZ")),"")</f>
        <v/>
      </c>
      <c r="H475">
        <f>IF($F475=1,INDEX({10,12,13,14,15,16,17,18,19,20,21,23,24,25,26,27,28,29,30,31,32,34,35,36,37,38},1,FIND(MID($B475,2,1),"ABCDEFGHIJKLMNOPQRSTUVWXYZ")),"")</f>
        <v/>
      </c>
      <c r="I475">
        <f>IF($F475=1,INDEX({10,12,13,14,15,16,17,18,19,20,21,23,24,25,26,27,28,29,30,31,32,34,35,36,37,38},1,FIND(MID($B475,3,1),"ABCDEFGHIJKLMNOPQRSTUVWXYZ")),"")</f>
        <v/>
      </c>
      <c r="J475">
        <f>IF($F475=1,INDEX({10,12,13,14,15,16,17,18,19,20,21,23,24,25,26,27,28,29,30,31,32,34,35,36,37,38},1,FIND(MID($B475,4,1),"ABCDEFGHIJKLMNOPQRSTUVWXYZ")),"")</f>
        <v/>
      </c>
      <c r="K475">
        <f>IF($F475=1,FIND(MID($B475,5,1),"0123456789")-1,"")</f>
        <v/>
      </c>
      <c r="L475">
        <f>IF($F475=1,FIND(MID($B475,6,1),"0123456789")-1,"")</f>
        <v/>
      </c>
      <c r="M475">
        <f>IF($F475=1,FIND(MID($B475,7,1),"0123456789")-1,"")</f>
        <v/>
      </c>
      <c r="N475">
        <f>IF($F475=1,FIND(MID($B475,8,1),"0123456789")-1,"")</f>
        <v/>
      </c>
      <c r="O475">
        <f>IF($F475=1,FIND(MID($B475,9,1),"0123456789")-1,"")</f>
        <v/>
      </c>
      <c r="P475">
        <f>IF($F475=1,FIND(MID($B475,10,1),"0123456789")-1,"")</f>
        <v/>
      </c>
      <c r="Q475">
        <f>IF($F475=1,SUMPRODUCT($G475:$P475,{1,2,4,8,16,32,64,128,256,512}),"")</f>
        <v/>
      </c>
      <c r="R475">
        <f>IF($F475=1,MOD(MOD($Q475,11),10),"")</f>
        <v/>
      </c>
    </row>
    <row r="476">
      <c r="A476" s="6" t="n"/>
      <c r="B476" s="7">
        <f>IF($A476="","",UPPER(SUBSTITUTE(SUBSTITUTE(SUBSTITUTE(SUBSTITUTE(SUBSTITUTE(SUBSTITUTE($A476," ",""),"-",""),".",""),"/",""),"i","I"),"ı","?")))</f>
        <v/>
      </c>
      <c r="C476" s="8">
        <f>IF($F476=1,$R476,"")</f>
        <v/>
      </c>
      <c r="D476" s="7">
        <f>IF($A476="","",IF($F476=0,"Biçim hatalı",IF(FIND(MID($B476,11,1),"0123456789")-1=$R476,"Geçerli","Kontrol hanesi hatalı (doğrusu: "&amp;$R476&amp;")")))</f>
        <v/>
      </c>
      <c r="F476">
        <f>IF($A476="","",IF(AND(LEN($B476)=11,SUMPRODUCT(--ISNUMBER(FIND(MID($B476,{1,2,3},1),"ABCDEFGHIJKLMNOPQRSTUVWXYZ")))=3,ISNUMBER(FIND(MID($B476,4,1),"UJZ")),SUMPRODUCT(--ISNUMBER(FIND(MID($B476,{5,6,7,8,9,10,11},1),"0123456789")))=7),1,0))</f>
        <v/>
      </c>
      <c r="G476">
        <f>IF($F476=1,INDEX({10,12,13,14,15,16,17,18,19,20,21,23,24,25,26,27,28,29,30,31,32,34,35,36,37,38},1,FIND(MID($B476,1,1),"ABCDEFGHIJKLMNOPQRSTUVWXYZ")),"")</f>
        <v/>
      </c>
      <c r="H476">
        <f>IF($F476=1,INDEX({10,12,13,14,15,16,17,18,19,20,21,23,24,25,26,27,28,29,30,31,32,34,35,36,37,38},1,FIND(MID($B476,2,1),"ABCDEFGHIJKLMNOPQRSTUVWXYZ")),"")</f>
        <v/>
      </c>
      <c r="I476">
        <f>IF($F476=1,INDEX({10,12,13,14,15,16,17,18,19,20,21,23,24,25,26,27,28,29,30,31,32,34,35,36,37,38},1,FIND(MID($B476,3,1),"ABCDEFGHIJKLMNOPQRSTUVWXYZ")),"")</f>
        <v/>
      </c>
      <c r="J476">
        <f>IF($F476=1,INDEX({10,12,13,14,15,16,17,18,19,20,21,23,24,25,26,27,28,29,30,31,32,34,35,36,37,38},1,FIND(MID($B476,4,1),"ABCDEFGHIJKLMNOPQRSTUVWXYZ")),"")</f>
        <v/>
      </c>
      <c r="K476">
        <f>IF($F476=1,FIND(MID($B476,5,1),"0123456789")-1,"")</f>
        <v/>
      </c>
      <c r="L476">
        <f>IF($F476=1,FIND(MID($B476,6,1),"0123456789")-1,"")</f>
        <v/>
      </c>
      <c r="M476">
        <f>IF($F476=1,FIND(MID($B476,7,1),"0123456789")-1,"")</f>
        <v/>
      </c>
      <c r="N476">
        <f>IF($F476=1,FIND(MID($B476,8,1),"0123456789")-1,"")</f>
        <v/>
      </c>
      <c r="O476">
        <f>IF($F476=1,FIND(MID($B476,9,1),"0123456789")-1,"")</f>
        <v/>
      </c>
      <c r="P476">
        <f>IF($F476=1,FIND(MID($B476,10,1),"0123456789")-1,"")</f>
        <v/>
      </c>
      <c r="Q476">
        <f>IF($F476=1,SUMPRODUCT($G476:$P476,{1,2,4,8,16,32,64,128,256,512}),"")</f>
        <v/>
      </c>
      <c r="R476">
        <f>IF($F476=1,MOD(MOD($Q476,11),10),"")</f>
        <v/>
      </c>
    </row>
    <row r="477">
      <c r="A477" s="6" t="n"/>
      <c r="B477" s="7">
        <f>IF($A477="","",UPPER(SUBSTITUTE(SUBSTITUTE(SUBSTITUTE(SUBSTITUTE(SUBSTITUTE(SUBSTITUTE($A477," ",""),"-",""),".",""),"/",""),"i","I"),"ı","?")))</f>
        <v/>
      </c>
      <c r="C477" s="8">
        <f>IF($F477=1,$R477,"")</f>
        <v/>
      </c>
      <c r="D477" s="7">
        <f>IF($A477="","",IF($F477=0,"Biçim hatalı",IF(FIND(MID($B477,11,1),"0123456789")-1=$R477,"Geçerli","Kontrol hanesi hatalı (doğrusu: "&amp;$R477&amp;")")))</f>
        <v/>
      </c>
      <c r="F477">
        <f>IF($A477="","",IF(AND(LEN($B477)=11,SUMPRODUCT(--ISNUMBER(FIND(MID($B477,{1,2,3},1),"ABCDEFGHIJKLMNOPQRSTUVWXYZ")))=3,ISNUMBER(FIND(MID($B477,4,1),"UJZ")),SUMPRODUCT(--ISNUMBER(FIND(MID($B477,{5,6,7,8,9,10,11},1),"0123456789")))=7),1,0))</f>
        <v/>
      </c>
      <c r="G477">
        <f>IF($F477=1,INDEX({10,12,13,14,15,16,17,18,19,20,21,23,24,25,26,27,28,29,30,31,32,34,35,36,37,38},1,FIND(MID($B477,1,1),"ABCDEFGHIJKLMNOPQRSTUVWXYZ")),"")</f>
        <v/>
      </c>
      <c r="H477">
        <f>IF($F477=1,INDEX({10,12,13,14,15,16,17,18,19,20,21,23,24,25,26,27,28,29,30,31,32,34,35,36,37,38},1,FIND(MID($B477,2,1),"ABCDEFGHIJKLMNOPQRSTUVWXYZ")),"")</f>
        <v/>
      </c>
      <c r="I477">
        <f>IF($F477=1,INDEX({10,12,13,14,15,16,17,18,19,20,21,23,24,25,26,27,28,29,30,31,32,34,35,36,37,38},1,FIND(MID($B477,3,1),"ABCDEFGHIJKLMNOPQRSTUVWXYZ")),"")</f>
        <v/>
      </c>
      <c r="J477">
        <f>IF($F477=1,INDEX({10,12,13,14,15,16,17,18,19,20,21,23,24,25,26,27,28,29,30,31,32,34,35,36,37,38},1,FIND(MID($B477,4,1),"ABCDEFGHIJKLMNOPQRSTUVWXYZ")),"")</f>
        <v/>
      </c>
      <c r="K477">
        <f>IF($F477=1,FIND(MID($B477,5,1),"0123456789")-1,"")</f>
        <v/>
      </c>
      <c r="L477">
        <f>IF($F477=1,FIND(MID($B477,6,1),"0123456789")-1,"")</f>
        <v/>
      </c>
      <c r="M477">
        <f>IF($F477=1,FIND(MID($B477,7,1),"0123456789")-1,"")</f>
        <v/>
      </c>
      <c r="N477">
        <f>IF($F477=1,FIND(MID($B477,8,1),"0123456789")-1,"")</f>
        <v/>
      </c>
      <c r="O477">
        <f>IF($F477=1,FIND(MID($B477,9,1),"0123456789")-1,"")</f>
        <v/>
      </c>
      <c r="P477">
        <f>IF($F477=1,FIND(MID($B477,10,1),"0123456789")-1,"")</f>
        <v/>
      </c>
      <c r="Q477">
        <f>IF($F477=1,SUMPRODUCT($G477:$P477,{1,2,4,8,16,32,64,128,256,512}),"")</f>
        <v/>
      </c>
      <c r="R477">
        <f>IF($F477=1,MOD(MOD($Q477,11),10),"")</f>
        <v/>
      </c>
    </row>
    <row r="478">
      <c r="A478" s="6" t="n"/>
      <c r="B478" s="7">
        <f>IF($A478="","",UPPER(SUBSTITUTE(SUBSTITUTE(SUBSTITUTE(SUBSTITUTE(SUBSTITUTE(SUBSTITUTE($A478," ",""),"-",""),".",""),"/",""),"i","I"),"ı","?")))</f>
        <v/>
      </c>
      <c r="C478" s="8">
        <f>IF($F478=1,$R478,"")</f>
        <v/>
      </c>
      <c r="D478" s="7">
        <f>IF($A478="","",IF($F478=0,"Biçim hatalı",IF(FIND(MID($B478,11,1),"0123456789")-1=$R478,"Geçerli","Kontrol hanesi hatalı (doğrusu: "&amp;$R478&amp;")")))</f>
        <v/>
      </c>
      <c r="F478">
        <f>IF($A478="","",IF(AND(LEN($B478)=11,SUMPRODUCT(--ISNUMBER(FIND(MID($B478,{1,2,3},1),"ABCDEFGHIJKLMNOPQRSTUVWXYZ")))=3,ISNUMBER(FIND(MID($B478,4,1),"UJZ")),SUMPRODUCT(--ISNUMBER(FIND(MID($B478,{5,6,7,8,9,10,11},1),"0123456789")))=7),1,0))</f>
        <v/>
      </c>
      <c r="G478">
        <f>IF($F478=1,INDEX({10,12,13,14,15,16,17,18,19,20,21,23,24,25,26,27,28,29,30,31,32,34,35,36,37,38},1,FIND(MID($B478,1,1),"ABCDEFGHIJKLMNOPQRSTUVWXYZ")),"")</f>
        <v/>
      </c>
      <c r="H478">
        <f>IF($F478=1,INDEX({10,12,13,14,15,16,17,18,19,20,21,23,24,25,26,27,28,29,30,31,32,34,35,36,37,38},1,FIND(MID($B478,2,1),"ABCDEFGHIJKLMNOPQRSTUVWXYZ")),"")</f>
        <v/>
      </c>
      <c r="I478">
        <f>IF($F478=1,INDEX({10,12,13,14,15,16,17,18,19,20,21,23,24,25,26,27,28,29,30,31,32,34,35,36,37,38},1,FIND(MID($B478,3,1),"ABCDEFGHIJKLMNOPQRSTUVWXYZ")),"")</f>
        <v/>
      </c>
      <c r="J478">
        <f>IF($F478=1,INDEX({10,12,13,14,15,16,17,18,19,20,21,23,24,25,26,27,28,29,30,31,32,34,35,36,37,38},1,FIND(MID($B478,4,1),"ABCDEFGHIJKLMNOPQRSTUVWXYZ")),"")</f>
        <v/>
      </c>
      <c r="K478">
        <f>IF($F478=1,FIND(MID($B478,5,1),"0123456789")-1,"")</f>
        <v/>
      </c>
      <c r="L478">
        <f>IF($F478=1,FIND(MID($B478,6,1),"0123456789")-1,"")</f>
        <v/>
      </c>
      <c r="M478">
        <f>IF($F478=1,FIND(MID($B478,7,1),"0123456789")-1,"")</f>
        <v/>
      </c>
      <c r="N478">
        <f>IF($F478=1,FIND(MID($B478,8,1),"0123456789")-1,"")</f>
        <v/>
      </c>
      <c r="O478">
        <f>IF($F478=1,FIND(MID($B478,9,1),"0123456789")-1,"")</f>
        <v/>
      </c>
      <c r="P478">
        <f>IF($F478=1,FIND(MID($B478,10,1),"0123456789")-1,"")</f>
        <v/>
      </c>
      <c r="Q478">
        <f>IF($F478=1,SUMPRODUCT($G478:$P478,{1,2,4,8,16,32,64,128,256,512}),"")</f>
        <v/>
      </c>
      <c r="R478">
        <f>IF($F478=1,MOD(MOD($Q478,11),10),"")</f>
        <v/>
      </c>
    </row>
    <row r="479">
      <c r="A479" s="6" t="n"/>
      <c r="B479" s="7">
        <f>IF($A479="","",UPPER(SUBSTITUTE(SUBSTITUTE(SUBSTITUTE(SUBSTITUTE(SUBSTITUTE(SUBSTITUTE($A479," ",""),"-",""),".",""),"/",""),"i","I"),"ı","?")))</f>
        <v/>
      </c>
      <c r="C479" s="8">
        <f>IF($F479=1,$R479,"")</f>
        <v/>
      </c>
      <c r="D479" s="7">
        <f>IF($A479="","",IF($F479=0,"Biçim hatalı",IF(FIND(MID($B479,11,1),"0123456789")-1=$R479,"Geçerli","Kontrol hanesi hatalı (doğrusu: "&amp;$R479&amp;")")))</f>
        <v/>
      </c>
      <c r="F479">
        <f>IF($A479="","",IF(AND(LEN($B479)=11,SUMPRODUCT(--ISNUMBER(FIND(MID($B479,{1,2,3},1),"ABCDEFGHIJKLMNOPQRSTUVWXYZ")))=3,ISNUMBER(FIND(MID($B479,4,1),"UJZ")),SUMPRODUCT(--ISNUMBER(FIND(MID($B479,{5,6,7,8,9,10,11},1),"0123456789")))=7),1,0))</f>
        <v/>
      </c>
      <c r="G479">
        <f>IF($F479=1,INDEX({10,12,13,14,15,16,17,18,19,20,21,23,24,25,26,27,28,29,30,31,32,34,35,36,37,38},1,FIND(MID($B479,1,1),"ABCDEFGHIJKLMNOPQRSTUVWXYZ")),"")</f>
        <v/>
      </c>
      <c r="H479">
        <f>IF($F479=1,INDEX({10,12,13,14,15,16,17,18,19,20,21,23,24,25,26,27,28,29,30,31,32,34,35,36,37,38},1,FIND(MID($B479,2,1),"ABCDEFGHIJKLMNOPQRSTUVWXYZ")),"")</f>
        <v/>
      </c>
      <c r="I479">
        <f>IF($F479=1,INDEX({10,12,13,14,15,16,17,18,19,20,21,23,24,25,26,27,28,29,30,31,32,34,35,36,37,38},1,FIND(MID($B479,3,1),"ABCDEFGHIJKLMNOPQRSTUVWXYZ")),"")</f>
        <v/>
      </c>
      <c r="J479">
        <f>IF($F479=1,INDEX({10,12,13,14,15,16,17,18,19,20,21,23,24,25,26,27,28,29,30,31,32,34,35,36,37,38},1,FIND(MID($B479,4,1),"ABCDEFGHIJKLMNOPQRSTUVWXYZ")),"")</f>
        <v/>
      </c>
      <c r="K479">
        <f>IF($F479=1,FIND(MID($B479,5,1),"0123456789")-1,"")</f>
        <v/>
      </c>
      <c r="L479">
        <f>IF($F479=1,FIND(MID($B479,6,1),"0123456789")-1,"")</f>
        <v/>
      </c>
      <c r="M479">
        <f>IF($F479=1,FIND(MID($B479,7,1),"0123456789")-1,"")</f>
        <v/>
      </c>
      <c r="N479">
        <f>IF($F479=1,FIND(MID($B479,8,1),"0123456789")-1,"")</f>
        <v/>
      </c>
      <c r="O479">
        <f>IF($F479=1,FIND(MID($B479,9,1),"0123456789")-1,"")</f>
        <v/>
      </c>
      <c r="P479">
        <f>IF($F479=1,FIND(MID($B479,10,1),"0123456789")-1,"")</f>
        <v/>
      </c>
      <c r="Q479">
        <f>IF($F479=1,SUMPRODUCT($G479:$P479,{1,2,4,8,16,32,64,128,256,512}),"")</f>
        <v/>
      </c>
      <c r="R479">
        <f>IF($F479=1,MOD(MOD($Q479,11),10),"")</f>
        <v/>
      </c>
    </row>
    <row r="480">
      <c r="A480" s="6" t="n"/>
      <c r="B480" s="7">
        <f>IF($A480="","",UPPER(SUBSTITUTE(SUBSTITUTE(SUBSTITUTE(SUBSTITUTE(SUBSTITUTE(SUBSTITUTE($A480," ",""),"-",""),".",""),"/",""),"i","I"),"ı","?")))</f>
        <v/>
      </c>
      <c r="C480" s="8">
        <f>IF($F480=1,$R480,"")</f>
        <v/>
      </c>
      <c r="D480" s="7">
        <f>IF($A480="","",IF($F480=0,"Biçim hatalı",IF(FIND(MID($B480,11,1),"0123456789")-1=$R480,"Geçerli","Kontrol hanesi hatalı (doğrusu: "&amp;$R480&amp;")")))</f>
        <v/>
      </c>
      <c r="F480">
        <f>IF($A480="","",IF(AND(LEN($B480)=11,SUMPRODUCT(--ISNUMBER(FIND(MID($B480,{1,2,3},1),"ABCDEFGHIJKLMNOPQRSTUVWXYZ")))=3,ISNUMBER(FIND(MID($B480,4,1),"UJZ")),SUMPRODUCT(--ISNUMBER(FIND(MID($B480,{5,6,7,8,9,10,11},1),"0123456789")))=7),1,0))</f>
        <v/>
      </c>
      <c r="G480">
        <f>IF($F480=1,INDEX({10,12,13,14,15,16,17,18,19,20,21,23,24,25,26,27,28,29,30,31,32,34,35,36,37,38},1,FIND(MID($B480,1,1),"ABCDEFGHIJKLMNOPQRSTUVWXYZ")),"")</f>
        <v/>
      </c>
      <c r="H480">
        <f>IF($F480=1,INDEX({10,12,13,14,15,16,17,18,19,20,21,23,24,25,26,27,28,29,30,31,32,34,35,36,37,38},1,FIND(MID($B480,2,1),"ABCDEFGHIJKLMNOPQRSTUVWXYZ")),"")</f>
        <v/>
      </c>
      <c r="I480">
        <f>IF($F480=1,INDEX({10,12,13,14,15,16,17,18,19,20,21,23,24,25,26,27,28,29,30,31,32,34,35,36,37,38},1,FIND(MID($B480,3,1),"ABCDEFGHIJKLMNOPQRSTUVWXYZ")),"")</f>
        <v/>
      </c>
      <c r="J480">
        <f>IF($F480=1,INDEX({10,12,13,14,15,16,17,18,19,20,21,23,24,25,26,27,28,29,30,31,32,34,35,36,37,38},1,FIND(MID($B480,4,1),"ABCDEFGHIJKLMNOPQRSTUVWXYZ")),"")</f>
        <v/>
      </c>
      <c r="K480">
        <f>IF($F480=1,FIND(MID($B480,5,1),"0123456789")-1,"")</f>
        <v/>
      </c>
      <c r="L480">
        <f>IF($F480=1,FIND(MID($B480,6,1),"0123456789")-1,"")</f>
        <v/>
      </c>
      <c r="M480">
        <f>IF($F480=1,FIND(MID($B480,7,1),"0123456789")-1,"")</f>
        <v/>
      </c>
      <c r="N480">
        <f>IF($F480=1,FIND(MID($B480,8,1),"0123456789")-1,"")</f>
        <v/>
      </c>
      <c r="O480">
        <f>IF($F480=1,FIND(MID($B480,9,1),"0123456789")-1,"")</f>
        <v/>
      </c>
      <c r="P480">
        <f>IF($F480=1,FIND(MID($B480,10,1),"0123456789")-1,"")</f>
        <v/>
      </c>
      <c r="Q480">
        <f>IF($F480=1,SUMPRODUCT($G480:$P480,{1,2,4,8,16,32,64,128,256,512}),"")</f>
        <v/>
      </c>
      <c r="R480">
        <f>IF($F480=1,MOD(MOD($Q480,11),10),"")</f>
        <v/>
      </c>
    </row>
    <row r="481">
      <c r="A481" s="6" t="n"/>
      <c r="B481" s="7">
        <f>IF($A481="","",UPPER(SUBSTITUTE(SUBSTITUTE(SUBSTITUTE(SUBSTITUTE(SUBSTITUTE(SUBSTITUTE($A481," ",""),"-",""),".",""),"/",""),"i","I"),"ı","?")))</f>
        <v/>
      </c>
      <c r="C481" s="8">
        <f>IF($F481=1,$R481,"")</f>
        <v/>
      </c>
      <c r="D481" s="7">
        <f>IF($A481="","",IF($F481=0,"Biçim hatalı",IF(FIND(MID($B481,11,1),"0123456789")-1=$R481,"Geçerli","Kontrol hanesi hatalı (doğrusu: "&amp;$R481&amp;")")))</f>
        <v/>
      </c>
      <c r="F481">
        <f>IF($A481="","",IF(AND(LEN($B481)=11,SUMPRODUCT(--ISNUMBER(FIND(MID($B481,{1,2,3},1),"ABCDEFGHIJKLMNOPQRSTUVWXYZ")))=3,ISNUMBER(FIND(MID($B481,4,1),"UJZ")),SUMPRODUCT(--ISNUMBER(FIND(MID($B481,{5,6,7,8,9,10,11},1),"0123456789")))=7),1,0))</f>
        <v/>
      </c>
      <c r="G481">
        <f>IF($F481=1,INDEX({10,12,13,14,15,16,17,18,19,20,21,23,24,25,26,27,28,29,30,31,32,34,35,36,37,38},1,FIND(MID($B481,1,1),"ABCDEFGHIJKLMNOPQRSTUVWXYZ")),"")</f>
        <v/>
      </c>
      <c r="H481">
        <f>IF($F481=1,INDEX({10,12,13,14,15,16,17,18,19,20,21,23,24,25,26,27,28,29,30,31,32,34,35,36,37,38},1,FIND(MID($B481,2,1),"ABCDEFGHIJKLMNOPQRSTUVWXYZ")),"")</f>
        <v/>
      </c>
      <c r="I481">
        <f>IF($F481=1,INDEX({10,12,13,14,15,16,17,18,19,20,21,23,24,25,26,27,28,29,30,31,32,34,35,36,37,38},1,FIND(MID($B481,3,1),"ABCDEFGHIJKLMNOPQRSTUVWXYZ")),"")</f>
        <v/>
      </c>
      <c r="J481">
        <f>IF($F481=1,INDEX({10,12,13,14,15,16,17,18,19,20,21,23,24,25,26,27,28,29,30,31,32,34,35,36,37,38},1,FIND(MID($B481,4,1),"ABCDEFGHIJKLMNOPQRSTUVWXYZ")),"")</f>
        <v/>
      </c>
      <c r="K481">
        <f>IF($F481=1,FIND(MID($B481,5,1),"0123456789")-1,"")</f>
        <v/>
      </c>
      <c r="L481">
        <f>IF($F481=1,FIND(MID($B481,6,1),"0123456789")-1,"")</f>
        <v/>
      </c>
      <c r="M481">
        <f>IF($F481=1,FIND(MID($B481,7,1),"0123456789")-1,"")</f>
        <v/>
      </c>
      <c r="N481">
        <f>IF($F481=1,FIND(MID($B481,8,1),"0123456789")-1,"")</f>
        <v/>
      </c>
      <c r="O481">
        <f>IF($F481=1,FIND(MID($B481,9,1),"0123456789")-1,"")</f>
        <v/>
      </c>
      <c r="P481">
        <f>IF($F481=1,FIND(MID($B481,10,1),"0123456789")-1,"")</f>
        <v/>
      </c>
      <c r="Q481">
        <f>IF($F481=1,SUMPRODUCT($G481:$P481,{1,2,4,8,16,32,64,128,256,512}),"")</f>
        <v/>
      </c>
      <c r="R481">
        <f>IF($F481=1,MOD(MOD($Q481,11),10),"")</f>
        <v/>
      </c>
    </row>
    <row r="482">
      <c r="A482" s="6" t="n"/>
      <c r="B482" s="7">
        <f>IF($A482="","",UPPER(SUBSTITUTE(SUBSTITUTE(SUBSTITUTE(SUBSTITUTE(SUBSTITUTE(SUBSTITUTE($A482," ",""),"-",""),".",""),"/",""),"i","I"),"ı","?")))</f>
        <v/>
      </c>
      <c r="C482" s="8">
        <f>IF($F482=1,$R482,"")</f>
        <v/>
      </c>
      <c r="D482" s="7">
        <f>IF($A482="","",IF($F482=0,"Biçim hatalı",IF(FIND(MID($B482,11,1),"0123456789")-1=$R482,"Geçerli","Kontrol hanesi hatalı (doğrusu: "&amp;$R482&amp;")")))</f>
        <v/>
      </c>
      <c r="F482">
        <f>IF($A482="","",IF(AND(LEN($B482)=11,SUMPRODUCT(--ISNUMBER(FIND(MID($B482,{1,2,3},1),"ABCDEFGHIJKLMNOPQRSTUVWXYZ")))=3,ISNUMBER(FIND(MID($B482,4,1),"UJZ")),SUMPRODUCT(--ISNUMBER(FIND(MID($B482,{5,6,7,8,9,10,11},1),"0123456789")))=7),1,0))</f>
        <v/>
      </c>
      <c r="G482">
        <f>IF($F482=1,INDEX({10,12,13,14,15,16,17,18,19,20,21,23,24,25,26,27,28,29,30,31,32,34,35,36,37,38},1,FIND(MID($B482,1,1),"ABCDEFGHIJKLMNOPQRSTUVWXYZ")),"")</f>
        <v/>
      </c>
      <c r="H482">
        <f>IF($F482=1,INDEX({10,12,13,14,15,16,17,18,19,20,21,23,24,25,26,27,28,29,30,31,32,34,35,36,37,38},1,FIND(MID($B482,2,1),"ABCDEFGHIJKLMNOPQRSTUVWXYZ")),"")</f>
        <v/>
      </c>
      <c r="I482">
        <f>IF($F482=1,INDEX({10,12,13,14,15,16,17,18,19,20,21,23,24,25,26,27,28,29,30,31,32,34,35,36,37,38},1,FIND(MID($B482,3,1),"ABCDEFGHIJKLMNOPQRSTUVWXYZ")),"")</f>
        <v/>
      </c>
      <c r="J482">
        <f>IF($F482=1,INDEX({10,12,13,14,15,16,17,18,19,20,21,23,24,25,26,27,28,29,30,31,32,34,35,36,37,38},1,FIND(MID($B482,4,1),"ABCDEFGHIJKLMNOPQRSTUVWXYZ")),"")</f>
        <v/>
      </c>
      <c r="K482">
        <f>IF($F482=1,FIND(MID($B482,5,1),"0123456789")-1,"")</f>
        <v/>
      </c>
      <c r="L482">
        <f>IF($F482=1,FIND(MID($B482,6,1),"0123456789")-1,"")</f>
        <v/>
      </c>
      <c r="M482">
        <f>IF($F482=1,FIND(MID($B482,7,1),"0123456789")-1,"")</f>
        <v/>
      </c>
      <c r="N482">
        <f>IF($F482=1,FIND(MID($B482,8,1),"0123456789")-1,"")</f>
        <v/>
      </c>
      <c r="O482">
        <f>IF($F482=1,FIND(MID($B482,9,1),"0123456789")-1,"")</f>
        <v/>
      </c>
      <c r="P482">
        <f>IF($F482=1,FIND(MID($B482,10,1),"0123456789")-1,"")</f>
        <v/>
      </c>
      <c r="Q482">
        <f>IF($F482=1,SUMPRODUCT($G482:$P482,{1,2,4,8,16,32,64,128,256,512}),"")</f>
        <v/>
      </c>
      <c r="R482">
        <f>IF($F482=1,MOD(MOD($Q482,11),10),"")</f>
        <v/>
      </c>
    </row>
    <row r="483">
      <c r="A483" s="6" t="n"/>
      <c r="B483" s="7">
        <f>IF($A483="","",UPPER(SUBSTITUTE(SUBSTITUTE(SUBSTITUTE(SUBSTITUTE(SUBSTITUTE(SUBSTITUTE($A483," ",""),"-",""),".",""),"/",""),"i","I"),"ı","?")))</f>
        <v/>
      </c>
      <c r="C483" s="8">
        <f>IF($F483=1,$R483,"")</f>
        <v/>
      </c>
      <c r="D483" s="7">
        <f>IF($A483="","",IF($F483=0,"Biçim hatalı",IF(FIND(MID($B483,11,1),"0123456789")-1=$R483,"Geçerli","Kontrol hanesi hatalı (doğrusu: "&amp;$R483&amp;")")))</f>
        <v/>
      </c>
      <c r="F483">
        <f>IF($A483="","",IF(AND(LEN($B483)=11,SUMPRODUCT(--ISNUMBER(FIND(MID($B483,{1,2,3},1),"ABCDEFGHIJKLMNOPQRSTUVWXYZ")))=3,ISNUMBER(FIND(MID($B483,4,1),"UJZ")),SUMPRODUCT(--ISNUMBER(FIND(MID($B483,{5,6,7,8,9,10,11},1),"0123456789")))=7),1,0))</f>
        <v/>
      </c>
      <c r="G483">
        <f>IF($F483=1,INDEX({10,12,13,14,15,16,17,18,19,20,21,23,24,25,26,27,28,29,30,31,32,34,35,36,37,38},1,FIND(MID($B483,1,1),"ABCDEFGHIJKLMNOPQRSTUVWXYZ")),"")</f>
        <v/>
      </c>
      <c r="H483">
        <f>IF($F483=1,INDEX({10,12,13,14,15,16,17,18,19,20,21,23,24,25,26,27,28,29,30,31,32,34,35,36,37,38},1,FIND(MID($B483,2,1),"ABCDEFGHIJKLMNOPQRSTUVWXYZ")),"")</f>
        <v/>
      </c>
      <c r="I483">
        <f>IF($F483=1,INDEX({10,12,13,14,15,16,17,18,19,20,21,23,24,25,26,27,28,29,30,31,32,34,35,36,37,38},1,FIND(MID($B483,3,1),"ABCDEFGHIJKLMNOPQRSTUVWXYZ")),"")</f>
        <v/>
      </c>
      <c r="J483">
        <f>IF($F483=1,INDEX({10,12,13,14,15,16,17,18,19,20,21,23,24,25,26,27,28,29,30,31,32,34,35,36,37,38},1,FIND(MID($B483,4,1),"ABCDEFGHIJKLMNOPQRSTUVWXYZ")),"")</f>
        <v/>
      </c>
      <c r="K483">
        <f>IF($F483=1,FIND(MID($B483,5,1),"0123456789")-1,"")</f>
        <v/>
      </c>
      <c r="L483">
        <f>IF($F483=1,FIND(MID($B483,6,1),"0123456789")-1,"")</f>
        <v/>
      </c>
      <c r="M483">
        <f>IF($F483=1,FIND(MID($B483,7,1),"0123456789")-1,"")</f>
        <v/>
      </c>
      <c r="N483">
        <f>IF($F483=1,FIND(MID($B483,8,1),"0123456789")-1,"")</f>
        <v/>
      </c>
      <c r="O483">
        <f>IF($F483=1,FIND(MID($B483,9,1),"0123456789")-1,"")</f>
        <v/>
      </c>
      <c r="P483">
        <f>IF($F483=1,FIND(MID($B483,10,1),"0123456789")-1,"")</f>
        <v/>
      </c>
      <c r="Q483">
        <f>IF($F483=1,SUMPRODUCT($G483:$P483,{1,2,4,8,16,32,64,128,256,512}),"")</f>
        <v/>
      </c>
      <c r="R483">
        <f>IF($F483=1,MOD(MOD($Q483,11),10),"")</f>
        <v/>
      </c>
    </row>
    <row r="484">
      <c r="A484" s="6" t="n"/>
      <c r="B484" s="7">
        <f>IF($A484="","",UPPER(SUBSTITUTE(SUBSTITUTE(SUBSTITUTE(SUBSTITUTE(SUBSTITUTE(SUBSTITUTE($A484," ",""),"-",""),".",""),"/",""),"i","I"),"ı","?")))</f>
        <v/>
      </c>
      <c r="C484" s="8">
        <f>IF($F484=1,$R484,"")</f>
        <v/>
      </c>
      <c r="D484" s="7">
        <f>IF($A484="","",IF($F484=0,"Biçim hatalı",IF(FIND(MID($B484,11,1),"0123456789")-1=$R484,"Geçerli","Kontrol hanesi hatalı (doğrusu: "&amp;$R484&amp;")")))</f>
        <v/>
      </c>
      <c r="F484">
        <f>IF($A484="","",IF(AND(LEN($B484)=11,SUMPRODUCT(--ISNUMBER(FIND(MID($B484,{1,2,3},1),"ABCDEFGHIJKLMNOPQRSTUVWXYZ")))=3,ISNUMBER(FIND(MID($B484,4,1),"UJZ")),SUMPRODUCT(--ISNUMBER(FIND(MID($B484,{5,6,7,8,9,10,11},1),"0123456789")))=7),1,0))</f>
        <v/>
      </c>
      <c r="G484">
        <f>IF($F484=1,INDEX({10,12,13,14,15,16,17,18,19,20,21,23,24,25,26,27,28,29,30,31,32,34,35,36,37,38},1,FIND(MID($B484,1,1),"ABCDEFGHIJKLMNOPQRSTUVWXYZ")),"")</f>
        <v/>
      </c>
      <c r="H484">
        <f>IF($F484=1,INDEX({10,12,13,14,15,16,17,18,19,20,21,23,24,25,26,27,28,29,30,31,32,34,35,36,37,38},1,FIND(MID($B484,2,1),"ABCDEFGHIJKLMNOPQRSTUVWXYZ")),"")</f>
        <v/>
      </c>
      <c r="I484">
        <f>IF($F484=1,INDEX({10,12,13,14,15,16,17,18,19,20,21,23,24,25,26,27,28,29,30,31,32,34,35,36,37,38},1,FIND(MID($B484,3,1),"ABCDEFGHIJKLMNOPQRSTUVWXYZ")),"")</f>
        <v/>
      </c>
      <c r="J484">
        <f>IF($F484=1,INDEX({10,12,13,14,15,16,17,18,19,20,21,23,24,25,26,27,28,29,30,31,32,34,35,36,37,38},1,FIND(MID($B484,4,1),"ABCDEFGHIJKLMNOPQRSTUVWXYZ")),"")</f>
        <v/>
      </c>
      <c r="K484">
        <f>IF($F484=1,FIND(MID($B484,5,1),"0123456789")-1,"")</f>
        <v/>
      </c>
      <c r="L484">
        <f>IF($F484=1,FIND(MID($B484,6,1),"0123456789")-1,"")</f>
        <v/>
      </c>
      <c r="M484">
        <f>IF($F484=1,FIND(MID($B484,7,1),"0123456789")-1,"")</f>
        <v/>
      </c>
      <c r="N484">
        <f>IF($F484=1,FIND(MID($B484,8,1),"0123456789")-1,"")</f>
        <v/>
      </c>
      <c r="O484">
        <f>IF($F484=1,FIND(MID($B484,9,1),"0123456789")-1,"")</f>
        <v/>
      </c>
      <c r="P484">
        <f>IF($F484=1,FIND(MID($B484,10,1),"0123456789")-1,"")</f>
        <v/>
      </c>
      <c r="Q484">
        <f>IF($F484=1,SUMPRODUCT($G484:$P484,{1,2,4,8,16,32,64,128,256,512}),"")</f>
        <v/>
      </c>
      <c r="R484">
        <f>IF($F484=1,MOD(MOD($Q484,11),10),"")</f>
        <v/>
      </c>
    </row>
    <row r="485">
      <c r="A485" s="6" t="n"/>
      <c r="B485" s="7">
        <f>IF($A485="","",UPPER(SUBSTITUTE(SUBSTITUTE(SUBSTITUTE(SUBSTITUTE(SUBSTITUTE(SUBSTITUTE($A485," ",""),"-",""),".",""),"/",""),"i","I"),"ı","?")))</f>
        <v/>
      </c>
      <c r="C485" s="8">
        <f>IF($F485=1,$R485,"")</f>
        <v/>
      </c>
      <c r="D485" s="7">
        <f>IF($A485="","",IF($F485=0,"Biçim hatalı",IF(FIND(MID($B485,11,1),"0123456789")-1=$R485,"Geçerli","Kontrol hanesi hatalı (doğrusu: "&amp;$R485&amp;")")))</f>
        <v/>
      </c>
      <c r="F485">
        <f>IF($A485="","",IF(AND(LEN($B485)=11,SUMPRODUCT(--ISNUMBER(FIND(MID($B485,{1,2,3},1),"ABCDEFGHIJKLMNOPQRSTUVWXYZ")))=3,ISNUMBER(FIND(MID($B485,4,1),"UJZ")),SUMPRODUCT(--ISNUMBER(FIND(MID($B485,{5,6,7,8,9,10,11},1),"0123456789")))=7),1,0))</f>
        <v/>
      </c>
      <c r="G485">
        <f>IF($F485=1,INDEX({10,12,13,14,15,16,17,18,19,20,21,23,24,25,26,27,28,29,30,31,32,34,35,36,37,38},1,FIND(MID($B485,1,1),"ABCDEFGHIJKLMNOPQRSTUVWXYZ")),"")</f>
        <v/>
      </c>
      <c r="H485">
        <f>IF($F485=1,INDEX({10,12,13,14,15,16,17,18,19,20,21,23,24,25,26,27,28,29,30,31,32,34,35,36,37,38},1,FIND(MID($B485,2,1),"ABCDEFGHIJKLMNOPQRSTUVWXYZ")),"")</f>
        <v/>
      </c>
      <c r="I485">
        <f>IF($F485=1,INDEX({10,12,13,14,15,16,17,18,19,20,21,23,24,25,26,27,28,29,30,31,32,34,35,36,37,38},1,FIND(MID($B485,3,1),"ABCDEFGHIJKLMNOPQRSTUVWXYZ")),"")</f>
        <v/>
      </c>
      <c r="J485">
        <f>IF($F485=1,INDEX({10,12,13,14,15,16,17,18,19,20,21,23,24,25,26,27,28,29,30,31,32,34,35,36,37,38},1,FIND(MID($B485,4,1),"ABCDEFGHIJKLMNOPQRSTUVWXYZ")),"")</f>
        <v/>
      </c>
      <c r="K485">
        <f>IF($F485=1,FIND(MID($B485,5,1),"0123456789")-1,"")</f>
        <v/>
      </c>
      <c r="L485">
        <f>IF($F485=1,FIND(MID($B485,6,1),"0123456789")-1,"")</f>
        <v/>
      </c>
      <c r="M485">
        <f>IF($F485=1,FIND(MID($B485,7,1),"0123456789")-1,"")</f>
        <v/>
      </c>
      <c r="N485">
        <f>IF($F485=1,FIND(MID($B485,8,1),"0123456789")-1,"")</f>
        <v/>
      </c>
      <c r="O485">
        <f>IF($F485=1,FIND(MID($B485,9,1),"0123456789")-1,"")</f>
        <v/>
      </c>
      <c r="P485">
        <f>IF($F485=1,FIND(MID($B485,10,1),"0123456789")-1,"")</f>
        <v/>
      </c>
      <c r="Q485">
        <f>IF($F485=1,SUMPRODUCT($G485:$P485,{1,2,4,8,16,32,64,128,256,512}),"")</f>
        <v/>
      </c>
      <c r="R485">
        <f>IF($F485=1,MOD(MOD($Q485,11),10),"")</f>
        <v/>
      </c>
    </row>
    <row r="486">
      <c r="A486" s="6" t="n"/>
      <c r="B486" s="7">
        <f>IF($A486="","",UPPER(SUBSTITUTE(SUBSTITUTE(SUBSTITUTE(SUBSTITUTE(SUBSTITUTE(SUBSTITUTE($A486," ",""),"-",""),".",""),"/",""),"i","I"),"ı","?")))</f>
        <v/>
      </c>
      <c r="C486" s="8">
        <f>IF($F486=1,$R486,"")</f>
        <v/>
      </c>
      <c r="D486" s="7">
        <f>IF($A486="","",IF($F486=0,"Biçim hatalı",IF(FIND(MID($B486,11,1),"0123456789")-1=$R486,"Geçerli","Kontrol hanesi hatalı (doğrusu: "&amp;$R486&amp;")")))</f>
        <v/>
      </c>
      <c r="F486">
        <f>IF($A486="","",IF(AND(LEN($B486)=11,SUMPRODUCT(--ISNUMBER(FIND(MID($B486,{1,2,3},1),"ABCDEFGHIJKLMNOPQRSTUVWXYZ")))=3,ISNUMBER(FIND(MID($B486,4,1),"UJZ")),SUMPRODUCT(--ISNUMBER(FIND(MID($B486,{5,6,7,8,9,10,11},1),"0123456789")))=7),1,0))</f>
        <v/>
      </c>
      <c r="G486">
        <f>IF($F486=1,INDEX({10,12,13,14,15,16,17,18,19,20,21,23,24,25,26,27,28,29,30,31,32,34,35,36,37,38},1,FIND(MID($B486,1,1),"ABCDEFGHIJKLMNOPQRSTUVWXYZ")),"")</f>
        <v/>
      </c>
      <c r="H486">
        <f>IF($F486=1,INDEX({10,12,13,14,15,16,17,18,19,20,21,23,24,25,26,27,28,29,30,31,32,34,35,36,37,38},1,FIND(MID($B486,2,1),"ABCDEFGHIJKLMNOPQRSTUVWXYZ")),"")</f>
        <v/>
      </c>
      <c r="I486">
        <f>IF($F486=1,INDEX({10,12,13,14,15,16,17,18,19,20,21,23,24,25,26,27,28,29,30,31,32,34,35,36,37,38},1,FIND(MID($B486,3,1),"ABCDEFGHIJKLMNOPQRSTUVWXYZ")),"")</f>
        <v/>
      </c>
      <c r="J486">
        <f>IF($F486=1,INDEX({10,12,13,14,15,16,17,18,19,20,21,23,24,25,26,27,28,29,30,31,32,34,35,36,37,38},1,FIND(MID($B486,4,1),"ABCDEFGHIJKLMNOPQRSTUVWXYZ")),"")</f>
        <v/>
      </c>
      <c r="K486">
        <f>IF($F486=1,FIND(MID($B486,5,1),"0123456789")-1,"")</f>
        <v/>
      </c>
      <c r="L486">
        <f>IF($F486=1,FIND(MID($B486,6,1),"0123456789")-1,"")</f>
        <v/>
      </c>
      <c r="M486">
        <f>IF($F486=1,FIND(MID($B486,7,1),"0123456789")-1,"")</f>
        <v/>
      </c>
      <c r="N486">
        <f>IF($F486=1,FIND(MID($B486,8,1),"0123456789")-1,"")</f>
        <v/>
      </c>
      <c r="O486">
        <f>IF($F486=1,FIND(MID($B486,9,1),"0123456789")-1,"")</f>
        <v/>
      </c>
      <c r="P486">
        <f>IF($F486=1,FIND(MID($B486,10,1),"0123456789")-1,"")</f>
        <v/>
      </c>
      <c r="Q486">
        <f>IF($F486=1,SUMPRODUCT($G486:$P486,{1,2,4,8,16,32,64,128,256,512}),"")</f>
        <v/>
      </c>
      <c r="R486">
        <f>IF($F486=1,MOD(MOD($Q486,11),10),"")</f>
        <v/>
      </c>
    </row>
    <row r="487">
      <c r="A487" s="6" t="n"/>
      <c r="B487" s="7">
        <f>IF($A487="","",UPPER(SUBSTITUTE(SUBSTITUTE(SUBSTITUTE(SUBSTITUTE(SUBSTITUTE(SUBSTITUTE($A487," ",""),"-",""),".",""),"/",""),"i","I"),"ı","?")))</f>
        <v/>
      </c>
      <c r="C487" s="8">
        <f>IF($F487=1,$R487,"")</f>
        <v/>
      </c>
      <c r="D487" s="7">
        <f>IF($A487="","",IF($F487=0,"Biçim hatalı",IF(FIND(MID($B487,11,1),"0123456789")-1=$R487,"Geçerli","Kontrol hanesi hatalı (doğrusu: "&amp;$R487&amp;")")))</f>
        <v/>
      </c>
      <c r="F487">
        <f>IF($A487="","",IF(AND(LEN($B487)=11,SUMPRODUCT(--ISNUMBER(FIND(MID($B487,{1,2,3},1),"ABCDEFGHIJKLMNOPQRSTUVWXYZ")))=3,ISNUMBER(FIND(MID($B487,4,1),"UJZ")),SUMPRODUCT(--ISNUMBER(FIND(MID($B487,{5,6,7,8,9,10,11},1),"0123456789")))=7),1,0))</f>
        <v/>
      </c>
      <c r="G487">
        <f>IF($F487=1,INDEX({10,12,13,14,15,16,17,18,19,20,21,23,24,25,26,27,28,29,30,31,32,34,35,36,37,38},1,FIND(MID($B487,1,1),"ABCDEFGHIJKLMNOPQRSTUVWXYZ")),"")</f>
        <v/>
      </c>
      <c r="H487">
        <f>IF($F487=1,INDEX({10,12,13,14,15,16,17,18,19,20,21,23,24,25,26,27,28,29,30,31,32,34,35,36,37,38},1,FIND(MID($B487,2,1),"ABCDEFGHIJKLMNOPQRSTUVWXYZ")),"")</f>
        <v/>
      </c>
      <c r="I487">
        <f>IF($F487=1,INDEX({10,12,13,14,15,16,17,18,19,20,21,23,24,25,26,27,28,29,30,31,32,34,35,36,37,38},1,FIND(MID($B487,3,1),"ABCDEFGHIJKLMNOPQRSTUVWXYZ")),"")</f>
        <v/>
      </c>
      <c r="J487">
        <f>IF($F487=1,INDEX({10,12,13,14,15,16,17,18,19,20,21,23,24,25,26,27,28,29,30,31,32,34,35,36,37,38},1,FIND(MID($B487,4,1),"ABCDEFGHIJKLMNOPQRSTUVWXYZ")),"")</f>
        <v/>
      </c>
      <c r="K487">
        <f>IF($F487=1,FIND(MID($B487,5,1),"0123456789")-1,"")</f>
        <v/>
      </c>
      <c r="L487">
        <f>IF($F487=1,FIND(MID($B487,6,1),"0123456789")-1,"")</f>
        <v/>
      </c>
      <c r="M487">
        <f>IF($F487=1,FIND(MID($B487,7,1),"0123456789")-1,"")</f>
        <v/>
      </c>
      <c r="N487">
        <f>IF($F487=1,FIND(MID($B487,8,1),"0123456789")-1,"")</f>
        <v/>
      </c>
      <c r="O487">
        <f>IF($F487=1,FIND(MID($B487,9,1),"0123456789")-1,"")</f>
        <v/>
      </c>
      <c r="P487">
        <f>IF($F487=1,FIND(MID($B487,10,1),"0123456789")-1,"")</f>
        <v/>
      </c>
      <c r="Q487">
        <f>IF($F487=1,SUMPRODUCT($G487:$P487,{1,2,4,8,16,32,64,128,256,512}),"")</f>
        <v/>
      </c>
      <c r="R487">
        <f>IF($F487=1,MOD(MOD($Q487,11),10),"")</f>
        <v/>
      </c>
    </row>
    <row r="488">
      <c r="A488" s="6" t="n"/>
      <c r="B488" s="7">
        <f>IF($A488="","",UPPER(SUBSTITUTE(SUBSTITUTE(SUBSTITUTE(SUBSTITUTE(SUBSTITUTE(SUBSTITUTE($A488," ",""),"-",""),".",""),"/",""),"i","I"),"ı","?")))</f>
        <v/>
      </c>
      <c r="C488" s="8">
        <f>IF($F488=1,$R488,"")</f>
        <v/>
      </c>
      <c r="D488" s="7">
        <f>IF($A488="","",IF($F488=0,"Biçim hatalı",IF(FIND(MID($B488,11,1),"0123456789")-1=$R488,"Geçerli","Kontrol hanesi hatalı (doğrusu: "&amp;$R488&amp;")")))</f>
        <v/>
      </c>
      <c r="F488">
        <f>IF($A488="","",IF(AND(LEN($B488)=11,SUMPRODUCT(--ISNUMBER(FIND(MID($B488,{1,2,3},1),"ABCDEFGHIJKLMNOPQRSTUVWXYZ")))=3,ISNUMBER(FIND(MID($B488,4,1),"UJZ")),SUMPRODUCT(--ISNUMBER(FIND(MID($B488,{5,6,7,8,9,10,11},1),"0123456789")))=7),1,0))</f>
        <v/>
      </c>
      <c r="G488">
        <f>IF($F488=1,INDEX({10,12,13,14,15,16,17,18,19,20,21,23,24,25,26,27,28,29,30,31,32,34,35,36,37,38},1,FIND(MID($B488,1,1),"ABCDEFGHIJKLMNOPQRSTUVWXYZ")),"")</f>
        <v/>
      </c>
      <c r="H488">
        <f>IF($F488=1,INDEX({10,12,13,14,15,16,17,18,19,20,21,23,24,25,26,27,28,29,30,31,32,34,35,36,37,38},1,FIND(MID($B488,2,1),"ABCDEFGHIJKLMNOPQRSTUVWXYZ")),"")</f>
        <v/>
      </c>
      <c r="I488">
        <f>IF($F488=1,INDEX({10,12,13,14,15,16,17,18,19,20,21,23,24,25,26,27,28,29,30,31,32,34,35,36,37,38},1,FIND(MID($B488,3,1),"ABCDEFGHIJKLMNOPQRSTUVWXYZ")),"")</f>
        <v/>
      </c>
      <c r="J488">
        <f>IF($F488=1,INDEX({10,12,13,14,15,16,17,18,19,20,21,23,24,25,26,27,28,29,30,31,32,34,35,36,37,38},1,FIND(MID($B488,4,1),"ABCDEFGHIJKLMNOPQRSTUVWXYZ")),"")</f>
        <v/>
      </c>
      <c r="K488">
        <f>IF($F488=1,FIND(MID($B488,5,1),"0123456789")-1,"")</f>
        <v/>
      </c>
      <c r="L488">
        <f>IF($F488=1,FIND(MID($B488,6,1),"0123456789")-1,"")</f>
        <v/>
      </c>
      <c r="M488">
        <f>IF($F488=1,FIND(MID($B488,7,1),"0123456789")-1,"")</f>
        <v/>
      </c>
      <c r="N488">
        <f>IF($F488=1,FIND(MID($B488,8,1),"0123456789")-1,"")</f>
        <v/>
      </c>
      <c r="O488">
        <f>IF($F488=1,FIND(MID($B488,9,1),"0123456789")-1,"")</f>
        <v/>
      </c>
      <c r="P488">
        <f>IF($F488=1,FIND(MID($B488,10,1),"0123456789")-1,"")</f>
        <v/>
      </c>
      <c r="Q488">
        <f>IF($F488=1,SUMPRODUCT($G488:$P488,{1,2,4,8,16,32,64,128,256,512}),"")</f>
        <v/>
      </c>
      <c r="R488">
        <f>IF($F488=1,MOD(MOD($Q488,11),10),"")</f>
        <v/>
      </c>
    </row>
    <row r="489">
      <c r="A489" s="6" t="n"/>
      <c r="B489" s="7">
        <f>IF($A489="","",UPPER(SUBSTITUTE(SUBSTITUTE(SUBSTITUTE(SUBSTITUTE(SUBSTITUTE(SUBSTITUTE($A489," ",""),"-",""),".",""),"/",""),"i","I"),"ı","?")))</f>
        <v/>
      </c>
      <c r="C489" s="8">
        <f>IF($F489=1,$R489,"")</f>
        <v/>
      </c>
      <c r="D489" s="7">
        <f>IF($A489="","",IF($F489=0,"Biçim hatalı",IF(FIND(MID($B489,11,1),"0123456789")-1=$R489,"Geçerli","Kontrol hanesi hatalı (doğrusu: "&amp;$R489&amp;")")))</f>
        <v/>
      </c>
      <c r="F489">
        <f>IF($A489="","",IF(AND(LEN($B489)=11,SUMPRODUCT(--ISNUMBER(FIND(MID($B489,{1,2,3},1),"ABCDEFGHIJKLMNOPQRSTUVWXYZ")))=3,ISNUMBER(FIND(MID($B489,4,1),"UJZ")),SUMPRODUCT(--ISNUMBER(FIND(MID($B489,{5,6,7,8,9,10,11},1),"0123456789")))=7),1,0))</f>
        <v/>
      </c>
      <c r="G489">
        <f>IF($F489=1,INDEX({10,12,13,14,15,16,17,18,19,20,21,23,24,25,26,27,28,29,30,31,32,34,35,36,37,38},1,FIND(MID($B489,1,1),"ABCDEFGHIJKLMNOPQRSTUVWXYZ")),"")</f>
        <v/>
      </c>
      <c r="H489">
        <f>IF($F489=1,INDEX({10,12,13,14,15,16,17,18,19,20,21,23,24,25,26,27,28,29,30,31,32,34,35,36,37,38},1,FIND(MID($B489,2,1),"ABCDEFGHIJKLMNOPQRSTUVWXYZ")),"")</f>
        <v/>
      </c>
      <c r="I489">
        <f>IF($F489=1,INDEX({10,12,13,14,15,16,17,18,19,20,21,23,24,25,26,27,28,29,30,31,32,34,35,36,37,38},1,FIND(MID($B489,3,1),"ABCDEFGHIJKLMNOPQRSTUVWXYZ")),"")</f>
        <v/>
      </c>
      <c r="J489">
        <f>IF($F489=1,INDEX({10,12,13,14,15,16,17,18,19,20,21,23,24,25,26,27,28,29,30,31,32,34,35,36,37,38},1,FIND(MID($B489,4,1),"ABCDEFGHIJKLMNOPQRSTUVWXYZ")),"")</f>
        <v/>
      </c>
      <c r="K489">
        <f>IF($F489=1,FIND(MID($B489,5,1),"0123456789")-1,"")</f>
        <v/>
      </c>
      <c r="L489">
        <f>IF($F489=1,FIND(MID($B489,6,1),"0123456789")-1,"")</f>
        <v/>
      </c>
      <c r="M489">
        <f>IF($F489=1,FIND(MID($B489,7,1),"0123456789")-1,"")</f>
        <v/>
      </c>
      <c r="N489">
        <f>IF($F489=1,FIND(MID($B489,8,1),"0123456789")-1,"")</f>
        <v/>
      </c>
      <c r="O489">
        <f>IF($F489=1,FIND(MID($B489,9,1),"0123456789")-1,"")</f>
        <v/>
      </c>
      <c r="P489">
        <f>IF($F489=1,FIND(MID($B489,10,1),"0123456789")-1,"")</f>
        <v/>
      </c>
      <c r="Q489">
        <f>IF($F489=1,SUMPRODUCT($G489:$P489,{1,2,4,8,16,32,64,128,256,512}),"")</f>
        <v/>
      </c>
      <c r="R489">
        <f>IF($F489=1,MOD(MOD($Q489,11),10),"")</f>
        <v/>
      </c>
    </row>
    <row r="490">
      <c r="A490" s="6" t="n"/>
      <c r="B490" s="7">
        <f>IF($A490="","",UPPER(SUBSTITUTE(SUBSTITUTE(SUBSTITUTE(SUBSTITUTE(SUBSTITUTE(SUBSTITUTE($A490," ",""),"-",""),".",""),"/",""),"i","I"),"ı","?")))</f>
        <v/>
      </c>
      <c r="C490" s="8">
        <f>IF($F490=1,$R490,"")</f>
        <v/>
      </c>
      <c r="D490" s="7">
        <f>IF($A490="","",IF($F490=0,"Biçim hatalı",IF(FIND(MID($B490,11,1),"0123456789")-1=$R490,"Geçerli","Kontrol hanesi hatalı (doğrusu: "&amp;$R490&amp;")")))</f>
        <v/>
      </c>
      <c r="F490">
        <f>IF($A490="","",IF(AND(LEN($B490)=11,SUMPRODUCT(--ISNUMBER(FIND(MID($B490,{1,2,3},1),"ABCDEFGHIJKLMNOPQRSTUVWXYZ")))=3,ISNUMBER(FIND(MID($B490,4,1),"UJZ")),SUMPRODUCT(--ISNUMBER(FIND(MID($B490,{5,6,7,8,9,10,11},1),"0123456789")))=7),1,0))</f>
        <v/>
      </c>
      <c r="G490">
        <f>IF($F490=1,INDEX({10,12,13,14,15,16,17,18,19,20,21,23,24,25,26,27,28,29,30,31,32,34,35,36,37,38},1,FIND(MID($B490,1,1),"ABCDEFGHIJKLMNOPQRSTUVWXYZ")),"")</f>
        <v/>
      </c>
      <c r="H490">
        <f>IF($F490=1,INDEX({10,12,13,14,15,16,17,18,19,20,21,23,24,25,26,27,28,29,30,31,32,34,35,36,37,38},1,FIND(MID($B490,2,1),"ABCDEFGHIJKLMNOPQRSTUVWXYZ")),"")</f>
        <v/>
      </c>
      <c r="I490">
        <f>IF($F490=1,INDEX({10,12,13,14,15,16,17,18,19,20,21,23,24,25,26,27,28,29,30,31,32,34,35,36,37,38},1,FIND(MID($B490,3,1),"ABCDEFGHIJKLMNOPQRSTUVWXYZ")),"")</f>
        <v/>
      </c>
      <c r="J490">
        <f>IF($F490=1,INDEX({10,12,13,14,15,16,17,18,19,20,21,23,24,25,26,27,28,29,30,31,32,34,35,36,37,38},1,FIND(MID($B490,4,1),"ABCDEFGHIJKLMNOPQRSTUVWXYZ")),"")</f>
        <v/>
      </c>
      <c r="K490">
        <f>IF($F490=1,FIND(MID($B490,5,1),"0123456789")-1,"")</f>
        <v/>
      </c>
      <c r="L490">
        <f>IF($F490=1,FIND(MID($B490,6,1),"0123456789")-1,"")</f>
        <v/>
      </c>
      <c r="M490">
        <f>IF($F490=1,FIND(MID($B490,7,1),"0123456789")-1,"")</f>
        <v/>
      </c>
      <c r="N490">
        <f>IF($F490=1,FIND(MID($B490,8,1),"0123456789")-1,"")</f>
        <v/>
      </c>
      <c r="O490">
        <f>IF($F490=1,FIND(MID($B490,9,1),"0123456789")-1,"")</f>
        <v/>
      </c>
      <c r="P490">
        <f>IF($F490=1,FIND(MID($B490,10,1),"0123456789")-1,"")</f>
        <v/>
      </c>
      <c r="Q490">
        <f>IF($F490=1,SUMPRODUCT($G490:$P490,{1,2,4,8,16,32,64,128,256,512}),"")</f>
        <v/>
      </c>
      <c r="R490">
        <f>IF($F490=1,MOD(MOD($Q490,11),10),"")</f>
        <v/>
      </c>
    </row>
    <row r="491">
      <c r="A491" s="6" t="n"/>
      <c r="B491" s="7">
        <f>IF($A491="","",UPPER(SUBSTITUTE(SUBSTITUTE(SUBSTITUTE(SUBSTITUTE(SUBSTITUTE(SUBSTITUTE($A491," ",""),"-",""),".",""),"/",""),"i","I"),"ı","?")))</f>
        <v/>
      </c>
      <c r="C491" s="8">
        <f>IF($F491=1,$R491,"")</f>
        <v/>
      </c>
      <c r="D491" s="7">
        <f>IF($A491="","",IF($F491=0,"Biçim hatalı",IF(FIND(MID($B491,11,1),"0123456789")-1=$R491,"Geçerli","Kontrol hanesi hatalı (doğrusu: "&amp;$R491&amp;")")))</f>
        <v/>
      </c>
      <c r="F491">
        <f>IF($A491="","",IF(AND(LEN($B491)=11,SUMPRODUCT(--ISNUMBER(FIND(MID($B491,{1,2,3},1),"ABCDEFGHIJKLMNOPQRSTUVWXYZ")))=3,ISNUMBER(FIND(MID($B491,4,1),"UJZ")),SUMPRODUCT(--ISNUMBER(FIND(MID($B491,{5,6,7,8,9,10,11},1),"0123456789")))=7),1,0))</f>
        <v/>
      </c>
      <c r="G491">
        <f>IF($F491=1,INDEX({10,12,13,14,15,16,17,18,19,20,21,23,24,25,26,27,28,29,30,31,32,34,35,36,37,38},1,FIND(MID($B491,1,1),"ABCDEFGHIJKLMNOPQRSTUVWXYZ")),"")</f>
        <v/>
      </c>
      <c r="H491">
        <f>IF($F491=1,INDEX({10,12,13,14,15,16,17,18,19,20,21,23,24,25,26,27,28,29,30,31,32,34,35,36,37,38},1,FIND(MID($B491,2,1),"ABCDEFGHIJKLMNOPQRSTUVWXYZ")),"")</f>
        <v/>
      </c>
      <c r="I491">
        <f>IF($F491=1,INDEX({10,12,13,14,15,16,17,18,19,20,21,23,24,25,26,27,28,29,30,31,32,34,35,36,37,38},1,FIND(MID($B491,3,1),"ABCDEFGHIJKLMNOPQRSTUVWXYZ")),"")</f>
        <v/>
      </c>
      <c r="J491">
        <f>IF($F491=1,INDEX({10,12,13,14,15,16,17,18,19,20,21,23,24,25,26,27,28,29,30,31,32,34,35,36,37,38},1,FIND(MID($B491,4,1),"ABCDEFGHIJKLMNOPQRSTUVWXYZ")),"")</f>
        <v/>
      </c>
      <c r="K491">
        <f>IF($F491=1,FIND(MID($B491,5,1),"0123456789")-1,"")</f>
        <v/>
      </c>
      <c r="L491">
        <f>IF($F491=1,FIND(MID($B491,6,1),"0123456789")-1,"")</f>
        <v/>
      </c>
      <c r="M491">
        <f>IF($F491=1,FIND(MID($B491,7,1),"0123456789")-1,"")</f>
        <v/>
      </c>
      <c r="N491">
        <f>IF($F491=1,FIND(MID($B491,8,1),"0123456789")-1,"")</f>
        <v/>
      </c>
      <c r="O491">
        <f>IF($F491=1,FIND(MID($B491,9,1),"0123456789")-1,"")</f>
        <v/>
      </c>
      <c r="P491">
        <f>IF($F491=1,FIND(MID($B491,10,1),"0123456789")-1,"")</f>
        <v/>
      </c>
      <c r="Q491">
        <f>IF($F491=1,SUMPRODUCT($G491:$P491,{1,2,4,8,16,32,64,128,256,512}),"")</f>
        <v/>
      </c>
      <c r="R491">
        <f>IF($F491=1,MOD(MOD($Q491,11),10),"")</f>
        <v/>
      </c>
    </row>
    <row r="492">
      <c r="A492" s="6" t="n"/>
      <c r="B492" s="7">
        <f>IF($A492="","",UPPER(SUBSTITUTE(SUBSTITUTE(SUBSTITUTE(SUBSTITUTE(SUBSTITUTE(SUBSTITUTE($A492," ",""),"-",""),".",""),"/",""),"i","I"),"ı","?")))</f>
        <v/>
      </c>
      <c r="C492" s="8">
        <f>IF($F492=1,$R492,"")</f>
        <v/>
      </c>
      <c r="D492" s="7">
        <f>IF($A492="","",IF($F492=0,"Biçim hatalı",IF(FIND(MID($B492,11,1),"0123456789")-1=$R492,"Geçerli","Kontrol hanesi hatalı (doğrusu: "&amp;$R492&amp;")")))</f>
        <v/>
      </c>
      <c r="F492">
        <f>IF($A492="","",IF(AND(LEN($B492)=11,SUMPRODUCT(--ISNUMBER(FIND(MID($B492,{1,2,3},1),"ABCDEFGHIJKLMNOPQRSTUVWXYZ")))=3,ISNUMBER(FIND(MID($B492,4,1),"UJZ")),SUMPRODUCT(--ISNUMBER(FIND(MID($B492,{5,6,7,8,9,10,11},1),"0123456789")))=7),1,0))</f>
        <v/>
      </c>
      <c r="G492">
        <f>IF($F492=1,INDEX({10,12,13,14,15,16,17,18,19,20,21,23,24,25,26,27,28,29,30,31,32,34,35,36,37,38},1,FIND(MID($B492,1,1),"ABCDEFGHIJKLMNOPQRSTUVWXYZ")),"")</f>
        <v/>
      </c>
      <c r="H492">
        <f>IF($F492=1,INDEX({10,12,13,14,15,16,17,18,19,20,21,23,24,25,26,27,28,29,30,31,32,34,35,36,37,38},1,FIND(MID($B492,2,1),"ABCDEFGHIJKLMNOPQRSTUVWXYZ")),"")</f>
        <v/>
      </c>
      <c r="I492">
        <f>IF($F492=1,INDEX({10,12,13,14,15,16,17,18,19,20,21,23,24,25,26,27,28,29,30,31,32,34,35,36,37,38},1,FIND(MID($B492,3,1),"ABCDEFGHIJKLMNOPQRSTUVWXYZ")),"")</f>
        <v/>
      </c>
      <c r="J492">
        <f>IF($F492=1,INDEX({10,12,13,14,15,16,17,18,19,20,21,23,24,25,26,27,28,29,30,31,32,34,35,36,37,38},1,FIND(MID($B492,4,1),"ABCDEFGHIJKLMNOPQRSTUVWXYZ")),"")</f>
        <v/>
      </c>
      <c r="K492">
        <f>IF($F492=1,FIND(MID($B492,5,1),"0123456789")-1,"")</f>
        <v/>
      </c>
      <c r="L492">
        <f>IF($F492=1,FIND(MID($B492,6,1),"0123456789")-1,"")</f>
        <v/>
      </c>
      <c r="M492">
        <f>IF($F492=1,FIND(MID($B492,7,1),"0123456789")-1,"")</f>
        <v/>
      </c>
      <c r="N492">
        <f>IF($F492=1,FIND(MID($B492,8,1),"0123456789")-1,"")</f>
        <v/>
      </c>
      <c r="O492">
        <f>IF($F492=1,FIND(MID($B492,9,1),"0123456789")-1,"")</f>
        <v/>
      </c>
      <c r="P492">
        <f>IF($F492=1,FIND(MID($B492,10,1),"0123456789")-1,"")</f>
        <v/>
      </c>
      <c r="Q492">
        <f>IF($F492=1,SUMPRODUCT($G492:$P492,{1,2,4,8,16,32,64,128,256,512}),"")</f>
        <v/>
      </c>
      <c r="R492">
        <f>IF($F492=1,MOD(MOD($Q492,11),10),"")</f>
        <v/>
      </c>
    </row>
    <row r="493">
      <c r="A493" s="6" t="n"/>
      <c r="B493" s="7">
        <f>IF($A493="","",UPPER(SUBSTITUTE(SUBSTITUTE(SUBSTITUTE(SUBSTITUTE(SUBSTITUTE(SUBSTITUTE($A493," ",""),"-",""),".",""),"/",""),"i","I"),"ı","?")))</f>
        <v/>
      </c>
      <c r="C493" s="8">
        <f>IF($F493=1,$R493,"")</f>
        <v/>
      </c>
      <c r="D493" s="7">
        <f>IF($A493="","",IF($F493=0,"Biçim hatalı",IF(FIND(MID($B493,11,1),"0123456789")-1=$R493,"Geçerli","Kontrol hanesi hatalı (doğrusu: "&amp;$R493&amp;")")))</f>
        <v/>
      </c>
      <c r="F493">
        <f>IF($A493="","",IF(AND(LEN($B493)=11,SUMPRODUCT(--ISNUMBER(FIND(MID($B493,{1,2,3},1),"ABCDEFGHIJKLMNOPQRSTUVWXYZ")))=3,ISNUMBER(FIND(MID($B493,4,1),"UJZ")),SUMPRODUCT(--ISNUMBER(FIND(MID($B493,{5,6,7,8,9,10,11},1),"0123456789")))=7),1,0))</f>
        <v/>
      </c>
      <c r="G493">
        <f>IF($F493=1,INDEX({10,12,13,14,15,16,17,18,19,20,21,23,24,25,26,27,28,29,30,31,32,34,35,36,37,38},1,FIND(MID($B493,1,1),"ABCDEFGHIJKLMNOPQRSTUVWXYZ")),"")</f>
        <v/>
      </c>
      <c r="H493">
        <f>IF($F493=1,INDEX({10,12,13,14,15,16,17,18,19,20,21,23,24,25,26,27,28,29,30,31,32,34,35,36,37,38},1,FIND(MID($B493,2,1),"ABCDEFGHIJKLMNOPQRSTUVWXYZ")),"")</f>
        <v/>
      </c>
      <c r="I493">
        <f>IF($F493=1,INDEX({10,12,13,14,15,16,17,18,19,20,21,23,24,25,26,27,28,29,30,31,32,34,35,36,37,38},1,FIND(MID($B493,3,1),"ABCDEFGHIJKLMNOPQRSTUVWXYZ")),"")</f>
        <v/>
      </c>
      <c r="J493">
        <f>IF($F493=1,INDEX({10,12,13,14,15,16,17,18,19,20,21,23,24,25,26,27,28,29,30,31,32,34,35,36,37,38},1,FIND(MID($B493,4,1),"ABCDEFGHIJKLMNOPQRSTUVWXYZ")),"")</f>
        <v/>
      </c>
      <c r="K493">
        <f>IF($F493=1,FIND(MID($B493,5,1),"0123456789")-1,"")</f>
        <v/>
      </c>
      <c r="L493">
        <f>IF($F493=1,FIND(MID($B493,6,1),"0123456789")-1,"")</f>
        <v/>
      </c>
      <c r="M493">
        <f>IF($F493=1,FIND(MID($B493,7,1),"0123456789")-1,"")</f>
        <v/>
      </c>
      <c r="N493">
        <f>IF($F493=1,FIND(MID($B493,8,1),"0123456789")-1,"")</f>
        <v/>
      </c>
      <c r="O493">
        <f>IF($F493=1,FIND(MID($B493,9,1),"0123456789")-1,"")</f>
        <v/>
      </c>
      <c r="P493">
        <f>IF($F493=1,FIND(MID($B493,10,1),"0123456789")-1,"")</f>
        <v/>
      </c>
      <c r="Q493">
        <f>IF($F493=1,SUMPRODUCT($G493:$P493,{1,2,4,8,16,32,64,128,256,512}),"")</f>
        <v/>
      </c>
      <c r="R493">
        <f>IF($F493=1,MOD(MOD($Q493,11),10),"")</f>
        <v/>
      </c>
    </row>
    <row r="494">
      <c r="A494" s="6" t="n"/>
      <c r="B494" s="7">
        <f>IF($A494="","",UPPER(SUBSTITUTE(SUBSTITUTE(SUBSTITUTE(SUBSTITUTE(SUBSTITUTE(SUBSTITUTE($A494," ",""),"-",""),".",""),"/",""),"i","I"),"ı","?")))</f>
        <v/>
      </c>
      <c r="C494" s="8">
        <f>IF($F494=1,$R494,"")</f>
        <v/>
      </c>
      <c r="D494" s="7">
        <f>IF($A494="","",IF($F494=0,"Biçim hatalı",IF(FIND(MID($B494,11,1),"0123456789")-1=$R494,"Geçerli","Kontrol hanesi hatalı (doğrusu: "&amp;$R494&amp;")")))</f>
        <v/>
      </c>
      <c r="F494">
        <f>IF($A494="","",IF(AND(LEN($B494)=11,SUMPRODUCT(--ISNUMBER(FIND(MID($B494,{1,2,3},1),"ABCDEFGHIJKLMNOPQRSTUVWXYZ")))=3,ISNUMBER(FIND(MID($B494,4,1),"UJZ")),SUMPRODUCT(--ISNUMBER(FIND(MID($B494,{5,6,7,8,9,10,11},1),"0123456789")))=7),1,0))</f>
        <v/>
      </c>
      <c r="G494">
        <f>IF($F494=1,INDEX({10,12,13,14,15,16,17,18,19,20,21,23,24,25,26,27,28,29,30,31,32,34,35,36,37,38},1,FIND(MID($B494,1,1),"ABCDEFGHIJKLMNOPQRSTUVWXYZ")),"")</f>
        <v/>
      </c>
      <c r="H494">
        <f>IF($F494=1,INDEX({10,12,13,14,15,16,17,18,19,20,21,23,24,25,26,27,28,29,30,31,32,34,35,36,37,38},1,FIND(MID($B494,2,1),"ABCDEFGHIJKLMNOPQRSTUVWXYZ")),"")</f>
        <v/>
      </c>
      <c r="I494">
        <f>IF($F494=1,INDEX({10,12,13,14,15,16,17,18,19,20,21,23,24,25,26,27,28,29,30,31,32,34,35,36,37,38},1,FIND(MID($B494,3,1),"ABCDEFGHIJKLMNOPQRSTUVWXYZ")),"")</f>
        <v/>
      </c>
      <c r="J494">
        <f>IF($F494=1,INDEX({10,12,13,14,15,16,17,18,19,20,21,23,24,25,26,27,28,29,30,31,32,34,35,36,37,38},1,FIND(MID($B494,4,1),"ABCDEFGHIJKLMNOPQRSTUVWXYZ")),"")</f>
        <v/>
      </c>
      <c r="K494">
        <f>IF($F494=1,FIND(MID($B494,5,1),"0123456789")-1,"")</f>
        <v/>
      </c>
      <c r="L494">
        <f>IF($F494=1,FIND(MID($B494,6,1),"0123456789")-1,"")</f>
        <v/>
      </c>
      <c r="M494">
        <f>IF($F494=1,FIND(MID($B494,7,1),"0123456789")-1,"")</f>
        <v/>
      </c>
      <c r="N494">
        <f>IF($F494=1,FIND(MID($B494,8,1),"0123456789")-1,"")</f>
        <v/>
      </c>
      <c r="O494">
        <f>IF($F494=1,FIND(MID($B494,9,1),"0123456789")-1,"")</f>
        <v/>
      </c>
      <c r="P494">
        <f>IF($F494=1,FIND(MID($B494,10,1),"0123456789")-1,"")</f>
        <v/>
      </c>
      <c r="Q494">
        <f>IF($F494=1,SUMPRODUCT($G494:$P494,{1,2,4,8,16,32,64,128,256,512}),"")</f>
        <v/>
      </c>
      <c r="R494">
        <f>IF($F494=1,MOD(MOD($Q494,11),10),"")</f>
        <v/>
      </c>
    </row>
    <row r="495">
      <c r="A495" s="6" t="n"/>
      <c r="B495" s="7">
        <f>IF($A495="","",UPPER(SUBSTITUTE(SUBSTITUTE(SUBSTITUTE(SUBSTITUTE(SUBSTITUTE(SUBSTITUTE($A495," ",""),"-",""),".",""),"/",""),"i","I"),"ı","?")))</f>
        <v/>
      </c>
      <c r="C495" s="8">
        <f>IF($F495=1,$R495,"")</f>
        <v/>
      </c>
      <c r="D495" s="7">
        <f>IF($A495="","",IF($F495=0,"Biçim hatalı",IF(FIND(MID($B495,11,1),"0123456789")-1=$R495,"Geçerli","Kontrol hanesi hatalı (doğrusu: "&amp;$R495&amp;")")))</f>
        <v/>
      </c>
      <c r="F495">
        <f>IF($A495="","",IF(AND(LEN($B495)=11,SUMPRODUCT(--ISNUMBER(FIND(MID($B495,{1,2,3},1),"ABCDEFGHIJKLMNOPQRSTUVWXYZ")))=3,ISNUMBER(FIND(MID($B495,4,1),"UJZ")),SUMPRODUCT(--ISNUMBER(FIND(MID($B495,{5,6,7,8,9,10,11},1),"0123456789")))=7),1,0))</f>
        <v/>
      </c>
      <c r="G495">
        <f>IF($F495=1,INDEX({10,12,13,14,15,16,17,18,19,20,21,23,24,25,26,27,28,29,30,31,32,34,35,36,37,38},1,FIND(MID($B495,1,1),"ABCDEFGHIJKLMNOPQRSTUVWXYZ")),"")</f>
        <v/>
      </c>
      <c r="H495">
        <f>IF($F495=1,INDEX({10,12,13,14,15,16,17,18,19,20,21,23,24,25,26,27,28,29,30,31,32,34,35,36,37,38},1,FIND(MID($B495,2,1),"ABCDEFGHIJKLMNOPQRSTUVWXYZ")),"")</f>
        <v/>
      </c>
      <c r="I495">
        <f>IF($F495=1,INDEX({10,12,13,14,15,16,17,18,19,20,21,23,24,25,26,27,28,29,30,31,32,34,35,36,37,38},1,FIND(MID($B495,3,1),"ABCDEFGHIJKLMNOPQRSTUVWXYZ")),"")</f>
        <v/>
      </c>
      <c r="J495">
        <f>IF($F495=1,INDEX({10,12,13,14,15,16,17,18,19,20,21,23,24,25,26,27,28,29,30,31,32,34,35,36,37,38},1,FIND(MID($B495,4,1),"ABCDEFGHIJKLMNOPQRSTUVWXYZ")),"")</f>
        <v/>
      </c>
      <c r="K495">
        <f>IF($F495=1,FIND(MID($B495,5,1),"0123456789")-1,"")</f>
        <v/>
      </c>
      <c r="L495">
        <f>IF($F495=1,FIND(MID($B495,6,1),"0123456789")-1,"")</f>
        <v/>
      </c>
      <c r="M495">
        <f>IF($F495=1,FIND(MID($B495,7,1),"0123456789")-1,"")</f>
        <v/>
      </c>
      <c r="N495">
        <f>IF($F495=1,FIND(MID($B495,8,1),"0123456789")-1,"")</f>
        <v/>
      </c>
      <c r="O495">
        <f>IF($F495=1,FIND(MID($B495,9,1),"0123456789")-1,"")</f>
        <v/>
      </c>
      <c r="P495">
        <f>IF($F495=1,FIND(MID($B495,10,1),"0123456789")-1,"")</f>
        <v/>
      </c>
      <c r="Q495">
        <f>IF($F495=1,SUMPRODUCT($G495:$P495,{1,2,4,8,16,32,64,128,256,512}),"")</f>
        <v/>
      </c>
      <c r="R495">
        <f>IF($F495=1,MOD(MOD($Q495,11),10),"")</f>
        <v/>
      </c>
    </row>
    <row r="496">
      <c r="A496" s="6" t="n"/>
      <c r="B496" s="7">
        <f>IF($A496="","",UPPER(SUBSTITUTE(SUBSTITUTE(SUBSTITUTE(SUBSTITUTE(SUBSTITUTE(SUBSTITUTE($A496," ",""),"-",""),".",""),"/",""),"i","I"),"ı","?")))</f>
        <v/>
      </c>
      <c r="C496" s="8">
        <f>IF($F496=1,$R496,"")</f>
        <v/>
      </c>
      <c r="D496" s="7">
        <f>IF($A496="","",IF($F496=0,"Biçim hatalı",IF(FIND(MID($B496,11,1),"0123456789")-1=$R496,"Geçerli","Kontrol hanesi hatalı (doğrusu: "&amp;$R496&amp;")")))</f>
        <v/>
      </c>
      <c r="F496">
        <f>IF($A496="","",IF(AND(LEN($B496)=11,SUMPRODUCT(--ISNUMBER(FIND(MID($B496,{1,2,3},1),"ABCDEFGHIJKLMNOPQRSTUVWXYZ")))=3,ISNUMBER(FIND(MID($B496,4,1),"UJZ")),SUMPRODUCT(--ISNUMBER(FIND(MID($B496,{5,6,7,8,9,10,11},1),"0123456789")))=7),1,0))</f>
        <v/>
      </c>
      <c r="G496">
        <f>IF($F496=1,INDEX({10,12,13,14,15,16,17,18,19,20,21,23,24,25,26,27,28,29,30,31,32,34,35,36,37,38},1,FIND(MID($B496,1,1),"ABCDEFGHIJKLMNOPQRSTUVWXYZ")),"")</f>
        <v/>
      </c>
      <c r="H496">
        <f>IF($F496=1,INDEX({10,12,13,14,15,16,17,18,19,20,21,23,24,25,26,27,28,29,30,31,32,34,35,36,37,38},1,FIND(MID($B496,2,1),"ABCDEFGHIJKLMNOPQRSTUVWXYZ")),"")</f>
        <v/>
      </c>
      <c r="I496">
        <f>IF($F496=1,INDEX({10,12,13,14,15,16,17,18,19,20,21,23,24,25,26,27,28,29,30,31,32,34,35,36,37,38},1,FIND(MID($B496,3,1),"ABCDEFGHIJKLMNOPQRSTUVWXYZ")),"")</f>
        <v/>
      </c>
      <c r="J496">
        <f>IF($F496=1,INDEX({10,12,13,14,15,16,17,18,19,20,21,23,24,25,26,27,28,29,30,31,32,34,35,36,37,38},1,FIND(MID($B496,4,1),"ABCDEFGHIJKLMNOPQRSTUVWXYZ")),"")</f>
        <v/>
      </c>
      <c r="K496">
        <f>IF($F496=1,FIND(MID($B496,5,1),"0123456789")-1,"")</f>
        <v/>
      </c>
      <c r="L496">
        <f>IF($F496=1,FIND(MID($B496,6,1),"0123456789")-1,"")</f>
        <v/>
      </c>
      <c r="M496">
        <f>IF($F496=1,FIND(MID($B496,7,1),"0123456789")-1,"")</f>
        <v/>
      </c>
      <c r="N496">
        <f>IF($F496=1,FIND(MID($B496,8,1),"0123456789")-1,"")</f>
        <v/>
      </c>
      <c r="O496">
        <f>IF($F496=1,FIND(MID($B496,9,1),"0123456789")-1,"")</f>
        <v/>
      </c>
      <c r="P496">
        <f>IF($F496=1,FIND(MID($B496,10,1),"0123456789")-1,"")</f>
        <v/>
      </c>
      <c r="Q496">
        <f>IF($F496=1,SUMPRODUCT($G496:$P496,{1,2,4,8,16,32,64,128,256,512}),"")</f>
        <v/>
      </c>
      <c r="R496">
        <f>IF($F496=1,MOD(MOD($Q496,11),10),"")</f>
        <v/>
      </c>
    </row>
    <row r="497">
      <c r="A497" s="6" t="n"/>
      <c r="B497" s="7">
        <f>IF($A497="","",UPPER(SUBSTITUTE(SUBSTITUTE(SUBSTITUTE(SUBSTITUTE(SUBSTITUTE(SUBSTITUTE($A497," ",""),"-",""),".",""),"/",""),"i","I"),"ı","?")))</f>
        <v/>
      </c>
      <c r="C497" s="8">
        <f>IF($F497=1,$R497,"")</f>
        <v/>
      </c>
      <c r="D497" s="7">
        <f>IF($A497="","",IF($F497=0,"Biçim hatalı",IF(FIND(MID($B497,11,1),"0123456789")-1=$R497,"Geçerli","Kontrol hanesi hatalı (doğrusu: "&amp;$R497&amp;")")))</f>
        <v/>
      </c>
      <c r="F497">
        <f>IF($A497="","",IF(AND(LEN($B497)=11,SUMPRODUCT(--ISNUMBER(FIND(MID($B497,{1,2,3},1),"ABCDEFGHIJKLMNOPQRSTUVWXYZ")))=3,ISNUMBER(FIND(MID($B497,4,1),"UJZ")),SUMPRODUCT(--ISNUMBER(FIND(MID($B497,{5,6,7,8,9,10,11},1),"0123456789")))=7),1,0))</f>
        <v/>
      </c>
      <c r="G497">
        <f>IF($F497=1,INDEX({10,12,13,14,15,16,17,18,19,20,21,23,24,25,26,27,28,29,30,31,32,34,35,36,37,38},1,FIND(MID($B497,1,1),"ABCDEFGHIJKLMNOPQRSTUVWXYZ")),"")</f>
        <v/>
      </c>
      <c r="H497">
        <f>IF($F497=1,INDEX({10,12,13,14,15,16,17,18,19,20,21,23,24,25,26,27,28,29,30,31,32,34,35,36,37,38},1,FIND(MID($B497,2,1),"ABCDEFGHIJKLMNOPQRSTUVWXYZ")),"")</f>
        <v/>
      </c>
      <c r="I497">
        <f>IF($F497=1,INDEX({10,12,13,14,15,16,17,18,19,20,21,23,24,25,26,27,28,29,30,31,32,34,35,36,37,38},1,FIND(MID($B497,3,1),"ABCDEFGHIJKLMNOPQRSTUVWXYZ")),"")</f>
        <v/>
      </c>
      <c r="J497">
        <f>IF($F497=1,INDEX({10,12,13,14,15,16,17,18,19,20,21,23,24,25,26,27,28,29,30,31,32,34,35,36,37,38},1,FIND(MID($B497,4,1),"ABCDEFGHIJKLMNOPQRSTUVWXYZ")),"")</f>
        <v/>
      </c>
      <c r="K497">
        <f>IF($F497=1,FIND(MID($B497,5,1),"0123456789")-1,"")</f>
        <v/>
      </c>
      <c r="L497">
        <f>IF($F497=1,FIND(MID($B497,6,1),"0123456789")-1,"")</f>
        <v/>
      </c>
      <c r="M497">
        <f>IF($F497=1,FIND(MID($B497,7,1),"0123456789")-1,"")</f>
        <v/>
      </c>
      <c r="N497">
        <f>IF($F497=1,FIND(MID($B497,8,1),"0123456789")-1,"")</f>
        <v/>
      </c>
      <c r="O497">
        <f>IF($F497=1,FIND(MID($B497,9,1),"0123456789")-1,"")</f>
        <v/>
      </c>
      <c r="P497">
        <f>IF($F497=1,FIND(MID($B497,10,1),"0123456789")-1,"")</f>
        <v/>
      </c>
      <c r="Q497">
        <f>IF($F497=1,SUMPRODUCT($G497:$P497,{1,2,4,8,16,32,64,128,256,512}),"")</f>
        <v/>
      </c>
      <c r="R497">
        <f>IF($F497=1,MOD(MOD($Q497,11),10),"")</f>
        <v/>
      </c>
    </row>
    <row r="498">
      <c r="A498" s="6" t="n"/>
      <c r="B498" s="7">
        <f>IF($A498="","",UPPER(SUBSTITUTE(SUBSTITUTE(SUBSTITUTE(SUBSTITUTE(SUBSTITUTE(SUBSTITUTE($A498," ",""),"-",""),".",""),"/",""),"i","I"),"ı","?")))</f>
        <v/>
      </c>
      <c r="C498" s="8">
        <f>IF($F498=1,$R498,"")</f>
        <v/>
      </c>
      <c r="D498" s="7">
        <f>IF($A498="","",IF($F498=0,"Biçim hatalı",IF(FIND(MID($B498,11,1),"0123456789")-1=$R498,"Geçerli","Kontrol hanesi hatalı (doğrusu: "&amp;$R498&amp;")")))</f>
        <v/>
      </c>
      <c r="F498">
        <f>IF($A498="","",IF(AND(LEN($B498)=11,SUMPRODUCT(--ISNUMBER(FIND(MID($B498,{1,2,3},1),"ABCDEFGHIJKLMNOPQRSTUVWXYZ")))=3,ISNUMBER(FIND(MID($B498,4,1),"UJZ")),SUMPRODUCT(--ISNUMBER(FIND(MID($B498,{5,6,7,8,9,10,11},1),"0123456789")))=7),1,0))</f>
        <v/>
      </c>
      <c r="G498">
        <f>IF($F498=1,INDEX({10,12,13,14,15,16,17,18,19,20,21,23,24,25,26,27,28,29,30,31,32,34,35,36,37,38},1,FIND(MID($B498,1,1),"ABCDEFGHIJKLMNOPQRSTUVWXYZ")),"")</f>
        <v/>
      </c>
      <c r="H498">
        <f>IF($F498=1,INDEX({10,12,13,14,15,16,17,18,19,20,21,23,24,25,26,27,28,29,30,31,32,34,35,36,37,38},1,FIND(MID($B498,2,1),"ABCDEFGHIJKLMNOPQRSTUVWXYZ")),"")</f>
        <v/>
      </c>
      <c r="I498">
        <f>IF($F498=1,INDEX({10,12,13,14,15,16,17,18,19,20,21,23,24,25,26,27,28,29,30,31,32,34,35,36,37,38},1,FIND(MID($B498,3,1),"ABCDEFGHIJKLMNOPQRSTUVWXYZ")),"")</f>
        <v/>
      </c>
      <c r="J498">
        <f>IF($F498=1,INDEX({10,12,13,14,15,16,17,18,19,20,21,23,24,25,26,27,28,29,30,31,32,34,35,36,37,38},1,FIND(MID($B498,4,1),"ABCDEFGHIJKLMNOPQRSTUVWXYZ")),"")</f>
        <v/>
      </c>
      <c r="K498">
        <f>IF($F498=1,FIND(MID($B498,5,1),"0123456789")-1,"")</f>
        <v/>
      </c>
      <c r="L498">
        <f>IF($F498=1,FIND(MID($B498,6,1),"0123456789")-1,"")</f>
        <v/>
      </c>
      <c r="M498">
        <f>IF($F498=1,FIND(MID($B498,7,1),"0123456789")-1,"")</f>
        <v/>
      </c>
      <c r="N498">
        <f>IF($F498=1,FIND(MID($B498,8,1),"0123456789")-1,"")</f>
        <v/>
      </c>
      <c r="O498">
        <f>IF($F498=1,FIND(MID($B498,9,1),"0123456789")-1,"")</f>
        <v/>
      </c>
      <c r="P498">
        <f>IF($F498=1,FIND(MID($B498,10,1),"0123456789")-1,"")</f>
        <v/>
      </c>
      <c r="Q498">
        <f>IF($F498=1,SUMPRODUCT($G498:$P498,{1,2,4,8,16,32,64,128,256,512}),"")</f>
        <v/>
      </c>
      <c r="R498">
        <f>IF($F498=1,MOD(MOD($Q498,11),10),"")</f>
        <v/>
      </c>
    </row>
    <row r="499">
      <c r="A499" s="6" t="n"/>
      <c r="B499" s="7">
        <f>IF($A499="","",UPPER(SUBSTITUTE(SUBSTITUTE(SUBSTITUTE(SUBSTITUTE(SUBSTITUTE(SUBSTITUTE($A499," ",""),"-",""),".",""),"/",""),"i","I"),"ı","?")))</f>
        <v/>
      </c>
      <c r="C499" s="8">
        <f>IF($F499=1,$R499,"")</f>
        <v/>
      </c>
      <c r="D499" s="7">
        <f>IF($A499="","",IF($F499=0,"Biçim hatalı",IF(FIND(MID($B499,11,1),"0123456789")-1=$R499,"Geçerli","Kontrol hanesi hatalı (doğrusu: "&amp;$R499&amp;")")))</f>
        <v/>
      </c>
      <c r="F499">
        <f>IF($A499="","",IF(AND(LEN($B499)=11,SUMPRODUCT(--ISNUMBER(FIND(MID($B499,{1,2,3},1),"ABCDEFGHIJKLMNOPQRSTUVWXYZ")))=3,ISNUMBER(FIND(MID($B499,4,1),"UJZ")),SUMPRODUCT(--ISNUMBER(FIND(MID($B499,{5,6,7,8,9,10,11},1),"0123456789")))=7),1,0))</f>
        <v/>
      </c>
      <c r="G499">
        <f>IF($F499=1,INDEX({10,12,13,14,15,16,17,18,19,20,21,23,24,25,26,27,28,29,30,31,32,34,35,36,37,38},1,FIND(MID($B499,1,1),"ABCDEFGHIJKLMNOPQRSTUVWXYZ")),"")</f>
        <v/>
      </c>
      <c r="H499">
        <f>IF($F499=1,INDEX({10,12,13,14,15,16,17,18,19,20,21,23,24,25,26,27,28,29,30,31,32,34,35,36,37,38},1,FIND(MID($B499,2,1),"ABCDEFGHIJKLMNOPQRSTUVWXYZ")),"")</f>
        <v/>
      </c>
      <c r="I499">
        <f>IF($F499=1,INDEX({10,12,13,14,15,16,17,18,19,20,21,23,24,25,26,27,28,29,30,31,32,34,35,36,37,38},1,FIND(MID($B499,3,1),"ABCDEFGHIJKLMNOPQRSTUVWXYZ")),"")</f>
        <v/>
      </c>
      <c r="J499">
        <f>IF($F499=1,INDEX({10,12,13,14,15,16,17,18,19,20,21,23,24,25,26,27,28,29,30,31,32,34,35,36,37,38},1,FIND(MID($B499,4,1),"ABCDEFGHIJKLMNOPQRSTUVWXYZ")),"")</f>
        <v/>
      </c>
      <c r="K499">
        <f>IF($F499=1,FIND(MID($B499,5,1),"0123456789")-1,"")</f>
        <v/>
      </c>
      <c r="L499">
        <f>IF($F499=1,FIND(MID($B499,6,1),"0123456789")-1,"")</f>
        <v/>
      </c>
      <c r="M499">
        <f>IF($F499=1,FIND(MID($B499,7,1),"0123456789")-1,"")</f>
        <v/>
      </c>
      <c r="N499">
        <f>IF($F499=1,FIND(MID($B499,8,1),"0123456789")-1,"")</f>
        <v/>
      </c>
      <c r="O499">
        <f>IF($F499=1,FIND(MID($B499,9,1),"0123456789")-1,"")</f>
        <v/>
      </c>
      <c r="P499">
        <f>IF($F499=1,FIND(MID($B499,10,1),"0123456789")-1,"")</f>
        <v/>
      </c>
      <c r="Q499">
        <f>IF($F499=1,SUMPRODUCT($G499:$P499,{1,2,4,8,16,32,64,128,256,512}),"")</f>
        <v/>
      </c>
      <c r="R499">
        <f>IF($F499=1,MOD(MOD($Q499,11),10),"")</f>
        <v/>
      </c>
    </row>
    <row r="500">
      <c r="A500" s="6" t="n"/>
      <c r="B500" s="7">
        <f>IF($A500="","",UPPER(SUBSTITUTE(SUBSTITUTE(SUBSTITUTE(SUBSTITUTE(SUBSTITUTE(SUBSTITUTE($A500," ",""),"-",""),".",""),"/",""),"i","I"),"ı","?")))</f>
        <v/>
      </c>
      <c r="C500" s="8">
        <f>IF($F500=1,$R500,"")</f>
        <v/>
      </c>
      <c r="D500" s="7">
        <f>IF($A500="","",IF($F500=0,"Biçim hatalı",IF(FIND(MID($B500,11,1),"0123456789")-1=$R500,"Geçerli","Kontrol hanesi hatalı (doğrusu: "&amp;$R500&amp;")")))</f>
        <v/>
      </c>
      <c r="F500">
        <f>IF($A500="","",IF(AND(LEN($B500)=11,SUMPRODUCT(--ISNUMBER(FIND(MID($B500,{1,2,3},1),"ABCDEFGHIJKLMNOPQRSTUVWXYZ")))=3,ISNUMBER(FIND(MID($B500,4,1),"UJZ")),SUMPRODUCT(--ISNUMBER(FIND(MID($B500,{5,6,7,8,9,10,11},1),"0123456789")))=7),1,0))</f>
        <v/>
      </c>
      <c r="G500">
        <f>IF($F500=1,INDEX({10,12,13,14,15,16,17,18,19,20,21,23,24,25,26,27,28,29,30,31,32,34,35,36,37,38},1,FIND(MID($B500,1,1),"ABCDEFGHIJKLMNOPQRSTUVWXYZ")),"")</f>
        <v/>
      </c>
      <c r="H500">
        <f>IF($F500=1,INDEX({10,12,13,14,15,16,17,18,19,20,21,23,24,25,26,27,28,29,30,31,32,34,35,36,37,38},1,FIND(MID($B500,2,1),"ABCDEFGHIJKLMNOPQRSTUVWXYZ")),"")</f>
        <v/>
      </c>
      <c r="I500">
        <f>IF($F500=1,INDEX({10,12,13,14,15,16,17,18,19,20,21,23,24,25,26,27,28,29,30,31,32,34,35,36,37,38},1,FIND(MID($B500,3,1),"ABCDEFGHIJKLMNOPQRSTUVWXYZ")),"")</f>
        <v/>
      </c>
      <c r="J500">
        <f>IF($F500=1,INDEX({10,12,13,14,15,16,17,18,19,20,21,23,24,25,26,27,28,29,30,31,32,34,35,36,37,38},1,FIND(MID($B500,4,1),"ABCDEFGHIJKLMNOPQRSTUVWXYZ")),"")</f>
        <v/>
      </c>
      <c r="K500">
        <f>IF($F500=1,FIND(MID($B500,5,1),"0123456789")-1,"")</f>
        <v/>
      </c>
      <c r="L500">
        <f>IF($F500=1,FIND(MID($B500,6,1),"0123456789")-1,"")</f>
        <v/>
      </c>
      <c r="M500">
        <f>IF($F500=1,FIND(MID($B500,7,1),"0123456789")-1,"")</f>
        <v/>
      </c>
      <c r="N500">
        <f>IF($F500=1,FIND(MID($B500,8,1),"0123456789")-1,"")</f>
        <v/>
      </c>
      <c r="O500">
        <f>IF($F500=1,FIND(MID($B500,9,1),"0123456789")-1,"")</f>
        <v/>
      </c>
      <c r="P500">
        <f>IF($F500=1,FIND(MID($B500,10,1),"0123456789")-1,"")</f>
        <v/>
      </c>
      <c r="Q500">
        <f>IF($F500=1,SUMPRODUCT($G500:$P500,{1,2,4,8,16,32,64,128,256,512}),"")</f>
        <v/>
      </c>
      <c r="R500">
        <f>IF($F500=1,MOD(MOD($Q500,11),10),"")</f>
        <v/>
      </c>
    </row>
    <row r="501">
      <c r="A501" s="6" t="n"/>
      <c r="B501" s="7">
        <f>IF($A501="","",UPPER(SUBSTITUTE(SUBSTITUTE(SUBSTITUTE(SUBSTITUTE(SUBSTITUTE(SUBSTITUTE($A501," ",""),"-",""),".",""),"/",""),"i","I"),"ı","?")))</f>
        <v/>
      </c>
      <c r="C501" s="8">
        <f>IF($F501=1,$R501,"")</f>
        <v/>
      </c>
      <c r="D501" s="7">
        <f>IF($A501="","",IF($F501=0,"Biçim hatalı",IF(FIND(MID($B501,11,1),"0123456789")-1=$R501,"Geçerli","Kontrol hanesi hatalı (doğrusu: "&amp;$R501&amp;")")))</f>
        <v/>
      </c>
      <c r="F501">
        <f>IF($A501="","",IF(AND(LEN($B501)=11,SUMPRODUCT(--ISNUMBER(FIND(MID($B501,{1,2,3},1),"ABCDEFGHIJKLMNOPQRSTUVWXYZ")))=3,ISNUMBER(FIND(MID($B501,4,1),"UJZ")),SUMPRODUCT(--ISNUMBER(FIND(MID($B501,{5,6,7,8,9,10,11},1),"0123456789")))=7),1,0))</f>
        <v/>
      </c>
      <c r="G501">
        <f>IF($F501=1,INDEX({10,12,13,14,15,16,17,18,19,20,21,23,24,25,26,27,28,29,30,31,32,34,35,36,37,38},1,FIND(MID($B501,1,1),"ABCDEFGHIJKLMNOPQRSTUVWXYZ")),"")</f>
        <v/>
      </c>
      <c r="H501">
        <f>IF($F501=1,INDEX({10,12,13,14,15,16,17,18,19,20,21,23,24,25,26,27,28,29,30,31,32,34,35,36,37,38},1,FIND(MID($B501,2,1),"ABCDEFGHIJKLMNOPQRSTUVWXYZ")),"")</f>
        <v/>
      </c>
      <c r="I501">
        <f>IF($F501=1,INDEX({10,12,13,14,15,16,17,18,19,20,21,23,24,25,26,27,28,29,30,31,32,34,35,36,37,38},1,FIND(MID($B501,3,1),"ABCDEFGHIJKLMNOPQRSTUVWXYZ")),"")</f>
        <v/>
      </c>
      <c r="J501">
        <f>IF($F501=1,INDEX({10,12,13,14,15,16,17,18,19,20,21,23,24,25,26,27,28,29,30,31,32,34,35,36,37,38},1,FIND(MID($B501,4,1),"ABCDEFGHIJKLMNOPQRSTUVWXYZ")),"")</f>
        <v/>
      </c>
      <c r="K501">
        <f>IF($F501=1,FIND(MID($B501,5,1),"0123456789")-1,"")</f>
        <v/>
      </c>
      <c r="L501">
        <f>IF($F501=1,FIND(MID($B501,6,1),"0123456789")-1,"")</f>
        <v/>
      </c>
      <c r="M501">
        <f>IF($F501=1,FIND(MID($B501,7,1),"0123456789")-1,"")</f>
        <v/>
      </c>
      <c r="N501">
        <f>IF($F501=1,FIND(MID($B501,8,1),"0123456789")-1,"")</f>
        <v/>
      </c>
      <c r="O501">
        <f>IF($F501=1,FIND(MID($B501,9,1),"0123456789")-1,"")</f>
        <v/>
      </c>
      <c r="P501">
        <f>IF($F501=1,FIND(MID($B501,10,1),"0123456789")-1,"")</f>
        <v/>
      </c>
      <c r="Q501">
        <f>IF($F501=1,SUMPRODUCT($G501:$P501,{1,2,4,8,16,32,64,128,256,512}),"")</f>
        <v/>
      </c>
      <c r="R501">
        <f>IF($F501=1,MOD(MOD($Q501,11),10),"")</f>
        <v/>
      </c>
    </row>
    <row r="502">
      <c r="A502" s="6" t="n"/>
      <c r="B502" s="7">
        <f>IF($A502="","",UPPER(SUBSTITUTE(SUBSTITUTE(SUBSTITUTE(SUBSTITUTE(SUBSTITUTE(SUBSTITUTE($A502," ",""),"-",""),".",""),"/",""),"i","I"),"ı","?")))</f>
        <v/>
      </c>
      <c r="C502" s="8">
        <f>IF($F502=1,$R502,"")</f>
        <v/>
      </c>
      <c r="D502" s="7">
        <f>IF($A502="","",IF($F502=0,"Biçim hatalı",IF(FIND(MID($B502,11,1),"0123456789")-1=$R502,"Geçerli","Kontrol hanesi hatalı (doğrusu: "&amp;$R502&amp;")")))</f>
        <v/>
      </c>
      <c r="F502">
        <f>IF($A502="","",IF(AND(LEN($B502)=11,SUMPRODUCT(--ISNUMBER(FIND(MID($B502,{1,2,3},1),"ABCDEFGHIJKLMNOPQRSTUVWXYZ")))=3,ISNUMBER(FIND(MID($B502,4,1),"UJZ")),SUMPRODUCT(--ISNUMBER(FIND(MID($B502,{5,6,7,8,9,10,11},1),"0123456789")))=7),1,0))</f>
        <v/>
      </c>
      <c r="G502">
        <f>IF($F502=1,INDEX({10,12,13,14,15,16,17,18,19,20,21,23,24,25,26,27,28,29,30,31,32,34,35,36,37,38},1,FIND(MID($B502,1,1),"ABCDEFGHIJKLMNOPQRSTUVWXYZ")),"")</f>
        <v/>
      </c>
      <c r="H502">
        <f>IF($F502=1,INDEX({10,12,13,14,15,16,17,18,19,20,21,23,24,25,26,27,28,29,30,31,32,34,35,36,37,38},1,FIND(MID($B502,2,1),"ABCDEFGHIJKLMNOPQRSTUVWXYZ")),"")</f>
        <v/>
      </c>
      <c r="I502">
        <f>IF($F502=1,INDEX({10,12,13,14,15,16,17,18,19,20,21,23,24,25,26,27,28,29,30,31,32,34,35,36,37,38},1,FIND(MID($B502,3,1),"ABCDEFGHIJKLMNOPQRSTUVWXYZ")),"")</f>
        <v/>
      </c>
      <c r="J502">
        <f>IF($F502=1,INDEX({10,12,13,14,15,16,17,18,19,20,21,23,24,25,26,27,28,29,30,31,32,34,35,36,37,38},1,FIND(MID($B502,4,1),"ABCDEFGHIJKLMNOPQRSTUVWXYZ")),"")</f>
        <v/>
      </c>
      <c r="K502">
        <f>IF($F502=1,FIND(MID($B502,5,1),"0123456789")-1,"")</f>
        <v/>
      </c>
      <c r="L502">
        <f>IF($F502=1,FIND(MID($B502,6,1),"0123456789")-1,"")</f>
        <v/>
      </c>
      <c r="M502">
        <f>IF($F502=1,FIND(MID($B502,7,1),"0123456789")-1,"")</f>
        <v/>
      </c>
      <c r="N502">
        <f>IF($F502=1,FIND(MID($B502,8,1),"0123456789")-1,"")</f>
        <v/>
      </c>
      <c r="O502">
        <f>IF($F502=1,FIND(MID($B502,9,1),"0123456789")-1,"")</f>
        <v/>
      </c>
      <c r="P502">
        <f>IF($F502=1,FIND(MID($B502,10,1),"0123456789")-1,"")</f>
        <v/>
      </c>
      <c r="Q502">
        <f>IF($F502=1,SUMPRODUCT($G502:$P502,{1,2,4,8,16,32,64,128,256,512}),"")</f>
        <v/>
      </c>
      <c r="R502">
        <f>IF($F502=1,MOD(MOD($Q502,11),10),"")</f>
        <v/>
      </c>
    </row>
    <row r="503">
      <c r="A503" s="6" t="n"/>
      <c r="B503" s="7">
        <f>IF($A503="","",UPPER(SUBSTITUTE(SUBSTITUTE(SUBSTITUTE(SUBSTITUTE(SUBSTITUTE(SUBSTITUTE($A503," ",""),"-",""),".",""),"/",""),"i","I"),"ı","?")))</f>
        <v/>
      </c>
      <c r="C503" s="8">
        <f>IF($F503=1,$R503,"")</f>
        <v/>
      </c>
      <c r="D503" s="7">
        <f>IF($A503="","",IF($F503=0,"Biçim hatalı",IF(FIND(MID($B503,11,1),"0123456789")-1=$R503,"Geçerli","Kontrol hanesi hatalı (doğrusu: "&amp;$R503&amp;")")))</f>
        <v/>
      </c>
      <c r="F503">
        <f>IF($A503="","",IF(AND(LEN($B503)=11,SUMPRODUCT(--ISNUMBER(FIND(MID($B503,{1,2,3},1),"ABCDEFGHIJKLMNOPQRSTUVWXYZ")))=3,ISNUMBER(FIND(MID($B503,4,1),"UJZ")),SUMPRODUCT(--ISNUMBER(FIND(MID($B503,{5,6,7,8,9,10,11},1),"0123456789")))=7),1,0))</f>
        <v/>
      </c>
      <c r="G503">
        <f>IF($F503=1,INDEX({10,12,13,14,15,16,17,18,19,20,21,23,24,25,26,27,28,29,30,31,32,34,35,36,37,38},1,FIND(MID($B503,1,1),"ABCDEFGHIJKLMNOPQRSTUVWXYZ")),"")</f>
        <v/>
      </c>
      <c r="H503">
        <f>IF($F503=1,INDEX({10,12,13,14,15,16,17,18,19,20,21,23,24,25,26,27,28,29,30,31,32,34,35,36,37,38},1,FIND(MID($B503,2,1),"ABCDEFGHIJKLMNOPQRSTUVWXYZ")),"")</f>
        <v/>
      </c>
      <c r="I503">
        <f>IF($F503=1,INDEX({10,12,13,14,15,16,17,18,19,20,21,23,24,25,26,27,28,29,30,31,32,34,35,36,37,38},1,FIND(MID($B503,3,1),"ABCDEFGHIJKLMNOPQRSTUVWXYZ")),"")</f>
        <v/>
      </c>
      <c r="J503">
        <f>IF($F503=1,INDEX({10,12,13,14,15,16,17,18,19,20,21,23,24,25,26,27,28,29,30,31,32,34,35,36,37,38},1,FIND(MID($B503,4,1),"ABCDEFGHIJKLMNOPQRSTUVWXYZ")),"")</f>
        <v/>
      </c>
      <c r="K503">
        <f>IF($F503=1,FIND(MID($B503,5,1),"0123456789")-1,"")</f>
        <v/>
      </c>
      <c r="L503">
        <f>IF($F503=1,FIND(MID($B503,6,1),"0123456789")-1,"")</f>
        <v/>
      </c>
      <c r="M503">
        <f>IF($F503=1,FIND(MID($B503,7,1),"0123456789")-1,"")</f>
        <v/>
      </c>
      <c r="N503">
        <f>IF($F503=1,FIND(MID($B503,8,1),"0123456789")-1,"")</f>
        <v/>
      </c>
      <c r="O503">
        <f>IF($F503=1,FIND(MID($B503,9,1),"0123456789")-1,"")</f>
        <v/>
      </c>
      <c r="P503">
        <f>IF($F503=1,FIND(MID($B503,10,1),"0123456789")-1,"")</f>
        <v/>
      </c>
      <c r="Q503">
        <f>IF($F503=1,SUMPRODUCT($G503:$P503,{1,2,4,8,16,32,64,128,256,512}),"")</f>
        <v/>
      </c>
      <c r="R503">
        <f>IF($F503=1,MOD(MOD($Q503,11),10),"")</f>
        <v/>
      </c>
    </row>
    <row r="504">
      <c r="A504" s="6" t="n"/>
      <c r="B504" s="7">
        <f>IF($A504="","",UPPER(SUBSTITUTE(SUBSTITUTE(SUBSTITUTE(SUBSTITUTE(SUBSTITUTE(SUBSTITUTE($A504," ",""),"-",""),".",""),"/",""),"i","I"),"ı","?")))</f>
        <v/>
      </c>
      <c r="C504" s="8">
        <f>IF($F504=1,$R504,"")</f>
        <v/>
      </c>
      <c r="D504" s="7">
        <f>IF($A504="","",IF($F504=0,"Biçim hatalı",IF(FIND(MID($B504,11,1),"0123456789")-1=$R504,"Geçerli","Kontrol hanesi hatalı (doğrusu: "&amp;$R504&amp;")")))</f>
        <v/>
      </c>
      <c r="F504">
        <f>IF($A504="","",IF(AND(LEN($B504)=11,SUMPRODUCT(--ISNUMBER(FIND(MID($B504,{1,2,3},1),"ABCDEFGHIJKLMNOPQRSTUVWXYZ")))=3,ISNUMBER(FIND(MID($B504,4,1),"UJZ")),SUMPRODUCT(--ISNUMBER(FIND(MID($B504,{5,6,7,8,9,10,11},1),"0123456789")))=7),1,0))</f>
        <v/>
      </c>
      <c r="G504">
        <f>IF($F504=1,INDEX({10,12,13,14,15,16,17,18,19,20,21,23,24,25,26,27,28,29,30,31,32,34,35,36,37,38},1,FIND(MID($B504,1,1),"ABCDEFGHIJKLMNOPQRSTUVWXYZ")),"")</f>
        <v/>
      </c>
      <c r="H504">
        <f>IF($F504=1,INDEX({10,12,13,14,15,16,17,18,19,20,21,23,24,25,26,27,28,29,30,31,32,34,35,36,37,38},1,FIND(MID($B504,2,1),"ABCDEFGHIJKLMNOPQRSTUVWXYZ")),"")</f>
        <v/>
      </c>
      <c r="I504">
        <f>IF($F504=1,INDEX({10,12,13,14,15,16,17,18,19,20,21,23,24,25,26,27,28,29,30,31,32,34,35,36,37,38},1,FIND(MID($B504,3,1),"ABCDEFGHIJKLMNOPQRSTUVWXYZ")),"")</f>
        <v/>
      </c>
      <c r="J504">
        <f>IF($F504=1,INDEX({10,12,13,14,15,16,17,18,19,20,21,23,24,25,26,27,28,29,30,31,32,34,35,36,37,38},1,FIND(MID($B504,4,1),"ABCDEFGHIJKLMNOPQRSTUVWXYZ")),"")</f>
        <v/>
      </c>
      <c r="K504">
        <f>IF($F504=1,FIND(MID($B504,5,1),"0123456789")-1,"")</f>
        <v/>
      </c>
      <c r="L504">
        <f>IF($F504=1,FIND(MID($B504,6,1),"0123456789")-1,"")</f>
        <v/>
      </c>
      <c r="M504">
        <f>IF($F504=1,FIND(MID($B504,7,1),"0123456789")-1,"")</f>
        <v/>
      </c>
      <c r="N504">
        <f>IF($F504=1,FIND(MID($B504,8,1),"0123456789")-1,"")</f>
        <v/>
      </c>
      <c r="O504">
        <f>IF($F504=1,FIND(MID($B504,9,1),"0123456789")-1,"")</f>
        <v/>
      </c>
      <c r="P504">
        <f>IF($F504=1,FIND(MID($B504,10,1),"0123456789")-1,"")</f>
        <v/>
      </c>
      <c r="Q504">
        <f>IF($F504=1,SUMPRODUCT($G504:$P504,{1,2,4,8,16,32,64,128,256,512}),"")</f>
        <v/>
      </c>
      <c r="R504">
        <f>IF($F504=1,MOD(MOD($Q504,11),10),"")</f>
        <v/>
      </c>
    </row>
    <row r="505">
      <c r="A505" s="6" t="n"/>
      <c r="B505" s="7">
        <f>IF($A505="","",UPPER(SUBSTITUTE(SUBSTITUTE(SUBSTITUTE(SUBSTITUTE(SUBSTITUTE(SUBSTITUTE($A505," ",""),"-",""),".",""),"/",""),"i","I"),"ı","?")))</f>
        <v/>
      </c>
      <c r="C505" s="8">
        <f>IF($F505=1,$R505,"")</f>
        <v/>
      </c>
      <c r="D505" s="7">
        <f>IF($A505="","",IF($F505=0,"Biçim hatalı",IF(FIND(MID($B505,11,1),"0123456789")-1=$R505,"Geçerli","Kontrol hanesi hatalı (doğrusu: "&amp;$R505&amp;")")))</f>
        <v/>
      </c>
      <c r="F505">
        <f>IF($A505="","",IF(AND(LEN($B505)=11,SUMPRODUCT(--ISNUMBER(FIND(MID($B505,{1,2,3},1),"ABCDEFGHIJKLMNOPQRSTUVWXYZ")))=3,ISNUMBER(FIND(MID($B505,4,1),"UJZ")),SUMPRODUCT(--ISNUMBER(FIND(MID($B505,{5,6,7,8,9,10,11},1),"0123456789")))=7),1,0))</f>
        <v/>
      </c>
      <c r="G505">
        <f>IF($F505=1,INDEX({10,12,13,14,15,16,17,18,19,20,21,23,24,25,26,27,28,29,30,31,32,34,35,36,37,38},1,FIND(MID($B505,1,1),"ABCDEFGHIJKLMNOPQRSTUVWXYZ")),"")</f>
        <v/>
      </c>
      <c r="H505">
        <f>IF($F505=1,INDEX({10,12,13,14,15,16,17,18,19,20,21,23,24,25,26,27,28,29,30,31,32,34,35,36,37,38},1,FIND(MID($B505,2,1),"ABCDEFGHIJKLMNOPQRSTUVWXYZ")),"")</f>
        <v/>
      </c>
      <c r="I505">
        <f>IF($F505=1,INDEX({10,12,13,14,15,16,17,18,19,20,21,23,24,25,26,27,28,29,30,31,32,34,35,36,37,38},1,FIND(MID($B505,3,1),"ABCDEFGHIJKLMNOPQRSTUVWXYZ")),"")</f>
        <v/>
      </c>
      <c r="J505">
        <f>IF($F505=1,INDEX({10,12,13,14,15,16,17,18,19,20,21,23,24,25,26,27,28,29,30,31,32,34,35,36,37,38},1,FIND(MID($B505,4,1),"ABCDEFGHIJKLMNOPQRSTUVWXYZ")),"")</f>
        <v/>
      </c>
      <c r="K505">
        <f>IF($F505=1,FIND(MID($B505,5,1),"0123456789")-1,"")</f>
        <v/>
      </c>
      <c r="L505">
        <f>IF($F505=1,FIND(MID($B505,6,1),"0123456789")-1,"")</f>
        <v/>
      </c>
      <c r="M505">
        <f>IF($F505=1,FIND(MID($B505,7,1),"0123456789")-1,"")</f>
        <v/>
      </c>
      <c r="N505">
        <f>IF($F505=1,FIND(MID($B505,8,1),"0123456789")-1,"")</f>
        <v/>
      </c>
      <c r="O505">
        <f>IF($F505=1,FIND(MID($B505,9,1),"0123456789")-1,"")</f>
        <v/>
      </c>
      <c r="P505">
        <f>IF($F505=1,FIND(MID($B505,10,1),"0123456789")-1,"")</f>
        <v/>
      </c>
      <c r="Q505">
        <f>IF($F505=1,SUMPRODUCT($G505:$P505,{1,2,4,8,16,32,64,128,256,512}),"")</f>
        <v/>
      </c>
      <c r="R505">
        <f>IF($F505=1,MOD(MOD($Q505,11),10),"")</f>
        <v/>
      </c>
    </row>
    <row r="506">
      <c r="A506" s="6" t="n"/>
      <c r="B506" s="7">
        <f>IF($A506="","",UPPER(SUBSTITUTE(SUBSTITUTE(SUBSTITUTE(SUBSTITUTE(SUBSTITUTE(SUBSTITUTE($A506," ",""),"-",""),".",""),"/",""),"i","I"),"ı","?")))</f>
        <v/>
      </c>
      <c r="C506" s="8">
        <f>IF($F506=1,$R506,"")</f>
        <v/>
      </c>
      <c r="D506" s="7">
        <f>IF($A506="","",IF($F506=0,"Biçim hatalı",IF(FIND(MID($B506,11,1),"0123456789")-1=$R506,"Geçerli","Kontrol hanesi hatalı (doğrusu: "&amp;$R506&amp;")")))</f>
        <v/>
      </c>
      <c r="F506">
        <f>IF($A506="","",IF(AND(LEN($B506)=11,SUMPRODUCT(--ISNUMBER(FIND(MID($B506,{1,2,3},1),"ABCDEFGHIJKLMNOPQRSTUVWXYZ")))=3,ISNUMBER(FIND(MID($B506,4,1),"UJZ")),SUMPRODUCT(--ISNUMBER(FIND(MID($B506,{5,6,7,8,9,10,11},1),"0123456789")))=7),1,0))</f>
        <v/>
      </c>
      <c r="G506">
        <f>IF($F506=1,INDEX({10,12,13,14,15,16,17,18,19,20,21,23,24,25,26,27,28,29,30,31,32,34,35,36,37,38},1,FIND(MID($B506,1,1),"ABCDEFGHIJKLMNOPQRSTUVWXYZ")),"")</f>
        <v/>
      </c>
      <c r="H506">
        <f>IF($F506=1,INDEX({10,12,13,14,15,16,17,18,19,20,21,23,24,25,26,27,28,29,30,31,32,34,35,36,37,38},1,FIND(MID($B506,2,1),"ABCDEFGHIJKLMNOPQRSTUVWXYZ")),"")</f>
        <v/>
      </c>
      <c r="I506">
        <f>IF($F506=1,INDEX({10,12,13,14,15,16,17,18,19,20,21,23,24,25,26,27,28,29,30,31,32,34,35,36,37,38},1,FIND(MID($B506,3,1),"ABCDEFGHIJKLMNOPQRSTUVWXYZ")),"")</f>
        <v/>
      </c>
      <c r="J506">
        <f>IF($F506=1,INDEX({10,12,13,14,15,16,17,18,19,20,21,23,24,25,26,27,28,29,30,31,32,34,35,36,37,38},1,FIND(MID($B506,4,1),"ABCDEFGHIJKLMNOPQRSTUVWXYZ")),"")</f>
        <v/>
      </c>
      <c r="K506">
        <f>IF($F506=1,FIND(MID($B506,5,1),"0123456789")-1,"")</f>
        <v/>
      </c>
      <c r="L506">
        <f>IF($F506=1,FIND(MID($B506,6,1),"0123456789")-1,"")</f>
        <v/>
      </c>
      <c r="M506">
        <f>IF($F506=1,FIND(MID($B506,7,1),"0123456789")-1,"")</f>
        <v/>
      </c>
      <c r="N506">
        <f>IF($F506=1,FIND(MID($B506,8,1),"0123456789")-1,"")</f>
        <v/>
      </c>
      <c r="O506">
        <f>IF($F506=1,FIND(MID($B506,9,1),"0123456789")-1,"")</f>
        <v/>
      </c>
      <c r="P506">
        <f>IF($F506=1,FIND(MID($B506,10,1),"0123456789")-1,"")</f>
        <v/>
      </c>
      <c r="Q506">
        <f>IF($F506=1,SUMPRODUCT($G506:$P506,{1,2,4,8,16,32,64,128,256,512}),"")</f>
        <v/>
      </c>
      <c r="R506">
        <f>IF($F506=1,MOD(MOD($Q506,11),10),"")</f>
        <v/>
      </c>
    </row>
    <row r="507">
      <c r="A507" s="6" t="n"/>
      <c r="B507" s="7">
        <f>IF($A507="","",UPPER(SUBSTITUTE(SUBSTITUTE(SUBSTITUTE(SUBSTITUTE(SUBSTITUTE(SUBSTITUTE($A507," ",""),"-",""),".",""),"/",""),"i","I"),"ı","?")))</f>
        <v/>
      </c>
      <c r="C507" s="8">
        <f>IF($F507=1,$R507,"")</f>
        <v/>
      </c>
      <c r="D507" s="7">
        <f>IF($A507="","",IF($F507=0,"Biçim hatalı",IF(FIND(MID($B507,11,1),"0123456789")-1=$R507,"Geçerli","Kontrol hanesi hatalı (doğrusu: "&amp;$R507&amp;")")))</f>
        <v/>
      </c>
      <c r="F507">
        <f>IF($A507="","",IF(AND(LEN($B507)=11,SUMPRODUCT(--ISNUMBER(FIND(MID($B507,{1,2,3},1),"ABCDEFGHIJKLMNOPQRSTUVWXYZ")))=3,ISNUMBER(FIND(MID($B507,4,1),"UJZ")),SUMPRODUCT(--ISNUMBER(FIND(MID($B507,{5,6,7,8,9,10,11},1),"0123456789")))=7),1,0))</f>
        <v/>
      </c>
      <c r="G507">
        <f>IF($F507=1,INDEX({10,12,13,14,15,16,17,18,19,20,21,23,24,25,26,27,28,29,30,31,32,34,35,36,37,38},1,FIND(MID($B507,1,1),"ABCDEFGHIJKLMNOPQRSTUVWXYZ")),"")</f>
        <v/>
      </c>
      <c r="H507">
        <f>IF($F507=1,INDEX({10,12,13,14,15,16,17,18,19,20,21,23,24,25,26,27,28,29,30,31,32,34,35,36,37,38},1,FIND(MID($B507,2,1),"ABCDEFGHIJKLMNOPQRSTUVWXYZ")),"")</f>
        <v/>
      </c>
      <c r="I507">
        <f>IF($F507=1,INDEX({10,12,13,14,15,16,17,18,19,20,21,23,24,25,26,27,28,29,30,31,32,34,35,36,37,38},1,FIND(MID($B507,3,1),"ABCDEFGHIJKLMNOPQRSTUVWXYZ")),"")</f>
        <v/>
      </c>
      <c r="J507">
        <f>IF($F507=1,INDEX({10,12,13,14,15,16,17,18,19,20,21,23,24,25,26,27,28,29,30,31,32,34,35,36,37,38},1,FIND(MID($B507,4,1),"ABCDEFGHIJKLMNOPQRSTUVWXYZ")),"")</f>
        <v/>
      </c>
      <c r="K507">
        <f>IF($F507=1,FIND(MID($B507,5,1),"0123456789")-1,"")</f>
        <v/>
      </c>
      <c r="L507">
        <f>IF($F507=1,FIND(MID($B507,6,1),"0123456789")-1,"")</f>
        <v/>
      </c>
      <c r="M507">
        <f>IF($F507=1,FIND(MID($B507,7,1),"0123456789")-1,"")</f>
        <v/>
      </c>
      <c r="N507">
        <f>IF($F507=1,FIND(MID($B507,8,1),"0123456789")-1,"")</f>
        <v/>
      </c>
      <c r="O507">
        <f>IF($F507=1,FIND(MID($B507,9,1),"0123456789")-1,"")</f>
        <v/>
      </c>
      <c r="P507">
        <f>IF($F507=1,FIND(MID($B507,10,1),"0123456789")-1,"")</f>
        <v/>
      </c>
      <c r="Q507">
        <f>IF($F507=1,SUMPRODUCT($G507:$P507,{1,2,4,8,16,32,64,128,256,512}),"")</f>
        <v/>
      </c>
      <c r="R507">
        <f>IF($F507=1,MOD(MOD($Q507,11),10),"")</f>
        <v/>
      </c>
    </row>
    <row r="508">
      <c r="A508" s="6" t="n"/>
      <c r="B508" s="7">
        <f>IF($A508="","",UPPER(SUBSTITUTE(SUBSTITUTE(SUBSTITUTE(SUBSTITUTE(SUBSTITUTE(SUBSTITUTE($A508," ",""),"-",""),".",""),"/",""),"i","I"),"ı","?")))</f>
        <v/>
      </c>
      <c r="C508" s="8">
        <f>IF($F508=1,$R508,"")</f>
        <v/>
      </c>
      <c r="D508" s="7">
        <f>IF($A508="","",IF($F508=0,"Biçim hatalı",IF(FIND(MID($B508,11,1),"0123456789")-1=$R508,"Geçerli","Kontrol hanesi hatalı (doğrusu: "&amp;$R508&amp;")")))</f>
        <v/>
      </c>
      <c r="F508">
        <f>IF($A508="","",IF(AND(LEN($B508)=11,SUMPRODUCT(--ISNUMBER(FIND(MID($B508,{1,2,3},1),"ABCDEFGHIJKLMNOPQRSTUVWXYZ")))=3,ISNUMBER(FIND(MID($B508,4,1),"UJZ")),SUMPRODUCT(--ISNUMBER(FIND(MID($B508,{5,6,7,8,9,10,11},1),"0123456789")))=7),1,0))</f>
        <v/>
      </c>
      <c r="G508">
        <f>IF($F508=1,INDEX({10,12,13,14,15,16,17,18,19,20,21,23,24,25,26,27,28,29,30,31,32,34,35,36,37,38},1,FIND(MID($B508,1,1),"ABCDEFGHIJKLMNOPQRSTUVWXYZ")),"")</f>
        <v/>
      </c>
      <c r="H508">
        <f>IF($F508=1,INDEX({10,12,13,14,15,16,17,18,19,20,21,23,24,25,26,27,28,29,30,31,32,34,35,36,37,38},1,FIND(MID($B508,2,1),"ABCDEFGHIJKLMNOPQRSTUVWXYZ")),"")</f>
        <v/>
      </c>
      <c r="I508">
        <f>IF($F508=1,INDEX({10,12,13,14,15,16,17,18,19,20,21,23,24,25,26,27,28,29,30,31,32,34,35,36,37,38},1,FIND(MID($B508,3,1),"ABCDEFGHIJKLMNOPQRSTUVWXYZ")),"")</f>
        <v/>
      </c>
      <c r="J508">
        <f>IF($F508=1,INDEX({10,12,13,14,15,16,17,18,19,20,21,23,24,25,26,27,28,29,30,31,32,34,35,36,37,38},1,FIND(MID($B508,4,1),"ABCDEFGHIJKLMNOPQRSTUVWXYZ")),"")</f>
        <v/>
      </c>
      <c r="K508">
        <f>IF($F508=1,FIND(MID($B508,5,1),"0123456789")-1,"")</f>
        <v/>
      </c>
      <c r="L508">
        <f>IF($F508=1,FIND(MID($B508,6,1),"0123456789")-1,"")</f>
        <v/>
      </c>
      <c r="M508">
        <f>IF($F508=1,FIND(MID($B508,7,1),"0123456789")-1,"")</f>
        <v/>
      </c>
      <c r="N508">
        <f>IF($F508=1,FIND(MID($B508,8,1),"0123456789")-1,"")</f>
        <v/>
      </c>
      <c r="O508">
        <f>IF($F508=1,FIND(MID($B508,9,1),"0123456789")-1,"")</f>
        <v/>
      </c>
      <c r="P508">
        <f>IF($F508=1,FIND(MID($B508,10,1),"0123456789")-1,"")</f>
        <v/>
      </c>
      <c r="Q508">
        <f>IF($F508=1,SUMPRODUCT($G508:$P508,{1,2,4,8,16,32,64,128,256,512}),"")</f>
        <v/>
      </c>
      <c r="R508">
        <f>IF($F508=1,MOD(MOD($Q508,11),10),"")</f>
        <v/>
      </c>
    </row>
    <row r="509">
      <c r="A509" s="6" t="n"/>
      <c r="B509" s="7">
        <f>IF($A509="","",UPPER(SUBSTITUTE(SUBSTITUTE(SUBSTITUTE(SUBSTITUTE(SUBSTITUTE(SUBSTITUTE($A509," ",""),"-",""),".",""),"/",""),"i","I"),"ı","?")))</f>
        <v/>
      </c>
      <c r="C509" s="8">
        <f>IF($F509=1,$R509,"")</f>
        <v/>
      </c>
      <c r="D509" s="7">
        <f>IF($A509="","",IF($F509=0,"Biçim hatalı",IF(FIND(MID($B509,11,1),"0123456789")-1=$R509,"Geçerli","Kontrol hanesi hatalı (doğrusu: "&amp;$R509&amp;")")))</f>
        <v/>
      </c>
      <c r="F509">
        <f>IF($A509="","",IF(AND(LEN($B509)=11,SUMPRODUCT(--ISNUMBER(FIND(MID($B509,{1,2,3},1),"ABCDEFGHIJKLMNOPQRSTUVWXYZ")))=3,ISNUMBER(FIND(MID($B509,4,1),"UJZ")),SUMPRODUCT(--ISNUMBER(FIND(MID($B509,{5,6,7,8,9,10,11},1),"0123456789")))=7),1,0))</f>
        <v/>
      </c>
      <c r="G509">
        <f>IF($F509=1,INDEX({10,12,13,14,15,16,17,18,19,20,21,23,24,25,26,27,28,29,30,31,32,34,35,36,37,38},1,FIND(MID($B509,1,1),"ABCDEFGHIJKLMNOPQRSTUVWXYZ")),"")</f>
        <v/>
      </c>
      <c r="H509">
        <f>IF($F509=1,INDEX({10,12,13,14,15,16,17,18,19,20,21,23,24,25,26,27,28,29,30,31,32,34,35,36,37,38},1,FIND(MID($B509,2,1),"ABCDEFGHIJKLMNOPQRSTUVWXYZ")),"")</f>
        <v/>
      </c>
      <c r="I509">
        <f>IF($F509=1,INDEX({10,12,13,14,15,16,17,18,19,20,21,23,24,25,26,27,28,29,30,31,32,34,35,36,37,38},1,FIND(MID($B509,3,1),"ABCDEFGHIJKLMNOPQRSTUVWXYZ")),"")</f>
        <v/>
      </c>
      <c r="J509">
        <f>IF($F509=1,INDEX({10,12,13,14,15,16,17,18,19,20,21,23,24,25,26,27,28,29,30,31,32,34,35,36,37,38},1,FIND(MID($B509,4,1),"ABCDEFGHIJKLMNOPQRSTUVWXYZ")),"")</f>
        <v/>
      </c>
      <c r="K509">
        <f>IF($F509=1,FIND(MID($B509,5,1),"0123456789")-1,"")</f>
        <v/>
      </c>
      <c r="L509">
        <f>IF($F509=1,FIND(MID($B509,6,1),"0123456789")-1,"")</f>
        <v/>
      </c>
      <c r="M509">
        <f>IF($F509=1,FIND(MID($B509,7,1),"0123456789")-1,"")</f>
        <v/>
      </c>
      <c r="N509">
        <f>IF($F509=1,FIND(MID($B509,8,1),"0123456789")-1,"")</f>
        <v/>
      </c>
      <c r="O509">
        <f>IF($F509=1,FIND(MID($B509,9,1),"0123456789")-1,"")</f>
        <v/>
      </c>
      <c r="P509">
        <f>IF($F509=1,FIND(MID($B509,10,1),"0123456789")-1,"")</f>
        <v/>
      </c>
      <c r="Q509">
        <f>IF($F509=1,SUMPRODUCT($G509:$P509,{1,2,4,8,16,32,64,128,256,512}),"")</f>
        <v/>
      </c>
      <c r="R509">
        <f>IF($F509=1,MOD(MOD($Q509,11),10),"")</f>
        <v/>
      </c>
    </row>
    <row r="510">
      <c r="A510" s="6" t="n"/>
      <c r="B510" s="7">
        <f>IF($A510="","",UPPER(SUBSTITUTE(SUBSTITUTE(SUBSTITUTE(SUBSTITUTE(SUBSTITUTE(SUBSTITUTE($A510," ",""),"-",""),".",""),"/",""),"i","I"),"ı","?")))</f>
        <v/>
      </c>
      <c r="C510" s="8">
        <f>IF($F510=1,$R510,"")</f>
        <v/>
      </c>
      <c r="D510" s="7">
        <f>IF($A510="","",IF($F510=0,"Biçim hatalı",IF(FIND(MID($B510,11,1),"0123456789")-1=$R510,"Geçerli","Kontrol hanesi hatalı (doğrusu: "&amp;$R510&amp;")")))</f>
        <v/>
      </c>
      <c r="F510">
        <f>IF($A510="","",IF(AND(LEN($B510)=11,SUMPRODUCT(--ISNUMBER(FIND(MID($B510,{1,2,3},1),"ABCDEFGHIJKLMNOPQRSTUVWXYZ")))=3,ISNUMBER(FIND(MID($B510,4,1),"UJZ")),SUMPRODUCT(--ISNUMBER(FIND(MID($B510,{5,6,7,8,9,10,11},1),"0123456789")))=7),1,0))</f>
        <v/>
      </c>
      <c r="G510">
        <f>IF($F510=1,INDEX({10,12,13,14,15,16,17,18,19,20,21,23,24,25,26,27,28,29,30,31,32,34,35,36,37,38},1,FIND(MID($B510,1,1),"ABCDEFGHIJKLMNOPQRSTUVWXYZ")),"")</f>
        <v/>
      </c>
      <c r="H510">
        <f>IF($F510=1,INDEX({10,12,13,14,15,16,17,18,19,20,21,23,24,25,26,27,28,29,30,31,32,34,35,36,37,38},1,FIND(MID($B510,2,1),"ABCDEFGHIJKLMNOPQRSTUVWXYZ")),"")</f>
        <v/>
      </c>
      <c r="I510">
        <f>IF($F510=1,INDEX({10,12,13,14,15,16,17,18,19,20,21,23,24,25,26,27,28,29,30,31,32,34,35,36,37,38},1,FIND(MID($B510,3,1),"ABCDEFGHIJKLMNOPQRSTUVWXYZ")),"")</f>
        <v/>
      </c>
      <c r="J510">
        <f>IF($F510=1,INDEX({10,12,13,14,15,16,17,18,19,20,21,23,24,25,26,27,28,29,30,31,32,34,35,36,37,38},1,FIND(MID($B510,4,1),"ABCDEFGHIJKLMNOPQRSTUVWXYZ")),"")</f>
        <v/>
      </c>
      <c r="K510">
        <f>IF($F510=1,FIND(MID($B510,5,1),"0123456789")-1,"")</f>
        <v/>
      </c>
      <c r="L510">
        <f>IF($F510=1,FIND(MID($B510,6,1),"0123456789")-1,"")</f>
        <v/>
      </c>
      <c r="M510">
        <f>IF($F510=1,FIND(MID($B510,7,1),"0123456789")-1,"")</f>
        <v/>
      </c>
      <c r="N510">
        <f>IF($F510=1,FIND(MID($B510,8,1),"0123456789")-1,"")</f>
        <v/>
      </c>
      <c r="O510">
        <f>IF($F510=1,FIND(MID($B510,9,1),"0123456789")-1,"")</f>
        <v/>
      </c>
      <c r="P510">
        <f>IF($F510=1,FIND(MID($B510,10,1),"0123456789")-1,"")</f>
        <v/>
      </c>
      <c r="Q510">
        <f>IF($F510=1,SUMPRODUCT($G510:$P510,{1,2,4,8,16,32,64,128,256,512}),"")</f>
        <v/>
      </c>
      <c r="R510">
        <f>IF($F510=1,MOD(MOD($Q510,11),10),"")</f>
        <v/>
      </c>
    </row>
    <row r="511">
      <c r="A511" s="6" t="n"/>
      <c r="B511" s="7">
        <f>IF($A511="","",UPPER(SUBSTITUTE(SUBSTITUTE(SUBSTITUTE(SUBSTITUTE(SUBSTITUTE(SUBSTITUTE($A511," ",""),"-",""),".",""),"/",""),"i","I"),"ı","?")))</f>
        <v/>
      </c>
      <c r="C511" s="8">
        <f>IF($F511=1,$R511,"")</f>
        <v/>
      </c>
      <c r="D511" s="7">
        <f>IF($A511="","",IF($F511=0,"Biçim hatalı",IF(FIND(MID($B511,11,1),"0123456789")-1=$R511,"Geçerli","Kontrol hanesi hatalı (doğrusu: "&amp;$R511&amp;")")))</f>
        <v/>
      </c>
      <c r="F511">
        <f>IF($A511="","",IF(AND(LEN($B511)=11,SUMPRODUCT(--ISNUMBER(FIND(MID($B511,{1,2,3},1),"ABCDEFGHIJKLMNOPQRSTUVWXYZ")))=3,ISNUMBER(FIND(MID($B511,4,1),"UJZ")),SUMPRODUCT(--ISNUMBER(FIND(MID($B511,{5,6,7,8,9,10,11},1),"0123456789")))=7),1,0))</f>
        <v/>
      </c>
      <c r="G511">
        <f>IF($F511=1,INDEX({10,12,13,14,15,16,17,18,19,20,21,23,24,25,26,27,28,29,30,31,32,34,35,36,37,38},1,FIND(MID($B511,1,1),"ABCDEFGHIJKLMNOPQRSTUVWXYZ")),"")</f>
        <v/>
      </c>
      <c r="H511">
        <f>IF($F511=1,INDEX({10,12,13,14,15,16,17,18,19,20,21,23,24,25,26,27,28,29,30,31,32,34,35,36,37,38},1,FIND(MID($B511,2,1),"ABCDEFGHIJKLMNOPQRSTUVWXYZ")),"")</f>
        <v/>
      </c>
      <c r="I511">
        <f>IF($F511=1,INDEX({10,12,13,14,15,16,17,18,19,20,21,23,24,25,26,27,28,29,30,31,32,34,35,36,37,38},1,FIND(MID($B511,3,1),"ABCDEFGHIJKLMNOPQRSTUVWXYZ")),"")</f>
        <v/>
      </c>
      <c r="J511">
        <f>IF($F511=1,INDEX({10,12,13,14,15,16,17,18,19,20,21,23,24,25,26,27,28,29,30,31,32,34,35,36,37,38},1,FIND(MID($B511,4,1),"ABCDEFGHIJKLMNOPQRSTUVWXYZ")),"")</f>
        <v/>
      </c>
      <c r="K511">
        <f>IF($F511=1,FIND(MID($B511,5,1),"0123456789")-1,"")</f>
        <v/>
      </c>
      <c r="L511">
        <f>IF($F511=1,FIND(MID($B511,6,1),"0123456789")-1,"")</f>
        <v/>
      </c>
      <c r="M511">
        <f>IF($F511=1,FIND(MID($B511,7,1),"0123456789")-1,"")</f>
        <v/>
      </c>
      <c r="N511">
        <f>IF($F511=1,FIND(MID($B511,8,1),"0123456789")-1,"")</f>
        <v/>
      </c>
      <c r="O511">
        <f>IF($F511=1,FIND(MID($B511,9,1),"0123456789")-1,"")</f>
        <v/>
      </c>
      <c r="P511">
        <f>IF($F511=1,FIND(MID($B511,10,1),"0123456789")-1,"")</f>
        <v/>
      </c>
      <c r="Q511">
        <f>IF($F511=1,SUMPRODUCT($G511:$P511,{1,2,4,8,16,32,64,128,256,512}),"")</f>
        <v/>
      </c>
      <c r="R511">
        <f>IF($F511=1,MOD(MOD($Q511,11),10),"")</f>
        <v/>
      </c>
    </row>
    <row r="512">
      <c r="A512" s="6" t="n"/>
      <c r="B512" s="7">
        <f>IF($A512="","",UPPER(SUBSTITUTE(SUBSTITUTE(SUBSTITUTE(SUBSTITUTE(SUBSTITUTE(SUBSTITUTE($A512," ",""),"-",""),".",""),"/",""),"i","I"),"ı","?")))</f>
        <v/>
      </c>
      <c r="C512" s="8">
        <f>IF($F512=1,$R512,"")</f>
        <v/>
      </c>
      <c r="D512" s="7">
        <f>IF($A512="","",IF($F512=0,"Biçim hatalı",IF(FIND(MID($B512,11,1),"0123456789")-1=$R512,"Geçerli","Kontrol hanesi hatalı (doğrusu: "&amp;$R512&amp;")")))</f>
        <v/>
      </c>
      <c r="F512">
        <f>IF($A512="","",IF(AND(LEN($B512)=11,SUMPRODUCT(--ISNUMBER(FIND(MID($B512,{1,2,3},1),"ABCDEFGHIJKLMNOPQRSTUVWXYZ")))=3,ISNUMBER(FIND(MID($B512,4,1),"UJZ")),SUMPRODUCT(--ISNUMBER(FIND(MID($B512,{5,6,7,8,9,10,11},1),"0123456789")))=7),1,0))</f>
        <v/>
      </c>
      <c r="G512">
        <f>IF($F512=1,INDEX({10,12,13,14,15,16,17,18,19,20,21,23,24,25,26,27,28,29,30,31,32,34,35,36,37,38},1,FIND(MID($B512,1,1),"ABCDEFGHIJKLMNOPQRSTUVWXYZ")),"")</f>
        <v/>
      </c>
      <c r="H512">
        <f>IF($F512=1,INDEX({10,12,13,14,15,16,17,18,19,20,21,23,24,25,26,27,28,29,30,31,32,34,35,36,37,38},1,FIND(MID($B512,2,1),"ABCDEFGHIJKLMNOPQRSTUVWXYZ")),"")</f>
        <v/>
      </c>
      <c r="I512">
        <f>IF($F512=1,INDEX({10,12,13,14,15,16,17,18,19,20,21,23,24,25,26,27,28,29,30,31,32,34,35,36,37,38},1,FIND(MID($B512,3,1),"ABCDEFGHIJKLMNOPQRSTUVWXYZ")),"")</f>
        <v/>
      </c>
      <c r="J512">
        <f>IF($F512=1,INDEX({10,12,13,14,15,16,17,18,19,20,21,23,24,25,26,27,28,29,30,31,32,34,35,36,37,38},1,FIND(MID($B512,4,1),"ABCDEFGHIJKLMNOPQRSTUVWXYZ")),"")</f>
        <v/>
      </c>
      <c r="K512">
        <f>IF($F512=1,FIND(MID($B512,5,1),"0123456789")-1,"")</f>
        <v/>
      </c>
      <c r="L512">
        <f>IF($F512=1,FIND(MID($B512,6,1),"0123456789")-1,"")</f>
        <v/>
      </c>
      <c r="M512">
        <f>IF($F512=1,FIND(MID($B512,7,1),"0123456789")-1,"")</f>
        <v/>
      </c>
      <c r="N512">
        <f>IF($F512=1,FIND(MID($B512,8,1),"0123456789")-1,"")</f>
        <v/>
      </c>
      <c r="O512">
        <f>IF($F512=1,FIND(MID($B512,9,1),"0123456789")-1,"")</f>
        <v/>
      </c>
      <c r="P512">
        <f>IF($F512=1,FIND(MID($B512,10,1),"0123456789")-1,"")</f>
        <v/>
      </c>
      <c r="Q512">
        <f>IF($F512=1,SUMPRODUCT($G512:$P512,{1,2,4,8,16,32,64,128,256,512}),"")</f>
        <v/>
      </c>
      <c r="R512">
        <f>IF($F512=1,MOD(MOD($Q512,11),10),"")</f>
        <v/>
      </c>
    </row>
    <row r="513">
      <c r="A513" s="6" t="n"/>
      <c r="B513" s="7">
        <f>IF($A513="","",UPPER(SUBSTITUTE(SUBSTITUTE(SUBSTITUTE(SUBSTITUTE(SUBSTITUTE(SUBSTITUTE($A513," ",""),"-",""),".",""),"/",""),"i","I"),"ı","?")))</f>
        <v/>
      </c>
      <c r="C513" s="8">
        <f>IF($F513=1,$R513,"")</f>
        <v/>
      </c>
      <c r="D513" s="7">
        <f>IF($A513="","",IF($F513=0,"Biçim hatalı",IF(FIND(MID($B513,11,1),"0123456789")-1=$R513,"Geçerli","Kontrol hanesi hatalı (doğrusu: "&amp;$R513&amp;")")))</f>
        <v/>
      </c>
      <c r="F513">
        <f>IF($A513="","",IF(AND(LEN($B513)=11,SUMPRODUCT(--ISNUMBER(FIND(MID($B513,{1,2,3},1),"ABCDEFGHIJKLMNOPQRSTUVWXYZ")))=3,ISNUMBER(FIND(MID($B513,4,1),"UJZ")),SUMPRODUCT(--ISNUMBER(FIND(MID($B513,{5,6,7,8,9,10,11},1),"0123456789")))=7),1,0))</f>
        <v/>
      </c>
      <c r="G513">
        <f>IF($F513=1,INDEX({10,12,13,14,15,16,17,18,19,20,21,23,24,25,26,27,28,29,30,31,32,34,35,36,37,38},1,FIND(MID($B513,1,1),"ABCDEFGHIJKLMNOPQRSTUVWXYZ")),"")</f>
        <v/>
      </c>
      <c r="H513">
        <f>IF($F513=1,INDEX({10,12,13,14,15,16,17,18,19,20,21,23,24,25,26,27,28,29,30,31,32,34,35,36,37,38},1,FIND(MID($B513,2,1),"ABCDEFGHIJKLMNOPQRSTUVWXYZ")),"")</f>
        <v/>
      </c>
      <c r="I513">
        <f>IF($F513=1,INDEX({10,12,13,14,15,16,17,18,19,20,21,23,24,25,26,27,28,29,30,31,32,34,35,36,37,38},1,FIND(MID($B513,3,1),"ABCDEFGHIJKLMNOPQRSTUVWXYZ")),"")</f>
        <v/>
      </c>
      <c r="J513">
        <f>IF($F513=1,INDEX({10,12,13,14,15,16,17,18,19,20,21,23,24,25,26,27,28,29,30,31,32,34,35,36,37,38},1,FIND(MID($B513,4,1),"ABCDEFGHIJKLMNOPQRSTUVWXYZ")),"")</f>
        <v/>
      </c>
      <c r="K513">
        <f>IF($F513=1,FIND(MID($B513,5,1),"0123456789")-1,"")</f>
        <v/>
      </c>
      <c r="L513">
        <f>IF($F513=1,FIND(MID($B513,6,1),"0123456789")-1,"")</f>
        <v/>
      </c>
      <c r="M513">
        <f>IF($F513=1,FIND(MID($B513,7,1),"0123456789")-1,"")</f>
        <v/>
      </c>
      <c r="N513">
        <f>IF($F513=1,FIND(MID($B513,8,1),"0123456789")-1,"")</f>
        <v/>
      </c>
      <c r="O513">
        <f>IF($F513=1,FIND(MID($B513,9,1),"0123456789")-1,"")</f>
        <v/>
      </c>
      <c r="P513">
        <f>IF($F513=1,FIND(MID($B513,10,1),"0123456789")-1,"")</f>
        <v/>
      </c>
      <c r="Q513">
        <f>IF($F513=1,SUMPRODUCT($G513:$P513,{1,2,4,8,16,32,64,128,256,512}),"")</f>
        <v/>
      </c>
      <c r="R513">
        <f>IF($F513=1,MOD(MOD($Q513,11),10),"")</f>
        <v/>
      </c>
    </row>
    <row r="514">
      <c r="A514" s="6" t="n"/>
      <c r="B514" s="7">
        <f>IF($A514="","",UPPER(SUBSTITUTE(SUBSTITUTE(SUBSTITUTE(SUBSTITUTE(SUBSTITUTE(SUBSTITUTE($A514," ",""),"-",""),".",""),"/",""),"i","I"),"ı","?")))</f>
        <v/>
      </c>
      <c r="C514" s="8">
        <f>IF($F514=1,$R514,"")</f>
        <v/>
      </c>
      <c r="D514" s="7">
        <f>IF($A514="","",IF($F514=0,"Biçim hatalı",IF(FIND(MID($B514,11,1),"0123456789")-1=$R514,"Geçerli","Kontrol hanesi hatalı (doğrusu: "&amp;$R514&amp;")")))</f>
        <v/>
      </c>
      <c r="F514">
        <f>IF($A514="","",IF(AND(LEN($B514)=11,SUMPRODUCT(--ISNUMBER(FIND(MID($B514,{1,2,3},1),"ABCDEFGHIJKLMNOPQRSTUVWXYZ")))=3,ISNUMBER(FIND(MID($B514,4,1),"UJZ")),SUMPRODUCT(--ISNUMBER(FIND(MID($B514,{5,6,7,8,9,10,11},1),"0123456789")))=7),1,0))</f>
        <v/>
      </c>
      <c r="G514">
        <f>IF($F514=1,INDEX({10,12,13,14,15,16,17,18,19,20,21,23,24,25,26,27,28,29,30,31,32,34,35,36,37,38},1,FIND(MID($B514,1,1),"ABCDEFGHIJKLMNOPQRSTUVWXYZ")),"")</f>
        <v/>
      </c>
      <c r="H514">
        <f>IF($F514=1,INDEX({10,12,13,14,15,16,17,18,19,20,21,23,24,25,26,27,28,29,30,31,32,34,35,36,37,38},1,FIND(MID($B514,2,1),"ABCDEFGHIJKLMNOPQRSTUVWXYZ")),"")</f>
        <v/>
      </c>
      <c r="I514">
        <f>IF($F514=1,INDEX({10,12,13,14,15,16,17,18,19,20,21,23,24,25,26,27,28,29,30,31,32,34,35,36,37,38},1,FIND(MID($B514,3,1),"ABCDEFGHIJKLMNOPQRSTUVWXYZ")),"")</f>
        <v/>
      </c>
      <c r="J514">
        <f>IF($F514=1,INDEX({10,12,13,14,15,16,17,18,19,20,21,23,24,25,26,27,28,29,30,31,32,34,35,36,37,38},1,FIND(MID($B514,4,1),"ABCDEFGHIJKLMNOPQRSTUVWXYZ")),"")</f>
        <v/>
      </c>
      <c r="K514">
        <f>IF($F514=1,FIND(MID($B514,5,1),"0123456789")-1,"")</f>
        <v/>
      </c>
      <c r="L514">
        <f>IF($F514=1,FIND(MID($B514,6,1),"0123456789")-1,"")</f>
        <v/>
      </c>
      <c r="M514">
        <f>IF($F514=1,FIND(MID($B514,7,1),"0123456789")-1,"")</f>
        <v/>
      </c>
      <c r="N514">
        <f>IF($F514=1,FIND(MID($B514,8,1),"0123456789")-1,"")</f>
        <v/>
      </c>
      <c r="O514">
        <f>IF($F514=1,FIND(MID($B514,9,1),"0123456789")-1,"")</f>
        <v/>
      </c>
      <c r="P514">
        <f>IF($F514=1,FIND(MID($B514,10,1),"0123456789")-1,"")</f>
        <v/>
      </c>
      <c r="Q514">
        <f>IF($F514=1,SUMPRODUCT($G514:$P514,{1,2,4,8,16,32,64,128,256,512}),"")</f>
        <v/>
      </c>
      <c r="R514">
        <f>IF($F514=1,MOD(MOD($Q514,11),10),"")</f>
        <v/>
      </c>
    </row>
    <row r="515">
      <c r="A515" s="6" t="n"/>
      <c r="B515" s="7">
        <f>IF($A515="","",UPPER(SUBSTITUTE(SUBSTITUTE(SUBSTITUTE(SUBSTITUTE(SUBSTITUTE(SUBSTITUTE($A515," ",""),"-",""),".",""),"/",""),"i","I"),"ı","?")))</f>
        <v/>
      </c>
      <c r="C515" s="8">
        <f>IF($F515=1,$R515,"")</f>
        <v/>
      </c>
      <c r="D515" s="7">
        <f>IF($A515="","",IF($F515=0,"Biçim hatalı",IF(FIND(MID($B515,11,1),"0123456789")-1=$R515,"Geçerli","Kontrol hanesi hatalı (doğrusu: "&amp;$R515&amp;")")))</f>
        <v/>
      </c>
      <c r="F515">
        <f>IF($A515="","",IF(AND(LEN($B515)=11,SUMPRODUCT(--ISNUMBER(FIND(MID($B515,{1,2,3},1),"ABCDEFGHIJKLMNOPQRSTUVWXYZ")))=3,ISNUMBER(FIND(MID($B515,4,1),"UJZ")),SUMPRODUCT(--ISNUMBER(FIND(MID($B515,{5,6,7,8,9,10,11},1),"0123456789")))=7),1,0))</f>
        <v/>
      </c>
      <c r="G515">
        <f>IF($F515=1,INDEX({10,12,13,14,15,16,17,18,19,20,21,23,24,25,26,27,28,29,30,31,32,34,35,36,37,38},1,FIND(MID($B515,1,1),"ABCDEFGHIJKLMNOPQRSTUVWXYZ")),"")</f>
        <v/>
      </c>
      <c r="H515">
        <f>IF($F515=1,INDEX({10,12,13,14,15,16,17,18,19,20,21,23,24,25,26,27,28,29,30,31,32,34,35,36,37,38},1,FIND(MID($B515,2,1),"ABCDEFGHIJKLMNOPQRSTUVWXYZ")),"")</f>
        <v/>
      </c>
      <c r="I515">
        <f>IF($F515=1,INDEX({10,12,13,14,15,16,17,18,19,20,21,23,24,25,26,27,28,29,30,31,32,34,35,36,37,38},1,FIND(MID($B515,3,1),"ABCDEFGHIJKLMNOPQRSTUVWXYZ")),"")</f>
        <v/>
      </c>
      <c r="J515">
        <f>IF($F515=1,INDEX({10,12,13,14,15,16,17,18,19,20,21,23,24,25,26,27,28,29,30,31,32,34,35,36,37,38},1,FIND(MID($B515,4,1),"ABCDEFGHIJKLMNOPQRSTUVWXYZ")),"")</f>
        <v/>
      </c>
      <c r="K515">
        <f>IF($F515=1,FIND(MID($B515,5,1),"0123456789")-1,"")</f>
        <v/>
      </c>
      <c r="L515">
        <f>IF($F515=1,FIND(MID($B515,6,1),"0123456789")-1,"")</f>
        <v/>
      </c>
      <c r="M515">
        <f>IF($F515=1,FIND(MID($B515,7,1),"0123456789")-1,"")</f>
        <v/>
      </c>
      <c r="N515">
        <f>IF($F515=1,FIND(MID($B515,8,1),"0123456789")-1,"")</f>
        <v/>
      </c>
      <c r="O515">
        <f>IF($F515=1,FIND(MID($B515,9,1),"0123456789")-1,"")</f>
        <v/>
      </c>
      <c r="P515">
        <f>IF($F515=1,FIND(MID($B515,10,1),"0123456789")-1,"")</f>
        <v/>
      </c>
      <c r="Q515">
        <f>IF($F515=1,SUMPRODUCT($G515:$P515,{1,2,4,8,16,32,64,128,256,512}),"")</f>
        <v/>
      </c>
      <c r="R515">
        <f>IF($F515=1,MOD(MOD($Q515,11),10),"")</f>
        <v/>
      </c>
    </row>
    <row r="516">
      <c r="A516" s="6" t="n"/>
      <c r="B516" s="7">
        <f>IF($A516="","",UPPER(SUBSTITUTE(SUBSTITUTE(SUBSTITUTE(SUBSTITUTE(SUBSTITUTE(SUBSTITUTE($A516," ",""),"-",""),".",""),"/",""),"i","I"),"ı","?")))</f>
        <v/>
      </c>
      <c r="C516" s="8">
        <f>IF($F516=1,$R516,"")</f>
        <v/>
      </c>
      <c r="D516" s="7">
        <f>IF($A516="","",IF($F516=0,"Biçim hatalı",IF(FIND(MID($B516,11,1),"0123456789")-1=$R516,"Geçerli","Kontrol hanesi hatalı (doğrusu: "&amp;$R516&amp;")")))</f>
        <v/>
      </c>
      <c r="F516">
        <f>IF($A516="","",IF(AND(LEN($B516)=11,SUMPRODUCT(--ISNUMBER(FIND(MID($B516,{1,2,3},1),"ABCDEFGHIJKLMNOPQRSTUVWXYZ")))=3,ISNUMBER(FIND(MID($B516,4,1),"UJZ")),SUMPRODUCT(--ISNUMBER(FIND(MID($B516,{5,6,7,8,9,10,11},1),"0123456789")))=7),1,0))</f>
        <v/>
      </c>
      <c r="G516">
        <f>IF($F516=1,INDEX({10,12,13,14,15,16,17,18,19,20,21,23,24,25,26,27,28,29,30,31,32,34,35,36,37,38},1,FIND(MID($B516,1,1),"ABCDEFGHIJKLMNOPQRSTUVWXYZ")),"")</f>
        <v/>
      </c>
      <c r="H516">
        <f>IF($F516=1,INDEX({10,12,13,14,15,16,17,18,19,20,21,23,24,25,26,27,28,29,30,31,32,34,35,36,37,38},1,FIND(MID($B516,2,1),"ABCDEFGHIJKLMNOPQRSTUVWXYZ")),"")</f>
        <v/>
      </c>
      <c r="I516">
        <f>IF($F516=1,INDEX({10,12,13,14,15,16,17,18,19,20,21,23,24,25,26,27,28,29,30,31,32,34,35,36,37,38},1,FIND(MID($B516,3,1),"ABCDEFGHIJKLMNOPQRSTUVWXYZ")),"")</f>
        <v/>
      </c>
      <c r="J516">
        <f>IF($F516=1,INDEX({10,12,13,14,15,16,17,18,19,20,21,23,24,25,26,27,28,29,30,31,32,34,35,36,37,38},1,FIND(MID($B516,4,1),"ABCDEFGHIJKLMNOPQRSTUVWXYZ")),"")</f>
        <v/>
      </c>
      <c r="K516">
        <f>IF($F516=1,FIND(MID($B516,5,1),"0123456789")-1,"")</f>
        <v/>
      </c>
      <c r="L516">
        <f>IF($F516=1,FIND(MID($B516,6,1),"0123456789")-1,"")</f>
        <v/>
      </c>
      <c r="M516">
        <f>IF($F516=1,FIND(MID($B516,7,1),"0123456789")-1,"")</f>
        <v/>
      </c>
      <c r="N516">
        <f>IF($F516=1,FIND(MID($B516,8,1),"0123456789")-1,"")</f>
        <v/>
      </c>
      <c r="O516">
        <f>IF($F516=1,FIND(MID($B516,9,1),"0123456789")-1,"")</f>
        <v/>
      </c>
      <c r="P516">
        <f>IF($F516=1,FIND(MID($B516,10,1),"0123456789")-1,"")</f>
        <v/>
      </c>
      <c r="Q516">
        <f>IF($F516=1,SUMPRODUCT($G516:$P516,{1,2,4,8,16,32,64,128,256,512}),"")</f>
        <v/>
      </c>
      <c r="R516">
        <f>IF($F516=1,MOD(MOD($Q516,11),10),"")</f>
        <v/>
      </c>
    </row>
    <row r="517">
      <c r="A517" s="6" t="n"/>
      <c r="B517" s="7">
        <f>IF($A517="","",UPPER(SUBSTITUTE(SUBSTITUTE(SUBSTITUTE(SUBSTITUTE(SUBSTITUTE(SUBSTITUTE($A517," ",""),"-",""),".",""),"/",""),"i","I"),"ı","?")))</f>
        <v/>
      </c>
      <c r="C517" s="8">
        <f>IF($F517=1,$R517,"")</f>
        <v/>
      </c>
      <c r="D517" s="7">
        <f>IF($A517="","",IF($F517=0,"Biçim hatalı",IF(FIND(MID($B517,11,1),"0123456789")-1=$R517,"Geçerli","Kontrol hanesi hatalı (doğrusu: "&amp;$R517&amp;")")))</f>
        <v/>
      </c>
      <c r="F517">
        <f>IF($A517="","",IF(AND(LEN($B517)=11,SUMPRODUCT(--ISNUMBER(FIND(MID($B517,{1,2,3},1),"ABCDEFGHIJKLMNOPQRSTUVWXYZ")))=3,ISNUMBER(FIND(MID($B517,4,1),"UJZ")),SUMPRODUCT(--ISNUMBER(FIND(MID($B517,{5,6,7,8,9,10,11},1),"0123456789")))=7),1,0))</f>
        <v/>
      </c>
      <c r="G517">
        <f>IF($F517=1,INDEX({10,12,13,14,15,16,17,18,19,20,21,23,24,25,26,27,28,29,30,31,32,34,35,36,37,38},1,FIND(MID($B517,1,1),"ABCDEFGHIJKLMNOPQRSTUVWXYZ")),"")</f>
        <v/>
      </c>
      <c r="H517">
        <f>IF($F517=1,INDEX({10,12,13,14,15,16,17,18,19,20,21,23,24,25,26,27,28,29,30,31,32,34,35,36,37,38},1,FIND(MID($B517,2,1),"ABCDEFGHIJKLMNOPQRSTUVWXYZ")),"")</f>
        <v/>
      </c>
      <c r="I517">
        <f>IF($F517=1,INDEX({10,12,13,14,15,16,17,18,19,20,21,23,24,25,26,27,28,29,30,31,32,34,35,36,37,38},1,FIND(MID($B517,3,1),"ABCDEFGHIJKLMNOPQRSTUVWXYZ")),"")</f>
        <v/>
      </c>
      <c r="J517">
        <f>IF($F517=1,INDEX({10,12,13,14,15,16,17,18,19,20,21,23,24,25,26,27,28,29,30,31,32,34,35,36,37,38},1,FIND(MID($B517,4,1),"ABCDEFGHIJKLMNOPQRSTUVWXYZ")),"")</f>
        <v/>
      </c>
      <c r="K517">
        <f>IF($F517=1,FIND(MID($B517,5,1),"0123456789")-1,"")</f>
        <v/>
      </c>
      <c r="L517">
        <f>IF($F517=1,FIND(MID($B517,6,1),"0123456789")-1,"")</f>
        <v/>
      </c>
      <c r="M517">
        <f>IF($F517=1,FIND(MID($B517,7,1),"0123456789")-1,"")</f>
        <v/>
      </c>
      <c r="N517">
        <f>IF($F517=1,FIND(MID($B517,8,1),"0123456789")-1,"")</f>
        <v/>
      </c>
      <c r="O517">
        <f>IF($F517=1,FIND(MID($B517,9,1),"0123456789")-1,"")</f>
        <v/>
      </c>
      <c r="P517">
        <f>IF($F517=1,FIND(MID($B517,10,1),"0123456789")-1,"")</f>
        <v/>
      </c>
      <c r="Q517">
        <f>IF($F517=1,SUMPRODUCT($G517:$P517,{1,2,4,8,16,32,64,128,256,512}),"")</f>
        <v/>
      </c>
      <c r="R517">
        <f>IF($F517=1,MOD(MOD($Q517,11),10),"")</f>
        <v/>
      </c>
    </row>
    <row r="518">
      <c r="A518" s="6" t="n"/>
      <c r="B518" s="7">
        <f>IF($A518="","",UPPER(SUBSTITUTE(SUBSTITUTE(SUBSTITUTE(SUBSTITUTE(SUBSTITUTE(SUBSTITUTE($A518," ",""),"-",""),".",""),"/",""),"i","I"),"ı","?")))</f>
        <v/>
      </c>
      <c r="C518" s="8">
        <f>IF($F518=1,$R518,"")</f>
        <v/>
      </c>
      <c r="D518" s="7">
        <f>IF($A518="","",IF($F518=0,"Biçim hatalı",IF(FIND(MID($B518,11,1),"0123456789")-1=$R518,"Geçerli","Kontrol hanesi hatalı (doğrusu: "&amp;$R518&amp;")")))</f>
        <v/>
      </c>
      <c r="F518">
        <f>IF($A518="","",IF(AND(LEN($B518)=11,SUMPRODUCT(--ISNUMBER(FIND(MID($B518,{1,2,3},1),"ABCDEFGHIJKLMNOPQRSTUVWXYZ")))=3,ISNUMBER(FIND(MID($B518,4,1),"UJZ")),SUMPRODUCT(--ISNUMBER(FIND(MID($B518,{5,6,7,8,9,10,11},1),"0123456789")))=7),1,0))</f>
        <v/>
      </c>
      <c r="G518">
        <f>IF($F518=1,INDEX({10,12,13,14,15,16,17,18,19,20,21,23,24,25,26,27,28,29,30,31,32,34,35,36,37,38},1,FIND(MID($B518,1,1),"ABCDEFGHIJKLMNOPQRSTUVWXYZ")),"")</f>
        <v/>
      </c>
      <c r="H518">
        <f>IF($F518=1,INDEX({10,12,13,14,15,16,17,18,19,20,21,23,24,25,26,27,28,29,30,31,32,34,35,36,37,38},1,FIND(MID($B518,2,1),"ABCDEFGHIJKLMNOPQRSTUVWXYZ")),"")</f>
        <v/>
      </c>
      <c r="I518">
        <f>IF($F518=1,INDEX({10,12,13,14,15,16,17,18,19,20,21,23,24,25,26,27,28,29,30,31,32,34,35,36,37,38},1,FIND(MID($B518,3,1),"ABCDEFGHIJKLMNOPQRSTUVWXYZ")),"")</f>
        <v/>
      </c>
      <c r="J518">
        <f>IF($F518=1,INDEX({10,12,13,14,15,16,17,18,19,20,21,23,24,25,26,27,28,29,30,31,32,34,35,36,37,38},1,FIND(MID($B518,4,1),"ABCDEFGHIJKLMNOPQRSTUVWXYZ")),"")</f>
        <v/>
      </c>
      <c r="K518">
        <f>IF($F518=1,FIND(MID($B518,5,1),"0123456789")-1,"")</f>
        <v/>
      </c>
      <c r="L518">
        <f>IF($F518=1,FIND(MID($B518,6,1),"0123456789")-1,"")</f>
        <v/>
      </c>
      <c r="M518">
        <f>IF($F518=1,FIND(MID($B518,7,1),"0123456789")-1,"")</f>
        <v/>
      </c>
      <c r="N518">
        <f>IF($F518=1,FIND(MID($B518,8,1),"0123456789")-1,"")</f>
        <v/>
      </c>
      <c r="O518">
        <f>IF($F518=1,FIND(MID($B518,9,1),"0123456789")-1,"")</f>
        <v/>
      </c>
      <c r="P518">
        <f>IF($F518=1,FIND(MID($B518,10,1),"0123456789")-1,"")</f>
        <v/>
      </c>
      <c r="Q518">
        <f>IF($F518=1,SUMPRODUCT($G518:$P518,{1,2,4,8,16,32,64,128,256,512}),"")</f>
        <v/>
      </c>
      <c r="R518">
        <f>IF($F518=1,MOD(MOD($Q518,11),10),"")</f>
        <v/>
      </c>
    </row>
    <row r="519">
      <c r="A519" s="6" t="n"/>
      <c r="B519" s="7">
        <f>IF($A519="","",UPPER(SUBSTITUTE(SUBSTITUTE(SUBSTITUTE(SUBSTITUTE(SUBSTITUTE(SUBSTITUTE($A519," ",""),"-",""),".",""),"/",""),"i","I"),"ı","?")))</f>
        <v/>
      </c>
      <c r="C519" s="8">
        <f>IF($F519=1,$R519,"")</f>
        <v/>
      </c>
      <c r="D519" s="7">
        <f>IF($A519="","",IF($F519=0,"Biçim hatalı",IF(FIND(MID($B519,11,1),"0123456789")-1=$R519,"Geçerli","Kontrol hanesi hatalı (doğrusu: "&amp;$R519&amp;")")))</f>
        <v/>
      </c>
      <c r="F519">
        <f>IF($A519="","",IF(AND(LEN($B519)=11,SUMPRODUCT(--ISNUMBER(FIND(MID($B519,{1,2,3},1),"ABCDEFGHIJKLMNOPQRSTUVWXYZ")))=3,ISNUMBER(FIND(MID($B519,4,1),"UJZ")),SUMPRODUCT(--ISNUMBER(FIND(MID($B519,{5,6,7,8,9,10,11},1),"0123456789")))=7),1,0))</f>
        <v/>
      </c>
      <c r="G519">
        <f>IF($F519=1,INDEX({10,12,13,14,15,16,17,18,19,20,21,23,24,25,26,27,28,29,30,31,32,34,35,36,37,38},1,FIND(MID($B519,1,1),"ABCDEFGHIJKLMNOPQRSTUVWXYZ")),"")</f>
        <v/>
      </c>
      <c r="H519">
        <f>IF($F519=1,INDEX({10,12,13,14,15,16,17,18,19,20,21,23,24,25,26,27,28,29,30,31,32,34,35,36,37,38},1,FIND(MID($B519,2,1),"ABCDEFGHIJKLMNOPQRSTUVWXYZ")),"")</f>
        <v/>
      </c>
      <c r="I519">
        <f>IF($F519=1,INDEX({10,12,13,14,15,16,17,18,19,20,21,23,24,25,26,27,28,29,30,31,32,34,35,36,37,38},1,FIND(MID($B519,3,1),"ABCDEFGHIJKLMNOPQRSTUVWXYZ")),"")</f>
        <v/>
      </c>
      <c r="J519">
        <f>IF($F519=1,INDEX({10,12,13,14,15,16,17,18,19,20,21,23,24,25,26,27,28,29,30,31,32,34,35,36,37,38},1,FIND(MID($B519,4,1),"ABCDEFGHIJKLMNOPQRSTUVWXYZ")),"")</f>
        <v/>
      </c>
      <c r="K519">
        <f>IF($F519=1,FIND(MID($B519,5,1),"0123456789")-1,"")</f>
        <v/>
      </c>
      <c r="L519">
        <f>IF($F519=1,FIND(MID($B519,6,1),"0123456789")-1,"")</f>
        <v/>
      </c>
      <c r="M519">
        <f>IF($F519=1,FIND(MID($B519,7,1),"0123456789")-1,"")</f>
        <v/>
      </c>
      <c r="N519">
        <f>IF($F519=1,FIND(MID($B519,8,1),"0123456789")-1,"")</f>
        <v/>
      </c>
      <c r="O519">
        <f>IF($F519=1,FIND(MID($B519,9,1),"0123456789")-1,"")</f>
        <v/>
      </c>
      <c r="P519">
        <f>IF($F519=1,FIND(MID($B519,10,1),"0123456789")-1,"")</f>
        <v/>
      </c>
      <c r="Q519">
        <f>IF($F519=1,SUMPRODUCT($G519:$P519,{1,2,4,8,16,32,64,128,256,512}),"")</f>
        <v/>
      </c>
      <c r="R519">
        <f>IF($F519=1,MOD(MOD($Q519,11),10),"")</f>
        <v/>
      </c>
    </row>
    <row r="520">
      <c r="A520" s="6" t="n"/>
      <c r="B520" s="7">
        <f>IF($A520="","",UPPER(SUBSTITUTE(SUBSTITUTE(SUBSTITUTE(SUBSTITUTE(SUBSTITUTE(SUBSTITUTE($A520," ",""),"-",""),".",""),"/",""),"i","I"),"ı","?")))</f>
        <v/>
      </c>
      <c r="C520" s="8">
        <f>IF($F520=1,$R520,"")</f>
        <v/>
      </c>
      <c r="D520" s="7">
        <f>IF($A520="","",IF($F520=0,"Biçim hatalı",IF(FIND(MID($B520,11,1),"0123456789")-1=$R520,"Geçerli","Kontrol hanesi hatalı (doğrusu: "&amp;$R520&amp;")")))</f>
        <v/>
      </c>
      <c r="F520">
        <f>IF($A520="","",IF(AND(LEN($B520)=11,SUMPRODUCT(--ISNUMBER(FIND(MID($B520,{1,2,3},1),"ABCDEFGHIJKLMNOPQRSTUVWXYZ")))=3,ISNUMBER(FIND(MID($B520,4,1),"UJZ")),SUMPRODUCT(--ISNUMBER(FIND(MID($B520,{5,6,7,8,9,10,11},1),"0123456789")))=7),1,0))</f>
        <v/>
      </c>
      <c r="G520">
        <f>IF($F520=1,INDEX({10,12,13,14,15,16,17,18,19,20,21,23,24,25,26,27,28,29,30,31,32,34,35,36,37,38},1,FIND(MID($B520,1,1),"ABCDEFGHIJKLMNOPQRSTUVWXYZ")),"")</f>
        <v/>
      </c>
      <c r="H520">
        <f>IF($F520=1,INDEX({10,12,13,14,15,16,17,18,19,20,21,23,24,25,26,27,28,29,30,31,32,34,35,36,37,38},1,FIND(MID($B520,2,1),"ABCDEFGHIJKLMNOPQRSTUVWXYZ")),"")</f>
        <v/>
      </c>
      <c r="I520">
        <f>IF($F520=1,INDEX({10,12,13,14,15,16,17,18,19,20,21,23,24,25,26,27,28,29,30,31,32,34,35,36,37,38},1,FIND(MID($B520,3,1),"ABCDEFGHIJKLMNOPQRSTUVWXYZ")),"")</f>
        <v/>
      </c>
      <c r="J520">
        <f>IF($F520=1,INDEX({10,12,13,14,15,16,17,18,19,20,21,23,24,25,26,27,28,29,30,31,32,34,35,36,37,38},1,FIND(MID($B520,4,1),"ABCDEFGHIJKLMNOPQRSTUVWXYZ")),"")</f>
        <v/>
      </c>
      <c r="K520">
        <f>IF($F520=1,FIND(MID($B520,5,1),"0123456789")-1,"")</f>
        <v/>
      </c>
      <c r="L520">
        <f>IF($F520=1,FIND(MID($B520,6,1),"0123456789")-1,"")</f>
        <v/>
      </c>
      <c r="M520">
        <f>IF($F520=1,FIND(MID($B520,7,1),"0123456789")-1,"")</f>
        <v/>
      </c>
      <c r="N520">
        <f>IF($F520=1,FIND(MID($B520,8,1),"0123456789")-1,"")</f>
        <v/>
      </c>
      <c r="O520">
        <f>IF($F520=1,FIND(MID($B520,9,1),"0123456789")-1,"")</f>
        <v/>
      </c>
      <c r="P520">
        <f>IF($F520=1,FIND(MID($B520,10,1),"0123456789")-1,"")</f>
        <v/>
      </c>
      <c r="Q520">
        <f>IF($F520=1,SUMPRODUCT($G520:$P520,{1,2,4,8,16,32,64,128,256,512}),"")</f>
        <v/>
      </c>
      <c r="R520">
        <f>IF($F520=1,MOD(MOD($Q520,11),10),"")</f>
        <v/>
      </c>
    </row>
    <row r="521">
      <c r="A521" s="6" t="n"/>
      <c r="B521" s="7">
        <f>IF($A521="","",UPPER(SUBSTITUTE(SUBSTITUTE(SUBSTITUTE(SUBSTITUTE(SUBSTITUTE(SUBSTITUTE($A521," ",""),"-",""),".",""),"/",""),"i","I"),"ı","?")))</f>
        <v/>
      </c>
      <c r="C521" s="8">
        <f>IF($F521=1,$R521,"")</f>
        <v/>
      </c>
      <c r="D521" s="7">
        <f>IF($A521="","",IF($F521=0,"Biçim hatalı",IF(FIND(MID($B521,11,1),"0123456789")-1=$R521,"Geçerli","Kontrol hanesi hatalı (doğrusu: "&amp;$R521&amp;")")))</f>
        <v/>
      </c>
      <c r="F521">
        <f>IF($A521="","",IF(AND(LEN($B521)=11,SUMPRODUCT(--ISNUMBER(FIND(MID($B521,{1,2,3},1),"ABCDEFGHIJKLMNOPQRSTUVWXYZ")))=3,ISNUMBER(FIND(MID($B521,4,1),"UJZ")),SUMPRODUCT(--ISNUMBER(FIND(MID($B521,{5,6,7,8,9,10,11},1),"0123456789")))=7),1,0))</f>
        <v/>
      </c>
      <c r="G521">
        <f>IF($F521=1,INDEX({10,12,13,14,15,16,17,18,19,20,21,23,24,25,26,27,28,29,30,31,32,34,35,36,37,38},1,FIND(MID($B521,1,1),"ABCDEFGHIJKLMNOPQRSTUVWXYZ")),"")</f>
        <v/>
      </c>
      <c r="H521">
        <f>IF($F521=1,INDEX({10,12,13,14,15,16,17,18,19,20,21,23,24,25,26,27,28,29,30,31,32,34,35,36,37,38},1,FIND(MID($B521,2,1),"ABCDEFGHIJKLMNOPQRSTUVWXYZ")),"")</f>
        <v/>
      </c>
      <c r="I521">
        <f>IF($F521=1,INDEX({10,12,13,14,15,16,17,18,19,20,21,23,24,25,26,27,28,29,30,31,32,34,35,36,37,38},1,FIND(MID($B521,3,1),"ABCDEFGHIJKLMNOPQRSTUVWXYZ")),"")</f>
        <v/>
      </c>
      <c r="J521">
        <f>IF($F521=1,INDEX({10,12,13,14,15,16,17,18,19,20,21,23,24,25,26,27,28,29,30,31,32,34,35,36,37,38},1,FIND(MID($B521,4,1),"ABCDEFGHIJKLMNOPQRSTUVWXYZ")),"")</f>
        <v/>
      </c>
      <c r="K521">
        <f>IF($F521=1,FIND(MID($B521,5,1),"0123456789")-1,"")</f>
        <v/>
      </c>
      <c r="L521">
        <f>IF($F521=1,FIND(MID($B521,6,1),"0123456789")-1,"")</f>
        <v/>
      </c>
      <c r="M521">
        <f>IF($F521=1,FIND(MID($B521,7,1),"0123456789")-1,"")</f>
        <v/>
      </c>
      <c r="N521">
        <f>IF($F521=1,FIND(MID($B521,8,1),"0123456789")-1,"")</f>
        <v/>
      </c>
      <c r="O521">
        <f>IF($F521=1,FIND(MID($B521,9,1),"0123456789")-1,"")</f>
        <v/>
      </c>
      <c r="P521">
        <f>IF($F521=1,FIND(MID($B521,10,1),"0123456789")-1,"")</f>
        <v/>
      </c>
      <c r="Q521">
        <f>IF($F521=1,SUMPRODUCT($G521:$P521,{1,2,4,8,16,32,64,128,256,512}),"")</f>
        <v/>
      </c>
      <c r="R521">
        <f>IF($F521=1,MOD(MOD($Q521,11),10),"")</f>
        <v/>
      </c>
    </row>
    <row r="522">
      <c r="A522" s="6" t="n"/>
      <c r="B522" s="7">
        <f>IF($A522="","",UPPER(SUBSTITUTE(SUBSTITUTE(SUBSTITUTE(SUBSTITUTE(SUBSTITUTE(SUBSTITUTE($A522," ",""),"-",""),".",""),"/",""),"i","I"),"ı","?")))</f>
        <v/>
      </c>
      <c r="C522" s="8">
        <f>IF($F522=1,$R522,"")</f>
        <v/>
      </c>
      <c r="D522" s="7">
        <f>IF($A522="","",IF($F522=0,"Biçim hatalı",IF(FIND(MID($B522,11,1),"0123456789")-1=$R522,"Geçerli","Kontrol hanesi hatalı (doğrusu: "&amp;$R522&amp;")")))</f>
        <v/>
      </c>
      <c r="F522">
        <f>IF($A522="","",IF(AND(LEN($B522)=11,SUMPRODUCT(--ISNUMBER(FIND(MID($B522,{1,2,3},1),"ABCDEFGHIJKLMNOPQRSTUVWXYZ")))=3,ISNUMBER(FIND(MID($B522,4,1),"UJZ")),SUMPRODUCT(--ISNUMBER(FIND(MID($B522,{5,6,7,8,9,10,11},1),"0123456789")))=7),1,0))</f>
        <v/>
      </c>
      <c r="G522">
        <f>IF($F522=1,INDEX({10,12,13,14,15,16,17,18,19,20,21,23,24,25,26,27,28,29,30,31,32,34,35,36,37,38},1,FIND(MID($B522,1,1),"ABCDEFGHIJKLMNOPQRSTUVWXYZ")),"")</f>
        <v/>
      </c>
      <c r="H522">
        <f>IF($F522=1,INDEX({10,12,13,14,15,16,17,18,19,20,21,23,24,25,26,27,28,29,30,31,32,34,35,36,37,38},1,FIND(MID($B522,2,1),"ABCDEFGHIJKLMNOPQRSTUVWXYZ")),"")</f>
        <v/>
      </c>
      <c r="I522">
        <f>IF($F522=1,INDEX({10,12,13,14,15,16,17,18,19,20,21,23,24,25,26,27,28,29,30,31,32,34,35,36,37,38},1,FIND(MID($B522,3,1),"ABCDEFGHIJKLMNOPQRSTUVWXYZ")),"")</f>
        <v/>
      </c>
      <c r="J522">
        <f>IF($F522=1,INDEX({10,12,13,14,15,16,17,18,19,20,21,23,24,25,26,27,28,29,30,31,32,34,35,36,37,38},1,FIND(MID($B522,4,1),"ABCDEFGHIJKLMNOPQRSTUVWXYZ")),"")</f>
        <v/>
      </c>
      <c r="K522">
        <f>IF($F522=1,FIND(MID($B522,5,1),"0123456789")-1,"")</f>
        <v/>
      </c>
      <c r="L522">
        <f>IF($F522=1,FIND(MID($B522,6,1),"0123456789")-1,"")</f>
        <v/>
      </c>
      <c r="M522">
        <f>IF($F522=1,FIND(MID($B522,7,1),"0123456789")-1,"")</f>
        <v/>
      </c>
      <c r="N522">
        <f>IF($F522=1,FIND(MID($B522,8,1),"0123456789")-1,"")</f>
        <v/>
      </c>
      <c r="O522">
        <f>IF($F522=1,FIND(MID($B522,9,1),"0123456789")-1,"")</f>
        <v/>
      </c>
      <c r="P522">
        <f>IF($F522=1,FIND(MID($B522,10,1),"0123456789")-1,"")</f>
        <v/>
      </c>
      <c r="Q522">
        <f>IF($F522=1,SUMPRODUCT($G522:$P522,{1,2,4,8,16,32,64,128,256,512}),"")</f>
        <v/>
      </c>
      <c r="R522">
        <f>IF($F522=1,MOD(MOD($Q522,11),10),"")</f>
        <v/>
      </c>
    </row>
    <row r="523">
      <c r="A523" s="6" t="n"/>
      <c r="B523" s="7">
        <f>IF($A523="","",UPPER(SUBSTITUTE(SUBSTITUTE(SUBSTITUTE(SUBSTITUTE(SUBSTITUTE(SUBSTITUTE($A523," ",""),"-",""),".",""),"/",""),"i","I"),"ı","?")))</f>
        <v/>
      </c>
      <c r="C523" s="8">
        <f>IF($F523=1,$R523,"")</f>
        <v/>
      </c>
      <c r="D523" s="7">
        <f>IF($A523="","",IF($F523=0,"Biçim hatalı",IF(FIND(MID($B523,11,1),"0123456789")-1=$R523,"Geçerli","Kontrol hanesi hatalı (doğrusu: "&amp;$R523&amp;")")))</f>
        <v/>
      </c>
      <c r="F523">
        <f>IF($A523="","",IF(AND(LEN($B523)=11,SUMPRODUCT(--ISNUMBER(FIND(MID($B523,{1,2,3},1),"ABCDEFGHIJKLMNOPQRSTUVWXYZ")))=3,ISNUMBER(FIND(MID($B523,4,1),"UJZ")),SUMPRODUCT(--ISNUMBER(FIND(MID($B523,{5,6,7,8,9,10,11},1),"0123456789")))=7),1,0))</f>
        <v/>
      </c>
      <c r="G523">
        <f>IF($F523=1,INDEX({10,12,13,14,15,16,17,18,19,20,21,23,24,25,26,27,28,29,30,31,32,34,35,36,37,38},1,FIND(MID($B523,1,1),"ABCDEFGHIJKLMNOPQRSTUVWXYZ")),"")</f>
        <v/>
      </c>
      <c r="H523">
        <f>IF($F523=1,INDEX({10,12,13,14,15,16,17,18,19,20,21,23,24,25,26,27,28,29,30,31,32,34,35,36,37,38},1,FIND(MID($B523,2,1),"ABCDEFGHIJKLMNOPQRSTUVWXYZ")),"")</f>
        <v/>
      </c>
      <c r="I523">
        <f>IF($F523=1,INDEX({10,12,13,14,15,16,17,18,19,20,21,23,24,25,26,27,28,29,30,31,32,34,35,36,37,38},1,FIND(MID($B523,3,1),"ABCDEFGHIJKLMNOPQRSTUVWXYZ")),"")</f>
        <v/>
      </c>
      <c r="J523">
        <f>IF($F523=1,INDEX({10,12,13,14,15,16,17,18,19,20,21,23,24,25,26,27,28,29,30,31,32,34,35,36,37,38},1,FIND(MID($B523,4,1),"ABCDEFGHIJKLMNOPQRSTUVWXYZ")),"")</f>
        <v/>
      </c>
      <c r="K523">
        <f>IF($F523=1,FIND(MID($B523,5,1),"0123456789")-1,"")</f>
        <v/>
      </c>
      <c r="L523">
        <f>IF($F523=1,FIND(MID($B523,6,1),"0123456789")-1,"")</f>
        <v/>
      </c>
      <c r="M523">
        <f>IF($F523=1,FIND(MID($B523,7,1),"0123456789")-1,"")</f>
        <v/>
      </c>
      <c r="N523">
        <f>IF($F523=1,FIND(MID($B523,8,1),"0123456789")-1,"")</f>
        <v/>
      </c>
      <c r="O523">
        <f>IF($F523=1,FIND(MID($B523,9,1),"0123456789")-1,"")</f>
        <v/>
      </c>
      <c r="P523">
        <f>IF($F523=1,FIND(MID($B523,10,1),"0123456789")-1,"")</f>
        <v/>
      </c>
      <c r="Q523">
        <f>IF($F523=1,SUMPRODUCT($G523:$P523,{1,2,4,8,16,32,64,128,256,512}),"")</f>
        <v/>
      </c>
      <c r="R523">
        <f>IF($F523=1,MOD(MOD($Q523,11),10),"")</f>
        <v/>
      </c>
    </row>
    <row r="524">
      <c r="A524" s="6" t="n"/>
      <c r="B524" s="7">
        <f>IF($A524="","",UPPER(SUBSTITUTE(SUBSTITUTE(SUBSTITUTE(SUBSTITUTE(SUBSTITUTE(SUBSTITUTE($A524," ",""),"-",""),".",""),"/",""),"i","I"),"ı","?")))</f>
        <v/>
      </c>
      <c r="C524" s="8">
        <f>IF($F524=1,$R524,"")</f>
        <v/>
      </c>
      <c r="D524" s="7">
        <f>IF($A524="","",IF($F524=0,"Biçim hatalı",IF(FIND(MID($B524,11,1),"0123456789")-1=$R524,"Geçerli","Kontrol hanesi hatalı (doğrusu: "&amp;$R524&amp;")")))</f>
        <v/>
      </c>
      <c r="F524">
        <f>IF($A524="","",IF(AND(LEN($B524)=11,SUMPRODUCT(--ISNUMBER(FIND(MID($B524,{1,2,3},1),"ABCDEFGHIJKLMNOPQRSTUVWXYZ")))=3,ISNUMBER(FIND(MID($B524,4,1),"UJZ")),SUMPRODUCT(--ISNUMBER(FIND(MID($B524,{5,6,7,8,9,10,11},1),"0123456789")))=7),1,0))</f>
        <v/>
      </c>
      <c r="G524">
        <f>IF($F524=1,INDEX({10,12,13,14,15,16,17,18,19,20,21,23,24,25,26,27,28,29,30,31,32,34,35,36,37,38},1,FIND(MID($B524,1,1),"ABCDEFGHIJKLMNOPQRSTUVWXYZ")),"")</f>
        <v/>
      </c>
      <c r="H524">
        <f>IF($F524=1,INDEX({10,12,13,14,15,16,17,18,19,20,21,23,24,25,26,27,28,29,30,31,32,34,35,36,37,38},1,FIND(MID($B524,2,1),"ABCDEFGHIJKLMNOPQRSTUVWXYZ")),"")</f>
        <v/>
      </c>
      <c r="I524">
        <f>IF($F524=1,INDEX({10,12,13,14,15,16,17,18,19,20,21,23,24,25,26,27,28,29,30,31,32,34,35,36,37,38},1,FIND(MID($B524,3,1),"ABCDEFGHIJKLMNOPQRSTUVWXYZ")),"")</f>
        <v/>
      </c>
      <c r="J524">
        <f>IF($F524=1,INDEX({10,12,13,14,15,16,17,18,19,20,21,23,24,25,26,27,28,29,30,31,32,34,35,36,37,38},1,FIND(MID($B524,4,1),"ABCDEFGHIJKLMNOPQRSTUVWXYZ")),"")</f>
        <v/>
      </c>
      <c r="K524">
        <f>IF($F524=1,FIND(MID($B524,5,1),"0123456789")-1,"")</f>
        <v/>
      </c>
      <c r="L524">
        <f>IF($F524=1,FIND(MID($B524,6,1),"0123456789")-1,"")</f>
        <v/>
      </c>
      <c r="M524">
        <f>IF($F524=1,FIND(MID($B524,7,1),"0123456789")-1,"")</f>
        <v/>
      </c>
      <c r="N524">
        <f>IF($F524=1,FIND(MID($B524,8,1),"0123456789")-1,"")</f>
        <v/>
      </c>
      <c r="O524">
        <f>IF($F524=1,FIND(MID($B524,9,1),"0123456789")-1,"")</f>
        <v/>
      </c>
      <c r="P524">
        <f>IF($F524=1,FIND(MID($B524,10,1),"0123456789")-1,"")</f>
        <v/>
      </c>
      <c r="Q524">
        <f>IF($F524=1,SUMPRODUCT($G524:$P524,{1,2,4,8,16,32,64,128,256,512}),"")</f>
        <v/>
      </c>
      <c r="R524">
        <f>IF($F524=1,MOD(MOD($Q524,11),10),"")</f>
        <v/>
      </c>
    </row>
    <row r="525">
      <c r="A525" s="6" t="n"/>
      <c r="B525" s="7">
        <f>IF($A525="","",UPPER(SUBSTITUTE(SUBSTITUTE(SUBSTITUTE(SUBSTITUTE(SUBSTITUTE(SUBSTITUTE($A525," ",""),"-",""),".",""),"/",""),"i","I"),"ı","?")))</f>
        <v/>
      </c>
      <c r="C525" s="8">
        <f>IF($F525=1,$R525,"")</f>
        <v/>
      </c>
      <c r="D525" s="7">
        <f>IF($A525="","",IF($F525=0,"Biçim hatalı",IF(FIND(MID($B525,11,1),"0123456789")-1=$R525,"Geçerli","Kontrol hanesi hatalı (doğrusu: "&amp;$R525&amp;")")))</f>
        <v/>
      </c>
      <c r="F525">
        <f>IF($A525="","",IF(AND(LEN($B525)=11,SUMPRODUCT(--ISNUMBER(FIND(MID($B525,{1,2,3},1),"ABCDEFGHIJKLMNOPQRSTUVWXYZ")))=3,ISNUMBER(FIND(MID($B525,4,1),"UJZ")),SUMPRODUCT(--ISNUMBER(FIND(MID($B525,{5,6,7,8,9,10,11},1),"0123456789")))=7),1,0))</f>
        <v/>
      </c>
      <c r="G525">
        <f>IF($F525=1,INDEX({10,12,13,14,15,16,17,18,19,20,21,23,24,25,26,27,28,29,30,31,32,34,35,36,37,38},1,FIND(MID($B525,1,1),"ABCDEFGHIJKLMNOPQRSTUVWXYZ")),"")</f>
        <v/>
      </c>
      <c r="H525">
        <f>IF($F525=1,INDEX({10,12,13,14,15,16,17,18,19,20,21,23,24,25,26,27,28,29,30,31,32,34,35,36,37,38},1,FIND(MID($B525,2,1),"ABCDEFGHIJKLMNOPQRSTUVWXYZ")),"")</f>
        <v/>
      </c>
      <c r="I525">
        <f>IF($F525=1,INDEX({10,12,13,14,15,16,17,18,19,20,21,23,24,25,26,27,28,29,30,31,32,34,35,36,37,38},1,FIND(MID($B525,3,1),"ABCDEFGHIJKLMNOPQRSTUVWXYZ")),"")</f>
        <v/>
      </c>
      <c r="J525">
        <f>IF($F525=1,INDEX({10,12,13,14,15,16,17,18,19,20,21,23,24,25,26,27,28,29,30,31,32,34,35,36,37,38},1,FIND(MID($B525,4,1),"ABCDEFGHIJKLMNOPQRSTUVWXYZ")),"")</f>
        <v/>
      </c>
      <c r="K525">
        <f>IF($F525=1,FIND(MID($B525,5,1),"0123456789")-1,"")</f>
        <v/>
      </c>
      <c r="L525">
        <f>IF($F525=1,FIND(MID($B525,6,1),"0123456789")-1,"")</f>
        <v/>
      </c>
      <c r="M525">
        <f>IF($F525=1,FIND(MID($B525,7,1),"0123456789")-1,"")</f>
        <v/>
      </c>
      <c r="N525">
        <f>IF($F525=1,FIND(MID($B525,8,1),"0123456789")-1,"")</f>
        <v/>
      </c>
      <c r="O525">
        <f>IF($F525=1,FIND(MID($B525,9,1),"0123456789")-1,"")</f>
        <v/>
      </c>
      <c r="P525">
        <f>IF($F525=1,FIND(MID($B525,10,1),"0123456789")-1,"")</f>
        <v/>
      </c>
      <c r="Q525">
        <f>IF($F525=1,SUMPRODUCT($G525:$P525,{1,2,4,8,16,32,64,128,256,512}),"")</f>
        <v/>
      </c>
      <c r="R525">
        <f>IF($F525=1,MOD(MOD($Q525,11),10),"")</f>
        <v/>
      </c>
    </row>
    <row r="526">
      <c r="A526" s="6" t="n"/>
      <c r="B526" s="7">
        <f>IF($A526="","",UPPER(SUBSTITUTE(SUBSTITUTE(SUBSTITUTE(SUBSTITUTE(SUBSTITUTE(SUBSTITUTE($A526," ",""),"-",""),".",""),"/",""),"i","I"),"ı","?")))</f>
        <v/>
      </c>
      <c r="C526" s="8">
        <f>IF($F526=1,$R526,"")</f>
        <v/>
      </c>
      <c r="D526" s="7">
        <f>IF($A526="","",IF($F526=0,"Biçim hatalı",IF(FIND(MID($B526,11,1),"0123456789")-1=$R526,"Geçerli","Kontrol hanesi hatalı (doğrusu: "&amp;$R526&amp;")")))</f>
        <v/>
      </c>
      <c r="F526">
        <f>IF($A526="","",IF(AND(LEN($B526)=11,SUMPRODUCT(--ISNUMBER(FIND(MID($B526,{1,2,3},1),"ABCDEFGHIJKLMNOPQRSTUVWXYZ")))=3,ISNUMBER(FIND(MID($B526,4,1),"UJZ")),SUMPRODUCT(--ISNUMBER(FIND(MID($B526,{5,6,7,8,9,10,11},1),"0123456789")))=7),1,0))</f>
        <v/>
      </c>
      <c r="G526">
        <f>IF($F526=1,INDEX({10,12,13,14,15,16,17,18,19,20,21,23,24,25,26,27,28,29,30,31,32,34,35,36,37,38},1,FIND(MID($B526,1,1),"ABCDEFGHIJKLMNOPQRSTUVWXYZ")),"")</f>
        <v/>
      </c>
      <c r="H526">
        <f>IF($F526=1,INDEX({10,12,13,14,15,16,17,18,19,20,21,23,24,25,26,27,28,29,30,31,32,34,35,36,37,38},1,FIND(MID($B526,2,1),"ABCDEFGHIJKLMNOPQRSTUVWXYZ")),"")</f>
        <v/>
      </c>
      <c r="I526">
        <f>IF($F526=1,INDEX({10,12,13,14,15,16,17,18,19,20,21,23,24,25,26,27,28,29,30,31,32,34,35,36,37,38},1,FIND(MID($B526,3,1),"ABCDEFGHIJKLMNOPQRSTUVWXYZ")),"")</f>
        <v/>
      </c>
      <c r="J526">
        <f>IF($F526=1,INDEX({10,12,13,14,15,16,17,18,19,20,21,23,24,25,26,27,28,29,30,31,32,34,35,36,37,38},1,FIND(MID($B526,4,1),"ABCDEFGHIJKLMNOPQRSTUVWXYZ")),"")</f>
        <v/>
      </c>
      <c r="K526">
        <f>IF($F526=1,FIND(MID($B526,5,1),"0123456789")-1,"")</f>
        <v/>
      </c>
      <c r="L526">
        <f>IF($F526=1,FIND(MID($B526,6,1),"0123456789")-1,"")</f>
        <v/>
      </c>
      <c r="M526">
        <f>IF($F526=1,FIND(MID($B526,7,1),"0123456789")-1,"")</f>
        <v/>
      </c>
      <c r="N526">
        <f>IF($F526=1,FIND(MID($B526,8,1),"0123456789")-1,"")</f>
        <v/>
      </c>
      <c r="O526">
        <f>IF($F526=1,FIND(MID($B526,9,1),"0123456789")-1,"")</f>
        <v/>
      </c>
      <c r="P526">
        <f>IF($F526=1,FIND(MID($B526,10,1),"0123456789")-1,"")</f>
        <v/>
      </c>
      <c r="Q526">
        <f>IF($F526=1,SUMPRODUCT($G526:$P526,{1,2,4,8,16,32,64,128,256,512}),"")</f>
        <v/>
      </c>
      <c r="R526">
        <f>IF($F526=1,MOD(MOD($Q526,11),10),"")</f>
        <v/>
      </c>
    </row>
    <row r="527">
      <c r="A527" s="6" t="n"/>
      <c r="B527" s="7">
        <f>IF($A527="","",UPPER(SUBSTITUTE(SUBSTITUTE(SUBSTITUTE(SUBSTITUTE(SUBSTITUTE(SUBSTITUTE($A527," ",""),"-",""),".",""),"/",""),"i","I"),"ı","?")))</f>
        <v/>
      </c>
      <c r="C527" s="8">
        <f>IF($F527=1,$R527,"")</f>
        <v/>
      </c>
      <c r="D527" s="7">
        <f>IF($A527="","",IF($F527=0,"Biçim hatalı",IF(FIND(MID($B527,11,1),"0123456789")-1=$R527,"Geçerli","Kontrol hanesi hatalı (doğrusu: "&amp;$R527&amp;")")))</f>
        <v/>
      </c>
      <c r="F527">
        <f>IF($A527="","",IF(AND(LEN($B527)=11,SUMPRODUCT(--ISNUMBER(FIND(MID($B527,{1,2,3},1),"ABCDEFGHIJKLMNOPQRSTUVWXYZ")))=3,ISNUMBER(FIND(MID($B527,4,1),"UJZ")),SUMPRODUCT(--ISNUMBER(FIND(MID($B527,{5,6,7,8,9,10,11},1),"0123456789")))=7),1,0))</f>
        <v/>
      </c>
      <c r="G527">
        <f>IF($F527=1,INDEX({10,12,13,14,15,16,17,18,19,20,21,23,24,25,26,27,28,29,30,31,32,34,35,36,37,38},1,FIND(MID($B527,1,1),"ABCDEFGHIJKLMNOPQRSTUVWXYZ")),"")</f>
        <v/>
      </c>
      <c r="H527">
        <f>IF($F527=1,INDEX({10,12,13,14,15,16,17,18,19,20,21,23,24,25,26,27,28,29,30,31,32,34,35,36,37,38},1,FIND(MID($B527,2,1),"ABCDEFGHIJKLMNOPQRSTUVWXYZ")),"")</f>
        <v/>
      </c>
      <c r="I527">
        <f>IF($F527=1,INDEX({10,12,13,14,15,16,17,18,19,20,21,23,24,25,26,27,28,29,30,31,32,34,35,36,37,38},1,FIND(MID($B527,3,1),"ABCDEFGHIJKLMNOPQRSTUVWXYZ")),"")</f>
        <v/>
      </c>
      <c r="J527">
        <f>IF($F527=1,INDEX({10,12,13,14,15,16,17,18,19,20,21,23,24,25,26,27,28,29,30,31,32,34,35,36,37,38},1,FIND(MID($B527,4,1),"ABCDEFGHIJKLMNOPQRSTUVWXYZ")),"")</f>
        <v/>
      </c>
      <c r="K527">
        <f>IF($F527=1,FIND(MID($B527,5,1),"0123456789")-1,"")</f>
        <v/>
      </c>
      <c r="L527">
        <f>IF($F527=1,FIND(MID($B527,6,1),"0123456789")-1,"")</f>
        <v/>
      </c>
      <c r="M527">
        <f>IF($F527=1,FIND(MID($B527,7,1),"0123456789")-1,"")</f>
        <v/>
      </c>
      <c r="N527">
        <f>IF($F527=1,FIND(MID($B527,8,1),"0123456789")-1,"")</f>
        <v/>
      </c>
      <c r="O527">
        <f>IF($F527=1,FIND(MID($B527,9,1),"0123456789")-1,"")</f>
        <v/>
      </c>
      <c r="P527">
        <f>IF($F527=1,FIND(MID($B527,10,1),"0123456789")-1,"")</f>
        <v/>
      </c>
      <c r="Q527">
        <f>IF($F527=1,SUMPRODUCT($G527:$P527,{1,2,4,8,16,32,64,128,256,512}),"")</f>
        <v/>
      </c>
      <c r="R527">
        <f>IF($F527=1,MOD(MOD($Q527,11),10),"")</f>
        <v/>
      </c>
    </row>
    <row r="528">
      <c r="A528" s="6" t="n"/>
      <c r="B528" s="7">
        <f>IF($A528="","",UPPER(SUBSTITUTE(SUBSTITUTE(SUBSTITUTE(SUBSTITUTE(SUBSTITUTE(SUBSTITUTE($A528," ",""),"-",""),".",""),"/",""),"i","I"),"ı","?")))</f>
        <v/>
      </c>
      <c r="C528" s="8">
        <f>IF($F528=1,$R528,"")</f>
        <v/>
      </c>
      <c r="D528" s="7">
        <f>IF($A528="","",IF($F528=0,"Biçim hatalı",IF(FIND(MID($B528,11,1),"0123456789")-1=$R528,"Geçerli","Kontrol hanesi hatalı (doğrusu: "&amp;$R528&amp;")")))</f>
        <v/>
      </c>
      <c r="F528">
        <f>IF($A528="","",IF(AND(LEN($B528)=11,SUMPRODUCT(--ISNUMBER(FIND(MID($B528,{1,2,3},1),"ABCDEFGHIJKLMNOPQRSTUVWXYZ")))=3,ISNUMBER(FIND(MID($B528,4,1),"UJZ")),SUMPRODUCT(--ISNUMBER(FIND(MID($B528,{5,6,7,8,9,10,11},1),"0123456789")))=7),1,0))</f>
        <v/>
      </c>
      <c r="G528">
        <f>IF($F528=1,INDEX({10,12,13,14,15,16,17,18,19,20,21,23,24,25,26,27,28,29,30,31,32,34,35,36,37,38},1,FIND(MID($B528,1,1),"ABCDEFGHIJKLMNOPQRSTUVWXYZ")),"")</f>
        <v/>
      </c>
      <c r="H528">
        <f>IF($F528=1,INDEX({10,12,13,14,15,16,17,18,19,20,21,23,24,25,26,27,28,29,30,31,32,34,35,36,37,38},1,FIND(MID($B528,2,1),"ABCDEFGHIJKLMNOPQRSTUVWXYZ")),"")</f>
        <v/>
      </c>
      <c r="I528">
        <f>IF($F528=1,INDEX({10,12,13,14,15,16,17,18,19,20,21,23,24,25,26,27,28,29,30,31,32,34,35,36,37,38},1,FIND(MID($B528,3,1),"ABCDEFGHIJKLMNOPQRSTUVWXYZ")),"")</f>
        <v/>
      </c>
      <c r="J528">
        <f>IF($F528=1,INDEX({10,12,13,14,15,16,17,18,19,20,21,23,24,25,26,27,28,29,30,31,32,34,35,36,37,38},1,FIND(MID($B528,4,1),"ABCDEFGHIJKLMNOPQRSTUVWXYZ")),"")</f>
        <v/>
      </c>
      <c r="K528">
        <f>IF($F528=1,FIND(MID($B528,5,1),"0123456789")-1,"")</f>
        <v/>
      </c>
      <c r="L528">
        <f>IF($F528=1,FIND(MID($B528,6,1),"0123456789")-1,"")</f>
        <v/>
      </c>
      <c r="M528">
        <f>IF($F528=1,FIND(MID($B528,7,1),"0123456789")-1,"")</f>
        <v/>
      </c>
      <c r="N528">
        <f>IF($F528=1,FIND(MID($B528,8,1),"0123456789")-1,"")</f>
        <v/>
      </c>
      <c r="O528">
        <f>IF($F528=1,FIND(MID($B528,9,1),"0123456789")-1,"")</f>
        <v/>
      </c>
      <c r="P528">
        <f>IF($F528=1,FIND(MID($B528,10,1),"0123456789")-1,"")</f>
        <v/>
      </c>
      <c r="Q528">
        <f>IF($F528=1,SUMPRODUCT($G528:$P528,{1,2,4,8,16,32,64,128,256,512}),"")</f>
        <v/>
      </c>
      <c r="R528">
        <f>IF($F528=1,MOD(MOD($Q528,11),10),"")</f>
        <v/>
      </c>
    </row>
    <row r="529">
      <c r="A529" s="6" t="n"/>
      <c r="B529" s="7">
        <f>IF($A529="","",UPPER(SUBSTITUTE(SUBSTITUTE(SUBSTITUTE(SUBSTITUTE(SUBSTITUTE(SUBSTITUTE($A529," ",""),"-",""),".",""),"/",""),"i","I"),"ı","?")))</f>
        <v/>
      </c>
      <c r="C529" s="8">
        <f>IF($F529=1,$R529,"")</f>
        <v/>
      </c>
      <c r="D529" s="7">
        <f>IF($A529="","",IF($F529=0,"Biçim hatalı",IF(FIND(MID($B529,11,1),"0123456789")-1=$R529,"Geçerli","Kontrol hanesi hatalı (doğrusu: "&amp;$R529&amp;")")))</f>
        <v/>
      </c>
      <c r="F529">
        <f>IF($A529="","",IF(AND(LEN($B529)=11,SUMPRODUCT(--ISNUMBER(FIND(MID($B529,{1,2,3},1),"ABCDEFGHIJKLMNOPQRSTUVWXYZ")))=3,ISNUMBER(FIND(MID($B529,4,1),"UJZ")),SUMPRODUCT(--ISNUMBER(FIND(MID($B529,{5,6,7,8,9,10,11},1),"0123456789")))=7),1,0))</f>
        <v/>
      </c>
      <c r="G529">
        <f>IF($F529=1,INDEX({10,12,13,14,15,16,17,18,19,20,21,23,24,25,26,27,28,29,30,31,32,34,35,36,37,38},1,FIND(MID($B529,1,1),"ABCDEFGHIJKLMNOPQRSTUVWXYZ")),"")</f>
        <v/>
      </c>
      <c r="H529">
        <f>IF($F529=1,INDEX({10,12,13,14,15,16,17,18,19,20,21,23,24,25,26,27,28,29,30,31,32,34,35,36,37,38},1,FIND(MID($B529,2,1),"ABCDEFGHIJKLMNOPQRSTUVWXYZ")),"")</f>
        <v/>
      </c>
      <c r="I529">
        <f>IF($F529=1,INDEX({10,12,13,14,15,16,17,18,19,20,21,23,24,25,26,27,28,29,30,31,32,34,35,36,37,38},1,FIND(MID($B529,3,1),"ABCDEFGHIJKLMNOPQRSTUVWXYZ")),"")</f>
        <v/>
      </c>
      <c r="J529">
        <f>IF($F529=1,INDEX({10,12,13,14,15,16,17,18,19,20,21,23,24,25,26,27,28,29,30,31,32,34,35,36,37,38},1,FIND(MID($B529,4,1),"ABCDEFGHIJKLMNOPQRSTUVWXYZ")),"")</f>
        <v/>
      </c>
      <c r="K529">
        <f>IF($F529=1,FIND(MID($B529,5,1),"0123456789")-1,"")</f>
        <v/>
      </c>
      <c r="L529">
        <f>IF($F529=1,FIND(MID($B529,6,1),"0123456789")-1,"")</f>
        <v/>
      </c>
      <c r="M529">
        <f>IF($F529=1,FIND(MID($B529,7,1),"0123456789")-1,"")</f>
        <v/>
      </c>
      <c r="N529">
        <f>IF($F529=1,FIND(MID($B529,8,1),"0123456789")-1,"")</f>
        <v/>
      </c>
      <c r="O529">
        <f>IF($F529=1,FIND(MID($B529,9,1),"0123456789")-1,"")</f>
        <v/>
      </c>
      <c r="P529">
        <f>IF($F529=1,FIND(MID($B529,10,1),"0123456789")-1,"")</f>
        <v/>
      </c>
      <c r="Q529">
        <f>IF($F529=1,SUMPRODUCT($G529:$P529,{1,2,4,8,16,32,64,128,256,512}),"")</f>
        <v/>
      </c>
      <c r="R529">
        <f>IF($F529=1,MOD(MOD($Q529,11),10),"")</f>
        <v/>
      </c>
    </row>
    <row r="530">
      <c r="A530" s="6" t="n"/>
      <c r="B530" s="7">
        <f>IF($A530="","",UPPER(SUBSTITUTE(SUBSTITUTE(SUBSTITUTE(SUBSTITUTE(SUBSTITUTE(SUBSTITUTE($A530," ",""),"-",""),".",""),"/",""),"i","I"),"ı","?")))</f>
        <v/>
      </c>
      <c r="C530" s="8">
        <f>IF($F530=1,$R530,"")</f>
        <v/>
      </c>
      <c r="D530" s="7">
        <f>IF($A530="","",IF($F530=0,"Biçim hatalı",IF(FIND(MID($B530,11,1),"0123456789")-1=$R530,"Geçerli","Kontrol hanesi hatalı (doğrusu: "&amp;$R530&amp;")")))</f>
        <v/>
      </c>
      <c r="F530">
        <f>IF($A530="","",IF(AND(LEN($B530)=11,SUMPRODUCT(--ISNUMBER(FIND(MID($B530,{1,2,3},1),"ABCDEFGHIJKLMNOPQRSTUVWXYZ")))=3,ISNUMBER(FIND(MID($B530,4,1),"UJZ")),SUMPRODUCT(--ISNUMBER(FIND(MID($B530,{5,6,7,8,9,10,11},1),"0123456789")))=7),1,0))</f>
        <v/>
      </c>
      <c r="G530">
        <f>IF($F530=1,INDEX({10,12,13,14,15,16,17,18,19,20,21,23,24,25,26,27,28,29,30,31,32,34,35,36,37,38},1,FIND(MID($B530,1,1),"ABCDEFGHIJKLMNOPQRSTUVWXYZ")),"")</f>
        <v/>
      </c>
      <c r="H530">
        <f>IF($F530=1,INDEX({10,12,13,14,15,16,17,18,19,20,21,23,24,25,26,27,28,29,30,31,32,34,35,36,37,38},1,FIND(MID($B530,2,1),"ABCDEFGHIJKLMNOPQRSTUVWXYZ")),"")</f>
        <v/>
      </c>
      <c r="I530">
        <f>IF($F530=1,INDEX({10,12,13,14,15,16,17,18,19,20,21,23,24,25,26,27,28,29,30,31,32,34,35,36,37,38},1,FIND(MID($B530,3,1),"ABCDEFGHIJKLMNOPQRSTUVWXYZ")),"")</f>
        <v/>
      </c>
      <c r="J530">
        <f>IF($F530=1,INDEX({10,12,13,14,15,16,17,18,19,20,21,23,24,25,26,27,28,29,30,31,32,34,35,36,37,38},1,FIND(MID($B530,4,1),"ABCDEFGHIJKLMNOPQRSTUVWXYZ")),"")</f>
        <v/>
      </c>
      <c r="K530">
        <f>IF($F530=1,FIND(MID($B530,5,1),"0123456789")-1,"")</f>
        <v/>
      </c>
      <c r="L530">
        <f>IF($F530=1,FIND(MID($B530,6,1),"0123456789")-1,"")</f>
        <v/>
      </c>
      <c r="M530">
        <f>IF($F530=1,FIND(MID($B530,7,1),"0123456789")-1,"")</f>
        <v/>
      </c>
      <c r="N530">
        <f>IF($F530=1,FIND(MID($B530,8,1),"0123456789")-1,"")</f>
        <v/>
      </c>
      <c r="O530">
        <f>IF($F530=1,FIND(MID($B530,9,1),"0123456789")-1,"")</f>
        <v/>
      </c>
      <c r="P530">
        <f>IF($F530=1,FIND(MID($B530,10,1),"0123456789")-1,"")</f>
        <v/>
      </c>
      <c r="Q530">
        <f>IF($F530=1,SUMPRODUCT($G530:$P530,{1,2,4,8,16,32,64,128,256,512}),"")</f>
        <v/>
      </c>
      <c r="R530">
        <f>IF($F530=1,MOD(MOD($Q530,11),10),"")</f>
        <v/>
      </c>
    </row>
    <row r="531">
      <c r="A531" s="6" t="n"/>
      <c r="B531" s="7">
        <f>IF($A531="","",UPPER(SUBSTITUTE(SUBSTITUTE(SUBSTITUTE(SUBSTITUTE(SUBSTITUTE(SUBSTITUTE($A531," ",""),"-",""),".",""),"/",""),"i","I"),"ı","?")))</f>
        <v/>
      </c>
      <c r="C531" s="8">
        <f>IF($F531=1,$R531,"")</f>
        <v/>
      </c>
      <c r="D531" s="7">
        <f>IF($A531="","",IF($F531=0,"Biçim hatalı",IF(FIND(MID($B531,11,1),"0123456789")-1=$R531,"Geçerli","Kontrol hanesi hatalı (doğrusu: "&amp;$R531&amp;")")))</f>
        <v/>
      </c>
      <c r="F531">
        <f>IF($A531="","",IF(AND(LEN($B531)=11,SUMPRODUCT(--ISNUMBER(FIND(MID($B531,{1,2,3},1),"ABCDEFGHIJKLMNOPQRSTUVWXYZ")))=3,ISNUMBER(FIND(MID($B531,4,1),"UJZ")),SUMPRODUCT(--ISNUMBER(FIND(MID($B531,{5,6,7,8,9,10,11},1),"0123456789")))=7),1,0))</f>
        <v/>
      </c>
      <c r="G531">
        <f>IF($F531=1,INDEX({10,12,13,14,15,16,17,18,19,20,21,23,24,25,26,27,28,29,30,31,32,34,35,36,37,38},1,FIND(MID($B531,1,1),"ABCDEFGHIJKLMNOPQRSTUVWXYZ")),"")</f>
        <v/>
      </c>
      <c r="H531">
        <f>IF($F531=1,INDEX({10,12,13,14,15,16,17,18,19,20,21,23,24,25,26,27,28,29,30,31,32,34,35,36,37,38},1,FIND(MID($B531,2,1),"ABCDEFGHIJKLMNOPQRSTUVWXYZ")),"")</f>
        <v/>
      </c>
      <c r="I531">
        <f>IF($F531=1,INDEX({10,12,13,14,15,16,17,18,19,20,21,23,24,25,26,27,28,29,30,31,32,34,35,36,37,38},1,FIND(MID($B531,3,1),"ABCDEFGHIJKLMNOPQRSTUVWXYZ")),"")</f>
        <v/>
      </c>
      <c r="J531">
        <f>IF($F531=1,INDEX({10,12,13,14,15,16,17,18,19,20,21,23,24,25,26,27,28,29,30,31,32,34,35,36,37,38},1,FIND(MID($B531,4,1),"ABCDEFGHIJKLMNOPQRSTUVWXYZ")),"")</f>
        <v/>
      </c>
      <c r="K531">
        <f>IF($F531=1,FIND(MID($B531,5,1),"0123456789")-1,"")</f>
        <v/>
      </c>
      <c r="L531">
        <f>IF($F531=1,FIND(MID($B531,6,1),"0123456789")-1,"")</f>
        <v/>
      </c>
      <c r="M531">
        <f>IF($F531=1,FIND(MID($B531,7,1),"0123456789")-1,"")</f>
        <v/>
      </c>
      <c r="N531">
        <f>IF($F531=1,FIND(MID($B531,8,1),"0123456789")-1,"")</f>
        <v/>
      </c>
      <c r="O531">
        <f>IF($F531=1,FIND(MID($B531,9,1),"0123456789")-1,"")</f>
        <v/>
      </c>
      <c r="P531">
        <f>IF($F531=1,FIND(MID($B531,10,1),"0123456789")-1,"")</f>
        <v/>
      </c>
      <c r="Q531">
        <f>IF($F531=1,SUMPRODUCT($G531:$P531,{1,2,4,8,16,32,64,128,256,512}),"")</f>
        <v/>
      </c>
      <c r="R531">
        <f>IF($F531=1,MOD(MOD($Q531,11),10),"")</f>
        <v/>
      </c>
    </row>
    <row r="532">
      <c r="A532" s="6" t="n"/>
      <c r="B532" s="7">
        <f>IF($A532="","",UPPER(SUBSTITUTE(SUBSTITUTE(SUBSTITUTE(SUBSTITUTE(SUBSTITUTE(SUBSTITUTE($A532," ",""),"-",""),".",""),"/",""),"i","I"),"ı","?")))</f>
        <v/>
      </c>
      <c r="C532" s="8">
        <f>IF($F532=1,$R532,"")</f>
        <v/>
      </c>
      <c r="D532" s="7">
        <f>IF($A532="","",IF($F532=0,"Biçim hatalı",IF(FIND(MID($B532,11,1),"0123456789")-1=$R532,"Geçerli","Kontrol hanesi hatalı (doğrusu: "&amp;$R532&amp;")")))</f>
        <v/>
      </c>
      <c r="F532">
        <f>IF($A532="","",IF(AND(LEN($B532)=11,SUMPRODUCT(--ISNUMBER(FIND(MID($B532,{1,2,3},1),"ABCDEFGHIJKLMNOPQRSTUVWXYZ")))=3,ISNUMBER(FIND(MID($B532,4,1),"UJZ")),SUMPRODUCT(--ISNUMBER(FIND(MID($B532,{5,6,7,8,9,10,11},1),"0123456789")))=7),1,0))</f>
        <v/>
      </c>
      <c r="G532">
        <f>IF($F532=1,INDEX({10,12,13,14,15,16,17,18,19,20,21,23,24,25,26,27,28,29,30,31,32,34,35,36,37,38},1,FIND(MID($B532,1,1),"ABCDEFGHIJKLMNOPQRSTUVWXYZ")),"")</f>
        <v/>
      </c>
      <c r="H532">
        <f>IF($F532=1,INDEX({10,12,13,14,15,16,17,18,19,20,21,23,24,25,26,27,28,29,30,31,32,34,35,36,37,38},1,FIND(MID($B532,2,1),"ABCDEFGHIJKLMNOPQRSTUVWXYZ")),"")</f>
        <v/>
      </c>
      <c r="I532">
        <f>IF($F532=1,INDEX({10,12,13,14,15,16,17,18,19,20,21,23,24,25,26,27,28,29,30,31,32,34,35,36,37,38},1,FIND(MID($B532,3,1),"ABCDEFGHIJKLMNOPQRSTUVWXYZ")),"")</f>
        <v/>
      </c>
      <c r="J532">
        <f>IF($F532=1,INDEX({10,12,13,14,15,16,17,18,19,20,21,23,24,25,26,27,28,29,30,31,32,34,35,36,37,38},1,FIND(MID($B532,4,1),"ABCDEFGHIJKLMNOPQRSTUVWXYZ")),"")</f>
        <v/>
      </c>
      <c r="K532">
        <f>IF($F532=1,FIND(MID($B532,5,1),"0123456789")-1,"")</f>
        <v/>
      </c>
      <c r="L532">
        <f>IF($F532=1,FIND(MID($B532,6,1),"0123456789")-1,"")</f>
        <v/>
      </c>
      <c r="M532">
        <f>IF($F532=1,FIND(MID($B532,7,1),"0123456789")-1,"")</f>
        <v/>
      </c>
      <c r="N532">
        <f>IF($F532=1,FIND(MID($B532,8,1),"0123456789")-1,"")</f>
        <v/>
      </c>
      <c r="O532">
        <f>IF($F532=1,FIND(MID($B532,9,1),"0123456789")-1,"")</f>
        <v/>
      </c>
      <c r="P532">
        <f>IF($F532=1,FIND(MID($B532,10,1),"0123456789")-1,"")</f>
        <v/>
      </c>
      <c r="Q532">
        <f>IF($F532=1,SUMPRODUCT($G532:$P532,{1,2,4,8,16,32,64,128,256,512}),"")</f>
        <v/>
      </c>
      <c r="R532">
        <f>IF($F532=1,MOD(MOD($Q532,11),10),"")</f>
        <v/>
      </c>
    </row>
    <row r="533">
      <c r="A533" s="6" t="n"/>
      <c r="B533" s="7">
        <f>IF($A533="","",UPPER(SUBSTITUTE(SUBSTITUTE(SUBSTITUTE(SUBSTITUTE(SUBSTITUTE(SUBSTITUTE($A533," ",""),"-",""),".",""),"/",""),"i","I"),"ı","?")))</f>
        <v/>
      </c>
      <c r="C533" s="8">
        <f>IF($F533=1,$R533,"")</f>
        <v/>
      </c>
      <c r="D533" s="7">
        <f>IF($A533="","",IF($F533=0,"Biçim hatalı",IF(FIND(MID($B533,11,1),"0123456789")-1=$R533,"Geçerli","Kontrol hanesi hatalı (doğrusu: "&amp;$R533&amp;")")))</f>
        <v/>
      </c>
      <c r="F533">
        <f>IF($A533="","",IF(AND(LEN($B533)=11,SUMPRODUCT(--ISNUMBER(FIND(MID($B533,{1,2,3},1),"ABCDEFGHIJKLMNOPQRSTUVWXYZ")))=3,ISNUMBER(FIND(MID($B533,4,1),"UJZ")),SUMPRODUCT(--ISNUMBER(FIND(MID($B533,{5,6,7,8,9,10,11},1),"0123456789")))=7),1,0))</f>
        <v/>
      </c>
      <c r="G533">
        <f>IF($F533=1,INDEX({10,12,13,14,15,16,17,18,19,20,21,23,24,25,26,27,28,29,30,31,32,34,35,36,37,38},1,FIND(MID($B533,1,1),"ABCDEFGHIJKLMNOPQRSTUVWXYZ")),"")</f>
        <v/>
      </c>
      <c r="H533">
        <f>IF($F533=1,INDEX({10,12,13,14,15,16,17,18,19,20,21,23,24,25,26,27,28,29,30,31,32,34,35,36,37,38},1,FIND(MID($B533,2,1),"ABCDEFGHIJKLMNOPQRSTUVWXYZ")),"")</f>
        <v/>
      </c>
      <c r="I533">
        <f>IF($F533=1,INDEX({10,12,13,14,15,16,17,18,19,20,21,23,24,25,26,27,28,29,30,31,32,34,35,36,37,38},1,FIND(MID($B533,3,1),"ABCDEFGHIJKLMNOPQRSTUVWXYZ")),"")</f>
        <v/>
      </c>
      <c r="J533">
        <f>IF($F533=1,INDEX({10,12,13,14,15,16,17,18,19,20,21,23,24,25,26,27,28,29,30,31,32,34,35,36,37,38},1,FIND(MID($B533,4,1),"ABCDEFGHIJKLMNOPQRSTUVWXYZ")),"")</f>
        <v/>
      </c>
      <c r="K533">
        <f>IF($F533=1,FIND(MID($B533,5,1),"0123456789")-1,"")</f>
        <v/>
      </c>
      <c r="L533">
        <f>IF($F533=1,FIND(MID($B533,6,1),"0123456789")-1,"")</f>
        <v/>
      </c>
      <c r="M533">
        <f>IF($F533=1,FIND(MID($B533,7,1),"0123456789")-1,"")</f>
        <v/>
      </c>
      <c r="N533">
        <f>IF($F533=1,FIND(MID($B533,8,1),"0123456789")-1,"")</f>
        <v/>
      </c>
      <c r="O533">
        <f>IF($F533=1,FIND(MID($B533,9,1),"0123456789")-1,"")</f>
        <v/>
      </c>
      <c r="P533">
        <f>IF($F533=1,FIND(MID($B533,10,1),"0123456789")-1,"")</f>
        <v/>
      </c>
      <c r="Q533">
        <f>IF($F533=1,SUMPRODUCT($G533:$P533,{1,2,4,8,16,32,64,128,256,512}),"")</f>
        <v/>
      </c>
      <c r="R533">
        <f>IF($F533=1,MOD(MOD($Q533,11),10),"")</f>
        <v/>
      </c>
    </row>
    <row r="534">
      <c r="A534" s="6" t="n"/>
      <c r="B534" s="7">
        <f>IF($A534="","",UPPER(SUBSTITUTE(SUBSTITUTE(SUBSTITUTE(SUBSTITUTE(SUBSTITUTE(SUBSTITUTE($A534," ",""),"-",""),".",""),"/",""),"i","I"),"ı","?")))</f>
        <v/>
      </c>
      <c r="C534" s="8">
        <f>IF($F534=1,$R534,"")</f>
        <v/>
      </c>
      <c r="D534" s="7">
        <f>IF($A534="","",IF($F534=0,"Biçim hatalı",IF(FIND(MID($B534,11,1),"0123456789")-1=$R534,"Geçerli","Kontrol hanesi hatalı (doğrusu: "&amp;$R534&amp;")")))</f>
        <v/>
      </c>
      <c r="F534">
        <f>IF($A534="","",IF(AND(LEN($B534)=11,SUMPRODUCT(--ISNUMBER(FIND(MID($B534,{1,2,3},1),"ABCDEFGHIJKLMNOPQRSTUVWXYZ")))=3,ISNUMBER(FIND(MID($B534,4,1),"UJZ")),SUMPRODUCT(--ISNUMBER(FIND(MID($B534,{5,6,7,8,9,10,11},1),"0123456789")))=7),1,0))</f>
        <v/>
      </c>
      <c r="G534">
        <f>IF($F534=1,INDEX({10,12,13,14,15,16,17,18,19,20,21,23,24,25,26,27,28,29,30,31,32,34,35,36,37,38},1,FIND(MID($B534,1,1),"ABCDEFGHIJKLMNOPQRSTUVWXYZ")),"")</f>
        <v/>
      </c>
      <c r="H534">
        <f>IF($F534=1,INDEX({10,12,13,14,15,16,17,18,19,20,21,23,24,25,26,27,28,29,30,31,32,34,35,36,37,38},1,FIND(MID($B534,2,1),"ABCDEFGHIJKLMNOPQRSTUVWXYZ")),"")</f>
        <v/>
      </c>
      <c r="I534">
        <f>IF($F534=1,INDEX({10,12,13,14,15,16,17,18,19,20,21,23,24,25,26,27,28,29,30,31,32,34,35,36,37,38},1,FIND(MID($B534,3,1),"ABCDEFGHIJKLMNOPQRSTUVWXYZ")),"")</f>
        <v/>
      </c>
      <c r="J534">
        <f>IF($F534=1,INDEX({10,12,13,14,15,16,17,18,19,20,21,23,24,25,26,27,28,29,30,31,32,34,35,36,37,38},1,FIND(MID($B534,4,1),"ABCDEFGHIJKLMNOPQRSTUVWXYZ")),"")</f>
        <v/>
      </c>
      <c r="K534">
        <f>IF($F534=1,FIND(MID($B534,5,1),"0123456789")-1,"")</f>
        <v/>
      </c>
      <c r="L534">
        <f>IF($F534=1,FIND(MID($B534,6,1),"0123456789")-1,"")</f>
        <v/>
      </c>
      <c r="M534">
        <f>IF($F534=1,FIND(MID($B534,7,1),"0123456789")-1,"")</f>
        <v/>
      </c>
      <c r="N534">
        <f>IF($F534=1,FIND(MID($B534,8,1),"0123456789")-1,"")</f>
        <v/>
      </c>
      <c r="O534">
        <f>IF($F534=1,FIND(MID($B534,9,1),"0123456789")-1,"")</f>
        <v/>
      </c>
      <c r="P534">
        <f>IF($F534=1,FIND(MID($B534,10,1),"0123456789")-1,"")</f>
        <v/>
      </c>
      <c r="Q534">
        <f>IF($F534=1,SUMPRODUCT($G534:$P534,{1,2,4,8,16,32,64,128,256,512}),"")</f>
        <v/>
      </c>
      <c r="R534">
        <f>IF($F534=1,MOD(MOD($Q534,11),10),"")</f>
        <v/>
      </c>
    </row>
    <row r="535">
      <c r="A535" s="6" t="n"/>
      <c r="B535" s="7">
        <f>IF($A535="","",UPPER(SUBSTITUTE(SUBSTITUTE(SUBSTITUTE(SUBSTITUTE(SUBSTITUTE(SUBSTITUTE($A535," ",""),"-",""),".",""),"/",""),"i","I"),"ı","?")))</f>
        <v/>
      </c>
      <c r="C535" s="8">
        <f>IF($F535=1,$R535,"")</f>
        <v/>
      </c>
      <c r="D535" s="7">
        <f>IF($A535="","",IF($F535=0,"Biçim hatalı",IF(FIND(MID($B535,11,1),"0123456789")-1=$R535,"Geçerli","Kontrol hanesi hatalı (doğrusu: "&amp;$R535&amp;")")))</f>
        <v/>
      </c>
      <c r="F535">
        <f>IF($A535="","",IF(AND(LEN($B535)=11,SUMPRODUCT(--ISNUMBER(FIND(MID($B535,{1,2,3},1),"ABCDEFGHIJKLMNOPQRSTUVWXYZ")))=3,ISNUMBER(FIND(MID($B535,4,1),"UJZ")),SUMPRODUCT(--ISNUMBER(FIND(MID($B535,{5,6,7,8,9,10,11},1),"0123456789")))=7),1,0))</f>
        <v/>
      </c>
      <c r="G535">
        <f>IF($F535=1,INDEX({10,12,13,14,15,16,17,18,19,20,21,23,24,25,26,27,28,29,30,31,32,34,35,36,37,38},1,FIND(MID($B535,1,1),"ABCDEFGHIJKLMNOPQRSTUVWXYZ")),"")</f>
        <v/>
      </c>
      <c r="H535">
        <f>IF($F535=1,INDEX({10,12,13,14,15,16,17,18,19,20,21,23,24,25,26,27,28,29,30,31,32,34,35,36,37,38},1,FIND(MID($B535,2,1),"ABCDEFGHIJKLMNOPQRSTUVWXYZ")),"")</f>
        <v/>
      </c>
      <c r="I535">
        <f>IF($F535=1,INDEX({10,12,13,14,15,16,17,18,19,20,21,23,24,25,26,27,28,29,30,31,32,34,35,36,37,38},1,FIND(MID($B535,3,1),"ABCDEFGHIJKLMNOPQRSTUVWXYZ")),"")</f>
        <v/>
      </c>
      <c r="J535">
        <f>IF($F535=1,INDEX({10,12,13,14,15,16,17,18,19,20,21,23,24,25,26,27,28,29,30,31,32,34,35,36,37,38},1,FIND(MID($B535,4,1),"ABCDEFGHIJKLMNOPQRSTUVWXYZ")),"")</f>
        <v/>
      </c>
      <c r="K535">
        <f>IF($F535=1,FIND(MID($B535,5,1),"0123456789")-1,"")</f>
        <v/>
      </c>
      <c r="L535">
        <f>IF($F535=1,FIND(MID($B535,6,1),"0123456789")-1,"")</f>
        <v/>
      </c>
      <c r="M535">
        <f>IF($F535=1,FIND(MID($B535,7,1),"0123456789")-1,"")</f>
        <v/>
      </c>
      <c r="N535">
        <f>IF($F535=1,FIND(MID($B535,8,1),"0123456789")-1,"")</f>
        <v/>
      </c>
      <c r="O535">
        <f>IF($F535=1,FIND(MID($B535,9,1),"0123456789")-1,"")</f>
        <v/>
      </c>
      <c r="P535">
        <f>IF($F535=1,FIND(MID($B535,10,1),"0123456789")-1,"")</f>
        <v/>
      </c>
      <c r="Q535">
        <f>IF($F535=1,SUMPRODUCT($G535:$P535,{1,2,4,8,16,32,64,128,256,512}),"")</f>
        <v/>
      </c>
      <c r="R535">
        <f>IF($F535=1,MOD(MOD($Q535,11),10),"")</f>
        <v/>
      </c>
    </row>
    <row r="536">
      <c r="A536" s="6" t="n"/>
      <c r="B536" s="7">
        <f>IF($A536="","",UPPER(SUBSTITUTE(SUBSTITUTE(SUBSTITUTE(SUBSTITUTE(SUBSTITUTE(SUBSTITUTE($A536," ",""),"-",""),".",""),"/",""),"i","I"),"ı","?")))</f>
        <v/>
      </c>
      <c r="C536" s="8">
        <f>IF($F536=1,$R536,"")</f>
        <v/>
      </c>
      <c r="D536" s="7">
        <f>IF($A536="","",IF($F536=0,"Biçim hatalı",IF(FIND(MID($B536,11,1),"0123456789")-1=$R536,"Geçerli","Kontrol hanesi hatalı (doğrusu: "&amp;$R536&amp;")")))</f>
        <v/>
      </c>
      <c r="F536">
        <f>IF($A536="","",IF(AND(LEN($B536)=11,SUMPRODUCT(--ISNUMBER(FIND(MID($B536,{1,2,3},1),"ABCDEFGHIJKLMNOPQRSTUVWXYZ")))=3,ISNUMBER(FIND(MID($B536,4,1),"UJZ")),SUMPRODUCT(--ISNUMBER(FIND(MID($B536,{5,6,7,8,9,10,11},1),"0123456789")))=7),1,0))</f>
        <v/>
      </c>
      <c r="G536">
        <f>IF($F536=1,INDEX({10,12,13,14,15,16,17,18,19,20,21,23,24,25,26,27,28,29,30,31,32,34,35,36,37,38},1,FIND(MID($B536,1,1),"ABCDEFGHIJKLMNOPQRSTUVWXYZ")),"")</f>
        <v/>
      </c>
      <c r="H536">
        <f>IF($F536=1,INDEX({10,12,13,14,15,16,17,18,19,20,21,23,24,25,26,27,28,29,30,31,32,34,35,36,37,38},1,FIND(MID($B536,2,1),"ABCDEFGHIJKLMNOPQRSTUVWXYZ")),"")</f>
        <v/>
      </c>
      <c r="I536">
        <f>IF($F536=1,INDEX({10,12,13,14,15,16,17,18,19,20,21,23,24,25,26,27,28,29,30,31,32,34,35,36,37,38},1,FIND(MID($B536,3,1),"ABCDEFGHIJKLMNOPQRSTUVWXYZ")),"")</f>
        <v/>
      </c>
      <c r="J536">
        <f>IF($F536=1,INDEX({10,12,13,14,15,16,17,18,19,20,21,23,24,25,26,27,28,29,30,31,32,34,35,36,37,38},1,FIND(MID($B536,4,1),"ABCDEFGHIJKLMNOPQRSTUVWXYZ")),"")</f>
        <v/>
      </c>
      <c r="K536">
        <f>IF($F536=1,FIND(MID($B536,5,1),"0123456789")-1,"")</f>
        <v/>
      </c>
      <c r="L536">
        <f>IF($F536=1,FIND(MID($B536,6,1),"0123456789")-1,"")</f>
        <v/>
      </c>
      <c r="M536">
        <f>IF($F536=1,FIND(MID($B536,7,1),"0123456789")-1,"")</f>
        <v/>
      </c>
      <c r="N536">
        <f>IF($F536=1,FIND(MID($B536,8,1),"0123456789")-1,"")</f>
        <v/>
      </c>
      <c r="O536">
        <f>IF($F536=1,FIND(MID($B536,9,1),"0123456789")-1,"")</f>
        <v/>
      </c>
      <c r="P536">
        <f>IF($F536=1,FIND(MID($B536,10,1),"0123456789")-1,"")</f>
        <v/>
      </c>
      <c r="Q536">
        <f>IF($F536=1,SUMPRODUCT($G536:$P536,{1,2,4,8,16,32,64,128,256,512}),"")</f>
        <v/>
      </c>
      <c r="R536">
        <f>IF($F536=1,MOD(MOD($Q536,11),10),"")</f>
        <v/>
      </c>
    </row>
    <row r="537">
      <c r="A537" s="6" t="n"/>
      <c r="B537" s="7">
        <f>IF($A537="","",UPPER(SUBSTITUTE(SUBSTITUTE(SUBSTITUTE(SUBSTITUTE(SUBSTITUTE(SUBSTITUTE($A537," ",""),"-",""),".",""),"/",""),"i","I"),"ı","?")))</f>
        <v/>
      </c>
      <c r="C537" s="8">
        <f>IF($F537=1,$R537,"")</f>
        <v/>
      </c>
      <c r="D537" s="7">
        <f>IF($A537="","",IF($F537=0,"Biçim hatalı",IF(FIND(MID($B537,11,1),"0123456789")-1=$R537,"Geçerli","Kontrol hanesi hatalı (doğrusu: "&amp;$R537&amp;")")))</f>
        <v/>
      </c>
      <c r="F537">
        <f>IF($A537="","",IF(AND(LEN($B537)=11,SUMPRODUCT(--ISNUMBER(FIND(MID($B537,{1,2,3},1),"ABCDEFGHIJKLMNOPQRSTUVWXYZ")))=3,ISNUMBER(FIND(MID($B537,4,1),"UJZ")),SUMPRODUCT(--ISNUMBER(FIND(MID($B537,{5,6,7,8,9,10,11},1),"0123456789")))=7),1,0))</f>
        <v/>
      </c>
      <c r="G537">
        <f>IF($F537=1,INDEX({10,12,13,14,15,16,17,18,19,20,21,23,24,25,26,27,28,29,30,31,32,34,35,36,37,38},1,FIND(MID($B537,1,1),"ABCDEFGHIJKLMNOPQRSTUVWXYZ")),"")</f>
        <v/>
      </c>
      <c r="H537">
        <f>IF($F537=1,INDEX({10,12,13,14,15,16,17,18,19,20,21,23,24,25,26,27,28,29,30,31,32,34,35,36,37,38},1,FIND(MID($B537,2,1),"ABCDEFGHIJKLMNOPQRSTUVWXYZ")),"")</f>
        <v/>
      </c>
      <c r="I537">
        <f>IF($F537=1,INDEX({10,12,13,14,15,16,17,18,19,20,21,23,24,25,26,27,28,29,30,31,32,34,35,36,37,38},1,FIND(MID($B537,3,1),"ABCDEFGHIJKLMNOPQRSTUVWXYZ")),"")</f>
        <v/>
      </c>
      <c r="J537">
        <f>IF($F537=1,INDEX({10,12,13,14,15,16,17,18,19,20,21,23,24,25,26,27,28,29,30,31,32,34,35,36,37,38},1,FIND(MID($B537,4,1),"ABCDEFGHIJKLMNOPQRSTUVWXYZ")),"")</f>
        <v/>
      </c>
      <c r="K537">
        <f>IF($F537=1,FIND(MID($B537,5,1),"0123456789")-1,"")</f>
        <v/>
      </c>
      <c r="L537">
        <f>IF($F537=1,FIND(MID($B537,6,1),"0123456789")-1,"")</f>
        <v/>
      </c>
      <c r="M537">
        <f>IF($F537=1,FIND(MID($B537,7,1),"0123456789")-1,"")</f>
        <v/>
      </c>
      <c r="N537">
        <f>IF($F537=1,FIND(MID($B537,8,1),"0123456789")-1,"")</f>
        <v/>
      </c>
      <c r="O537">
        <f>IF($F537=1,FIND(MID($B537,9,1),"0123456789")-1,"")</f>
        <v/>
      </c>
      <c r="P537">
        <f>IF($F537=1,FIND(MID($B537,10,1),"0123456789")-1,"")</f>
        <v/>
      </c>
      <c r="Q537">
        <f>IF($F537=1,SUMPRODUCT($G537:$P537,{1,2,4,8,16,32,64,128,256,512}),"")</f>
        <v/>
      </c>
      <c r="R537">
        <f>IF($F537=1,MOD(MOD($Q537,11),10),"")</f>
        <v/>
      </c>
    </row>
    <row r="538">
      <c r="A538" s="6" t="n"/>
      <c r="B538" s="7">
        <f>IF($A538="","",UPPER(SUBSTITUTE(SUBSTITUTE(SUBSTITUTE(SUBSTITUTE(SUBSTITUTE(SUBSTITUTE($A538," ",""),"-",""),".",""),"/",""),"i","I"),"ı","?")))</f>
        <v/>
      </c>
      <c r="C538" s="8">
        <f>IF($F538=1,$R538,"")</f>
        <v/>
      </c>
      <c r="D538" s="7">
        <f>IF($A538="","",IF($F538=0,"Biçim hatalı",IF(FIND(MID($B538,11,1),"0123456789")-1=$R538,"Geçerli","Kontrol hanesi hatalı (doğrusu: "&amp;$R538&amp;")")))</f>
        <v/>
      </c>
      <c r="F538">
        <f>IF($A538="","",IF(AND(LEN($B538)=11,SUMPRODUCT(--ISNUMBER(FIND(MID($B538,{1,2,3},1),"ABCDEFGHIJKLMNOPQRSTUVWXYZ")))=3,ISNUMBER(FIND(MID($B538,4,1),"UJZ")),SUMPRODUCT(--ISNUMBER(FIND(MID($B538,{5,6,7,8,9,10,11},1),"0123456789")))=7),1,0))</f>
        <v/>
      </c>
      <c r="G538">
        <f>IF($F538=1,INDEX({10,12,13,14,15,16,17,18,19,20,21,23,24,25,26,27,28,29,30,31,32,34,35,36,37,38},1,FIND(MID($B538,1,1),"ABCDEFGHIJKLMNOPQRSTUVWXYZ")),"")</f>
        <v/>
      </c>
      <c r="H538">
        <f>IF($F538=1,INDEX({10,12,13,14,15,16,17,18,19,20,21,23,24,25,26,27,28,29,30,31,32,34,35,36,37,38},1,FIND(MID($B538,2,1),"ABCDEFGHIJKLMNOPQRSTUVWXYZ")),"")</f>
        <v/>
      </c>
      <c r="I538">
        <f>IF($F538=1,INDEX({10,12,13,14,15,16,17,18,19,20,21,23,24,25,26,27,28,29,30,31,32,34,35,36,37,38},1,FIND(MID($B538,3,1),"ABCDEFGHIJKLMNOPQRSTUVWXYZ")),"")</f>
        <v/>
      </c>
      <c r="J538">
        <f>IF($F538=1,INDEX({10,12,13,14,15,16,17,18,19,20,21,23,24,25,26,27,28,29,30,31,32,34,35,36,37,38},1,FIND(MID($B538,4,1),"ABCDEFGHIJKLMNOPQRSTUVWXYZ")),"")</f>
        <v/>
      </c>
      <c r="K538">
        <f>IF($F538=1,FIND(MID($B538,5,1),"0123456789")-1,"")</f>
        <v/>
      </c>
      <c r="L538">
        <f>IF($F538=1,FIND(MID($B538,6,1),"0123456789")-1,"")</f>
        <v/>
      </c>
      <c r="M538">
        <f>IF($F538=1,FIND(MID($B538,7,1),"0123456789")-1,"")</f>
        <v/>
      </c>
      <c r="N538">
        <f>IF($F538=1,FIND(MID($B538,8,1),"0123456789")-1,"")</f>
        <v/>
      </c>
      <c r="O538">
        <f>IF($F538=1,FIND(MID($B538,9,1),"0123456789")-1,"")</f>
        <v/>
      </c>
      <c r="P538">
        <f>IF($F538=1,FIND(MID($B538,10,1),"0123456789")-1,"")</f>
        <v/>
      </c>
      <c r="Q538">
        <f>IF($F538=1,SUMPRODUCT($G538:$P538,{1,2,4,8,16,32,64,128,256,512}),"")</f>
        <v/>
      </c>
      <c r="R538">
        <f>IF($F538=1,MOD(MOD($Q538,11),10),"")</f>
        <v/>
      </c>
    </row>
    <row r="539">
      <c r="A539" s="6" t="n"/>
      <c r="B539" s="7">
        <f>IF($A539="","",UPPER(SUBSTITUTE(SUBSTITUTE(SUBSTITUTE(SUBSTITUTE(SUBSTITUTE(SUBSTITUTE($A539," ",""),"-",""),".",""),"/",""),"i","I"),"ı","?")))</f>
        <v/>
      </c>
      <c r="C539" s="8">
        <f>IF($F539=1,$R539,"")</f>
        <v/>
      </c>
      <c r="D539" s="7">
        <f>IF($A539="","",IF($F539=0,"Biçim hatalı",IF(FIND(MID($B539,11,1),"0123456789")-1=$R539,"Geçerli","Kontrol hanesi hatalı (doğrusu: "&amp;$R539&amp;")")))</f>
        <v/>
      </c>
      <c r="F539">
        <f>IF($A539="","",IF(AND(LEN($B539)=11,SUMPRODUCT(--ISNUMBER(FIND(MID($B539,{1,2,3},1),"ABCDEFGHIJKLMNOPQRSTUVWXYZ")))=3,ISNUMBER(FIND(MID($B539,4,1),"UJZ")),SUMPRODUCT(--ISNUMBER(FIND(MID($B539,{5,6,7,8,9,10,11},1),"0123456789")))=7),1,0))</f>
        <v/>
      </c>
      <c r="G539">
        <f>IF($F539=1,INDEX({10,12,13,14,15,16,17,18,19,20,21,23,24,25,26,27,28,29,30,31,32,34,35,36,37,38},1,FIND(MID($B539,1,1),"ABCDEFGHIJKLMNOPQRSTUVWXYZ")),"")</f>
        <v/>
      </c>
      <c r="H539">
        <f>IF($F539=1,INDEX({10,12,13,14,15,16,17,18,19,20,21,23,24,25,26,27,28,29,30,31,32,34,35,36,37,38},1,FIND(MID($B539,2,1),"ABCDEFGHIJKLMNOPQRSTUVWXYZ")),"")</f>
        <v/>
      </c>
      <c r="I539">
        <f>IF($F539=1,INDEX({10,12,13,14,15,16,17,18,19,20,21,23,24,25,26,27,28,29,30,31,32,34,35,36,37,38},1,FIND(MID($B539,3,1),"ABCDEFGHIJKLMNOPQRSTUVWXYZ")),"")</f>
        <v/>
      </c>
      <c r="J539">
        <f>IF($F539=1,INDEX({10,12,13,14,15,16,17,18,19,20,21,23,24,25,26,27,28,29,30,31,32,34,35,36,37,38},1,FIND(MID($B539,4,1),"ABCDEFGHIJKLMNOPQRSTUVWXYZ")),"")</f>
        <v/>
      </c>
      <c r="K539">
        <f>IF($F539=1,FIND(MID($B539,5,1),"0123456789")-1,"")</f>
        <v/>
      </c>
      <c r="L539">
        <f>IF($F539=1,FIND(MID($B539,6,1),"0123456789")-1,"")</f>
        <v/>
      </c>
      <c r="M539">
        <f>IF($F539=1,FIND(MID($B539,7,1),"0123456789")-1,"")</f>
        <v/>
      </c>
      <c r="N539">
        <f>IF($F539=1,FIND(MID($B539,8,1),"0123456789")-1,"")</f>
        <v/>
      </c>
      <c r="O539">
        <f>IF($F539=1,FIND(MID($B539,9,1),"0123456789")-1,"")</f>
        <v/>
      </c>
      <c r="P539">
        <f>IF($F539=1,FIND(MID($B539,10,1),"0123456789")-1,"")</f>
        <v/>
      </c>
      <c r="Q539">
        <f>IF($F539=1,SUMPRODUCT($G539:$P539,{1,2,4,8,16,32,64,128,256,512}),"")</f>
        <v/>
      </c>
      <c r="R539">
        <f>IF($F539=1,MOD(MOD($Q539,11),10),"")</f>
        <v/>
      </c>
    </row>
    <row r="540">
      <c r="A540" s="6" t="n"/>
      <c r="B540" s="7">
        <f>IF($A540="","",UPPER(SUBSTITUTE(SUBSTITUTE(SUBSTITUTE(SUBSTITUTE(SUBSTITUTE(SUBSTITUTE($A540," ",""),"-",""),".",""),"/",""),"i","I"),"ı","?")))</f>
        <v/>
      </c>
      <c r="C540" s="8">
        <f>IF($F540=1,$R540,"")</f>
        <v/>
      </c>
      <c r="D540" s="7">
        <f>IF($A540="","",IF($F540=0,"Biçim hatalı",IF(FIND(MID($B540,11,1),"0123456789")-1=$R540,"Geçerli","Kontrol hanesi hatalı (doğrusu: "&amp;$R540&amp;")")))</f>
        <v/>
      </c>
      <c r="F540">
        <f>IF($A540="","",IF(AND(LEN($B540)=11,SUMPRODUCT(--ISNUMBER(FIND(MID($B540,{1,2,3},1),"ABCDEFGHIJKLMNOPQRSTUVWXYZ")))=3,ISNUMBER(FIND(MID($B540,4,1),"UJZ")),SUMPRODUCT(--ISNUMBER(FIND(MID($B540,{5,6,7,8,9,10,11},1),"0123456789")))=7),1,0))</f>
        <v/>
      </c>
      <c r="G540">
        <f>IF($F540=1,INDEX({10,12,13,14,15,16,17,18,19,20,21,23,24,25,26,27,28,29,30,31,32,34,35,36,37,38},1,FIND(MID($B540,1,1),"ABCDEFGHIJKLMNOPQRSTUVWXYZ")),"")</f>
        <v/>
      </c>
      <c r="H540">
        <f>IF($F540=1,INDEX({10,12,13,14,15,16,17,18,19,20,21,23,24,25,26,27,28,29,30,31,32,34,35,36,37,38},1,FIND(MID($B540,2,1),"ABCDEFGHIJKLMNOPQRSTUVWXYZ")),"")</f>
        <v/>
      </c>
      <c r="I540">
        <f>IF($F540=1,INDEX({10,12,13,14,15,16,17,18,19,20,21,23,24,25,26,27,28,29,30,31,32,34,35,36,37,38},1,FIND(MID($B540,3,1),"ABCDEFGHIJKLMNOPQRSTUVWXYZ")),"")</f>
        <v/>
      </c>
      <c r="J540">
        <f>IF($F540=1,INDEX({10,12,13,14,15,16,17,18,19,20,21,23,24,25,26,27,28,29,30,31,32,34,35,36,37,38},1,FIND(MID($B540,4,1),"ABCDEFGHIJKLMNOPQRSTUVWXYZ")),"")</f>
        <v/>
      </c>
      <c r="K540">
        <f>IF($F540=1,FIND(MID($B540,5,1),"0123456789")-1,"")</f>
        <v/>
      </c>
      <c r="L540">
        <f>IF($F540=1,FIND(MID($B540,6,1),"0123456789")-1,"")</f>
        <v/>
      </c>
      <c r="M540">
        <f>IF($F540=1,FIND(MID($B540,7,1),"0123456789")-1,"")</f>
        <v/>
      </c>
      <c r="N540">
        <f>IF($F540=1,FIND(MID($B540,8,1),"0123456789")-1,"")</f>
        <v/>
      </c>
      <c r="O540">
        <f>IF($F540=1,FIND(MID($B540,9,1),"0123456789")-1,"")</f>
        <v/>
      </c>
      <c r="P540">
        <f>IF($F540=1,FIND(MID($B540,10,1),"0123456789")-1,"")</f>
        <v/>
      </c>
      <c r="Q540">
        <f>IF($F540=1,SUMPRODUCT($G540:$P540,{1,2,4,8,16,32,64,128,256,512}),"")</f>
        <v/>
      </c>
      <c r="R540">
        <f>IF($F540=1,MOD(MOD($Q540,11),10),"")</f>
        <v/>
      </c>
    </row>
    <row r="541">
      <c r="A541" s="6" t="n"/>
      <c r="B541" s="7">
        <f>IF($A541="","",UPPER(SUBSTITUTE(SUBSTITUTE(SUBSTITUTE(SUBSTITUTE(SUBSTITUTE(SUBSTITUTE($A541," ",""),"-",""),".",""),"/",""),"i","I"),"ı","?")))</f>
        <v/>
      </c>
      <c r="C541" s="8">
        <f>IF($F541=1,$R541,"")</f>
        <v/>
      </c>
      <c r="D541" s="7">
        <f>IF($A541="","",IF($F541=0,"Biçim hatalı",IF(FIND(MID($B541,11,1),"0123456789")-1=$R541,"Geçerli","Kontrol hanesi hatalı (doğrusu: "&amp;$R541&amp;")")))</f>
        <v/>
      </c>
      <c r="F541">
        <f>IF($A541="","",IF(AND(LEN($B541)=11,SUMPRODUCT(--ISNUMBER(FIND(MID($B541,{1,2,3},1),"ABCDEFGHIJKLMNOPQRSTUVWXYZ")))=3,ISNUMBER(FIND(MID($B541,4,1),"UJZ")),SUMPRODUCT(--ISNUMBER(FIND(MID($B541,{5,6,7,8,9,10,11},1),"0123456789")))=7),1,0))</f>
        <v/>
      </c>
      <c r="G541">
        <f>IF($F541=1,INDEX({10,12,13,14,15,16,17,18,19,20,21,23,24,25,26,27,28,29,30,31,32,34,35,36,37,38},1,FIND(MID($B541,1,1),"ABCDEFGHIJKLMNOPQRSTUVWXYZ")),"")</f>
        <v/>
      </c>
      <c r="H541">
        <f>IF($F541=1,INDEX({10,12,13,14,15,16,17,18,19,20,21,23,24,25,26,27,28,29,30,31,32,34,35,36,37,38},1,FIND(MID($B541,2,1),"ABCDEFGHIJKLMNOPQRSTUVWXYZ")),"")</f>
        <v/>
      </c>
      <c r="I541">
        <f>IF($F541=1,INDEX({10,12,13,14,15,16,17,18,19,20,21,23,24,25,26,27,28,29,30,31,32,34,35,36,37,38},1,FIND(MID($B541,3,1),"ABCDEFGHIJKLMNOPQRSTUVWXYZ")),"")</f>
        <v/>
      </c>
      <c r="J541">
        <f>IF($F541=1,INDEX({10,12,13,14,15,16,17,18,19,20,21,23,24,25,26,27,28,29,30,31,32,34,35,36,37,38},1,FIND(MID($B541,4,1),"ABCDEFGHIJKLMNOPQRSTUVWXYZ")),"")</f>
        <v/>
      </c>
      <c r="K541">
        <f>IF($F541=1,FIND(MID($B541,5,1),"0123456789")-1,"")</f>
        <v/>
      </c>
      <c r="L541">
        <f>IF($F541=1,FIND(MID($B541,6,1),"0123456789")-1,"")</f>
        <v/>
      </c>
      <c r="M541">
        <f>IF($F541=1,FIND(MID($B541,7,1),"0123456789")-1,"")</f>
        <v/>
      </c>
      <c r="N541">
        <f>IF($F541=1,FIND(MID($B541,8,1),"0123456789")-1,"")</f>
        <v/>
      </c>
      <c r="O541">
        <f>IF($F541=1,FIND(MID($B541,9,1),"0123456789")-1,"")</f>
        <v/>
      </c>
      <c r="P541">
        <f>IF($F541=1,FIND(MID($B541,10,1),"0123456789")-1,"")</f>
        <v/>
      </c>
      <c r="Q541">
        <f>IF($F541=1,SUMPRODUCT($G541:$P541,{1,2,4,8,16,32,64,128,256,512}),"")</f>
        <v/>
      </c>
      <c r="R541">
        <f>IF($F541=1,MOD(MOD($Q541,11),10),"")</f>
        <v/>
      </c>
    </row>
    <row r="542">
      <c r="A542" s="6" t="n"/>
      <c r="B542" s="7">
        <f>IF($A542="","",UPPER(SUBSTITUTE(SUBSTITUTE(SUBSTITUTE(SUBSTITUTE(SUBSTITUTE(SUBSTITUTE($A542," ",""),"-",""),".",""),"/",""),"i","I"),"ı","?")))</f>
        <v/>
      </c>
      <c r="C542" s="8">
        <f>IF($F542=1,$R542,"")</f>
        <v/>
      </c>
      <c r="D542" s="7">
        <f>IF($A542="","",IF($F542=0,"Biçim hatalı",IF(FIND(MID($B542,11,1),"0123456789")-1=$R542,"Geçerli","Kontrol hanesi hatalı (doğrusu: "&amp;$R542&amp;")")))</f>
        <v/>
      </c>
      <c r="F542">
        <f>IF($A542="","",IF(AND(LEN($B542)=11,SUMPRODUCT(--ISNUMBER(FIND(MID($B542,{1,2,3},1),"ABCDEFGHIJKLMNOPQRSTUVWXYZ")))=3,ISNUMBER(FIND(MID($B542,4,1),"UJZ")),SUMPRODUCT(--ISNUMBER(FIND(MID($B542,{5,6,7,8,9,10,11},1),"0123456789")))=7),1,0))</f>
        <v/>
      </c>
      <c r="G542">
        <f>IF($F542=1,INDEX({10,12,13,14,15,16,17,18,19,20,21,23,24,25,26,27,28,29,30,31,32,34,35,36,37,38},1,FIND(MID($B542,1,1),"ABCDEFGHIJKLMNOPQRSTUVWXYZ")),"")</f>
        <v/>
      </c>
      <c r="H542">
        <f>IF($F542=1,INDEX({10,12,13,14,15,16,17,18,19,20,21,23,24,25,26,27,28,29,30,31,32,34,35,36,37,38},1,FIND(MID($B542,2,1),"ABCDEFGHIJKLMNOPQRSTUVWXYZ")),"")</f>
        <v/>
      </c>
      <c r="I542">
        <f>IF($F542=1,INDEX({10,12,13,14,15,16,17,18,19,20,21,23,24,25,26,27,28,29,30,31,32,34,35,36,37,38},1,FIND(MID($B542,3,1),"ABCDEFGHIJKLMNOPQRSTUVWXYZ")),"")</f>
        <v/>
      </c>
      <c r="J542">
        <f>IF($F542=1,INDEX({10,12,13,14,15,16,17,18,19,20,21,23,24,25,26,27,28,29,30,31,32,34,35,36,37,38},1,FIND(MID($B542,4,1),"ABCDEFGHIJKLMNOPQRSTUVWXYZ")),"")</f>
        <v/>
      </c>
      <c r="K542">
        <f>IF($F542=1,FIND(MID($B542,5,1),"0123456789")-1,"")</f>
        <v/>
      </c>
      <c r="L542">
        <f>IF($F542=1,FIND(MID($B542,6,1),"0123456789")-1,"")</f>
        <v/>
      </c>
      <c r="M542">
        <f>IF($F542=1,FIND(MID($B542,7,1),"0123456789")-1,"")</f>
        <v/>
      </c>
      <c r="N542">
        <f>IF($F542=1,FIND(MID($B542,8,1),"0123456789")-1,"")</f>
        <v/>
      </c>
      <c r="O542">
        <f>IF($F542=1,FIND(MID($B542,9,1),"0123456789")-1,"")</f>
        <v/>
      </c>
      <c r="P542">
        <f>IF($F542=1,FIND(MID($B542,10,1),"0123456789")-1,"")</f>
        <v/>
      </c>
      <c r="Q542">
        <f>IF($F542=1,SUMPRODUCT($G542:$P542,{1,2,4,8,16,32,64,128,256,512}),"")</f>
        <v/>
      </c>
      <c r="R542">
        <f>IF($F542=1,MOD(MOD($Q542,11),10),"")</f>
        <v/>
      </c>
    </row>
    <row r="543">
      <c r="A543" s="6" t="n"/>
      <c r="B543" s="7">
        <f>IF($A543="","",UPPER(SUBSTITUTE(SUBSTITUTE(SUBSTITUTE(SUBSTITUTE(SUBSTITUTE(SUBSTITUTE($A543," ",""),"-",""),".",""),"/",""),"i","I"),"ı","?")))</f>
        <v/>
      </c>
      <c r="C543" s="8">
        <f>IF($F543=1,$R543,"")</f>
        <v/>
      </c>
      <c r="D543" s="7">
        <f>IF($A543="","",IF($F543=0,"Biçim hatalı",IF(FIND(MID($B543,11,1),"0123456789")-1=$R543,"Geçerli","Kontrol hanesi hatalı (doğrusu: "&amp;$R543&amp;")")))</f>
        <v/>
      </c>
      <c r="F543">
        <f>IF($A543="","",IF(AND(LEN($B543)=11,SUMPRODUCT(--ISNUMBER(FIND(MID($B543,{1,2,3},1),"ABCDEFGHIJKLMNOPQRSTUVWXYZ")))=3,ISNUMBER(FIND(MID($B543,4,1),"UJZ")),SUMPRODUCT(--ISNUMBER(FIND(MID($B543,{5,6,7,8,9,10,11},1),"0123456789")))=7),1,0))</f>
        <v/>
      </c>
      <c r="G543">
        <f>IF($F543=1,INDEX({10,12,13,14,15,16,17,18,19,20,21,23,24,25,26,27,28,29,30,31,32,34,35,36,37,38},1,FIND(MID($B543,1,1),"ABCDEFGHIJKLMNOPQRSTUVWXYZ")),"")</f>
        <v/>
      </c>
      <c r="H543">
        <f>IF($F543=1,INDEX({10,12,13,14,15,16,17,18,19,20,21,23,24,25,26,27,28,29,30,31,32,34,35,36,37,38},1,FIND(MID($B543,2,1),"ABCDEFGHIJKLMNOPQRSTUVWXYZ")),"")</f>
        <v/>
      </c>
      <c r="I543">
        <f>IF($F543=1,INDEX({10,12,13,14,15,16,17,18,19,20,21,23,24,25,26,27,28,29,30,31,32,34,35,36,37,38},1,FIND(MID($B543,3,1),"ABCDEFGHIJKLMNOPQRSTUVWXYZ")),"")</f>
        <v/>
      </c>
      <c r="J543">
        <f>IF($F543=1,INDEX({10,12,13,14,15,16,17,18,19,20,21,23,24,25,26,27,28,29,30,31,32,34,35,36,37,38},1,FIND(MID($B543,4,1),"ABCDEFGHIJKLMNOPQRSTUVWXYZ")),"")</f>
        <v/>
      </c>
      <c r="K543">
        <f>IF($F543=1,FIND(MID($B543,5,1),"0123456789")-1,"")</f>
        <v/>
      </c>
      <c r="L543">
        <f>IF($F543=1,FIND(MID($B543,6,1),"0123456789")-1,"")</f>
        <v/>
      </c>
      <c r="M543">
        <f>IF($F543=1,FIND(MID($B543,7,1),"0123456789")-1,"")</f>
        <v/>
      </c>
      <c r="N543">
        <f>IF($F543=1,FIND(MID($B543,8,1),"0123456789")-1,"")</f>
        <v/>
      </c>
      <c r="O543">
        <f>IF($F543=1,FIND(MID($B543,9,1),"0123456789")-1,"")</f>
        <v/>
      </c>
      <c r="P543">
        <f>IF($F543=1,FIND(MID($B543,10,1),"0123456789")-1,"")</f>
        <v/>
      </c>
      <c r="Q543">
        <f>IF($F543=1,SUMPRODUCT($G543:$P543,{1,2,4,8,16,32,64,128,256,512}),"")</f>
        <v/>
      </c>
      <c r="R543">
        <f>IF($F543=1,MOD(MOD($Q543,11),10),"")</f>
        <v/>
      </c>
    </row>
    <row r="544">
      <c r="A544" s="6" t="n"/>
      <c r="B544" s="7">
        <f>IF($A544="","",UPPER(SUBSTITUTE(SUBSTITUTE(SUBSTITUTE(SUBSTITUTE(SUBSTITUTE(SUBSTITUTE($A544," ",""),"-",""),".",""),"/",""),"i","I"),"ı","?")))</f>
        <v/>
      </c>
      <c r="C544" s="8">
        <f>IF($F544=1,$R544,"")</f>
        <v/>
      </c>
      <c r="D544" s="7">
        <f>IF($A544="","",IF($F544=0,"Biçim hatalı",IF(FIND(MID($B544,11,1),"0123456789")-1=$R544,"Geçerli","Kontrol hanesi hatalı (doğrusu: "&amp;$R544&amp;")")))</f>
        <v/>
      </c>
      <c r="F544">
        <f>IF($A544="","",IF(AND(LEN($B544)=11,SUMPRODUCT(--ISNUMBER(FIND(MID($B544,{1,2,3},1),"ABCDEFGHIJKLMNOPQRSTUVWXYZ")))=3,ISNUMBER(FIND(MID($B544,4,1),"UJZ")),SUMPRODUCT(--ISNUMBER(FIND(MID($B544,{5,6,7,8,9,10,11},1),"0123456789")))=7),1,0))</f>
        <v/>
      </c>
      <c r="G544">
        <f>IF($F544=1,INDEX({10,12,13,14,15,16,17,18,19,20,21,23,24,25,26,27,28,29,30,31,32,34,35,36,37,38},1,FIND(MID($B544,1,1),"ABCDEFGHIJKLMNOPQRSTUVWXYZ")),"")</f>
        <v/>
      </c>
      <c r="H544">
        <f>IF($F544=1,INDEX({10,12,13,14,15,16,17,18,19,20,21,23,24,25,26,27,28,29,30,31,32,34,35,36,37,38},1,FIND(MID($B544,2,1),"ABCDEFGHIJKLMNOPQRSTUVWXYZ")),"")</f>
        <v/>
      </c>
      <c r="I544">
        <f>IF($F544=1,INDEX({10,12,13,14,15,16,17,18,19,20,21,23,24,25,26,27,28,29,30,31,32,34,35,36,37,38},1,FIND(MID($B544,3,1),"ABCDEFGHIJKLMNOPQRSTUVWXYZ")),"")</f>
        <v/>
      </c>
      <c r="J544">
        <f>IF($F544=1,INDEX({10,12,13,14,15,16,17,18,19,20,21,23,24,25,26,27,28,29,30,31,32,34,35,36,37,38},1,FIND(MID($B544,4,1),"ABCDEFGHIJKLMNOPQRSTUVWXYZ")),"")</f>
        <v/>
      </c>
      <c r="K544">
        <f>IF($F544=1,FIND(MID($B544,5,1),"0123456789")-1,"")</f>
        <v/>
      </c>
      <c r="L544">
        <f>IF($F544=1,FIND(MID($B544,6,1),"0123456789")-1,"")</f>
        <v/>
      </c>
      <c r="M544">
        <f>IF($F544=1,FIND(MID($B544,7,1),"0123456789")-1,"")</f>
        <v/>
      </c>
      <c r="N544">
        <f>IF($F544=1,FIND(MID($B544,8,1),"0123456789")-1,"")</f>
        <v/>
      </c>
      <c r="O544">
        <f>IF($F544=1,FIND(MID($B544,9,1),"0123456789")-1,"")</f>
        <v/>
      </c>
      <c r="P544">
        <f>IF($F544=1,FIND(MID($B544,10,1),"0123456789")-1,"")</f>
        <v/>
      </c>
      <c r="Q544">
        <f>IF($F544=1,SUMPRODUCT($G544:$P544,{1,2,4,8,16,32,64,128,256,512}),"")</f>
        <v/>
      </c>
      <c r="R544">
        <f>IF($F544=1,MOD(MOD($Q544,11),10),"")</f>
        <v/>
      </c>
    </row>
    <row r="545">
      <c r="A545" s="6" t="n"/>
      <c r="B545" s="7">
        <f>IF($A545="","",UPPER(SUBSTITUTE(SUBSTITUTE(SUBSTITUTE(SUBSTITUTE(SUBSTITUTE(SUBSTITUTE($A545," ",""),"-",""),".",""),"/",""),"i","I"),"ı","?")))</f>
        <v/>
      </c>
      <c r="C545" s="8">
        <f>IF($F545=1,$R545,"")</f>
        <v/>
      </c>
      <c r="D545" s="7">
        <f>IF($A545="","",IF($F545=0,"Biçim hatalı",IF(FIND(MID($B545,11,1),"0123456789")-1=$R545,"Geçerli","Kontrol hanesi hatalı (doğrusu: "&amp;$R545&amp;")")))</f>
        <v/>
      </c>
      <c r="F545">
        <f>IF($A545="","",IF(AND(LEN($B545)=11,SUMPRODUCT(--ISNUMBER(FIND(MID($B545,{1,2,3},1),"ABCDEFGHIJKLMNOPQRSTUVWXYZ")))=3,ISNUMBER(FIND(MID($B545,4,1),"UJZ")),SUMPRODUCT(--ISNUMBER(FIND(MID($B545,{5,6,7,8,9,10,11},1),"0123456789")))=7),1,0))</f>
        <v/>
      </c>
      <c r="G545">
        <f>IF($F545=1,INDEX({10,12,13,14,15,16,17,18,19,20,21,23,24,25,26,27,28,29,30,31,32,34,35,36,37,38},1,FIND(MID($B545,1,1),"ABCDEFGHIJKLMNOPQRSTUVWXYZ")),"")</f>
        <v/>
      </c>
      <c r="H545">
        <f>IF($F545=1,INDEX({10,12,13,14,15,16,17,18,19,20,21,23,24,25,26,27,28,29,30,31,32,34,35,36,37,38},1,FIND(MID($B545,2,1),"ABCDEFGHIJKLMNOPQRSTUVWXYZ")),"")</f>
        <v/>
      </c>
      <c r="I545">
        <f>IF($F545=1,INDEX({10,12,13,14,15,16,17,18,19,20,21,23,24,25,26,27,28,29,30,31,32,34,35,36,37,38},1,FIND(MID($B545,3,1),"ABCDEFGHIJKLMNOPQRSTUVWXYZ")),"")</f>
        <v/>
      </c>
      <c r="J545">
        <f>IF($F545=1,INDEX({10,12,13,14,15,16,17,18,19,20,21,23,24,25,26,27,28,29,30,31,32,34,35,36,37,38},1,FIND(MID($B545,4,1),"ABCDEFGHIJKLMNOPQRSTUVWXYZ")),"")</f>
        <v/>
      </c>
      <c r="K545">
        <f>IF($F545=1,FIND(MID($B545,5,1),"0123456789")-1,"")</f>
        <v/>
      </c>
      <c r="L545">
        <f>IF($F545=1,FIND(MID($B545,6,1),"0123456789")-1,"")</f>
        <v/>
      </c>
      <c r="M545">
        <f>IF($F545=1,FIND(MID($B545,7,1),"0123456789")-1,"")</f>
        <v/>
      </c>
      <c r="N545">
        <f>IF($F545=1,FIND(MID($B545,8,1),"0123456789")-1,"")</f>
        <v/>
      </c>
      <c r="O545">
        <f>IF($F545=1,FIND(MID($B545,9,1),"0123456789")-1,"")</f>
        <v/>
      </c>
      <c r="P545">
        <f>IF($F545=1,FIND(MID($B545,10,1),"0123456789")-1,"")</f>
        <v/>
      </c>
      <c r="Q545">
        <f>IF($F545=1,SUMPRODUCT($G545:$P545,{1,2,4,8,16,32,64,128,256,512}),"")</f>
        <v/>
      </c>
      <c r="R545">
        <f>IF($F545=1,MOD(MOD($Q545,11),10),"")</f>
        <v/>
      </c>
    </row>
    <row r="546">
      <c r="A546" s="6" t="n"/>
      <c r="B546" s="7">
        <f>IF($A546="","",UPPER(SUBSTITUTE(SUBSTITUTE(SUBSTITUTE(SUBSTITUTE(SUBSTITUTE(SUBSTITUTE($A546," ",""),"-",""),".",""),"/",""),"i","I"),"ı","?")))</f>
        <v/>
      </c>
      <c r="C546" s="8">
        <f>IF($F546=1,$R546,"")</f>
        <v/>
      </c>
      <c r="D546" s="7">
        <f>IF($A546="","",IF($F546=0,"Biçim hatalı",IF(FIND(MID($B546,11,1),"0123456789")-1=$R546,"Geçerli","Kontrol hanesi hatalı (doğrusu: "&amp;$R546&amp;")")))</f>
        <v/>
      </c>
      <c r="F546">
        <f>IF($A546="","",IF(AND(LEN($B546)=11,SUMPRODUCT(--ISNUMBER(FIND(MID($B546,{1,2,3},1),"ABCDEFGHIJKLMNOPQRSTUVWXYZ")))=3,ISNUMBER(FIND(MID($B546,4,1),"UJZ")),SUMPRODUCT(--ISNUMBER(FIND(MID($B546,{5,6,7,8,9,10,11},1),"0123456789")))=7),1,0))</f>
        <v/>
      </c>
      <c r="G546">
        <f>IF($F546=1,INDEX({10,12,13,14,15,16,17,18,19,20,21,23,24,25,26,27,28,29,30,31,32,34,35,36,37,38},1,FIND(MID($B546,1,1),"ABCDEFGHIJKLMNOPQRSTUVWXYZ")),"")</f>
        <v/>
      </c>
      <c r="H546">
        <f>IF($F546=1,INDEX({10,12,13,14,15,16,17,18,19,20,21,23,24,25,26,27,28,29,30,31,32,34,35,36,37,38},1,FIND(MID($B546,2,1),"ABCDEFGHIJKLMNOPQRSTUVWXYZ")),"")</f>
        <v/>
      </c>
      <c r="I546">
        <f>IF($F546=1,INDEX({10,12,13,14,15,16,17,18,19,20,21,23,24,25,26,27,28,29,30,31,32,34,35,36,37,38},1,FIND(MID($B546,3,1),"ABCDEFGHIJKLMNOPQRSTUVWXYZ")),"")</f>
        <v/>
      </c>
      <c r="J546">
        <f>IF($F546=1,INDEX({10,12,13,14,15,16,17,18,19,20,21,23,24,25,26,27,28,29,30,31,32,34,35,36,37,38},1,FIND(MID($B546,4,1),"ABCDEFGHIJKLMNOPQRSTUVWXYZ")),"")</f>
        <v/>
      </c>
      <c r="K546">
        <f>IF($F546=1,FIND(MID($B546,5,1),"0123456789")-1,"")</f>
        <v/>
      </c>
      <c r="L546">
        <f>IF($F546=1,FIND(MID($B546,6,1),"0123456789")-1,"")</f>
        <v/>
      </c>
      <c r="M546">
        <f>IF($F546=1,FIND(MID($B546,7,1),"0123456789")-1,"")</f>
        <v/>
      </c>
      <c r="N546">
        <f>IF($F546=1,FIND(MID($B546,8,1),"0123456789")-1,"")</f>
        <v/>
      </c>
      <c r="O546">
        <f>IF($F546=1,FIND(MID($B546,9,1),"0123456789")-1,"")</f>
        <v/>
      </c>
      <c r="P546">
        <f>IF($F546=1,FIND(MID($B546,10,1),"0123456789")-1,"")</f>
        <v/>
      </c>
      <c r="Q546">
        <f>IF($F546=1,SUMPRODUCT($G546:$P546,{1,2,4,8,16,32,64,128,256,512}),"")</f>
        <v/>
      </c>
      <c r="R546">
        <f>IF($F546=1,MOD(MOD($Q546,11),10),"")</f>
        <v/>
      </c>
    </row>
    <row r="547">
      <c r="A547" s="6" t="n"/>
      <c r="B547" s="7">
        <f>IF($A547="","",UPPER(SUBSTITUTE(SUBSTITUTE(SUBSTITUTE(SUBSTITUTE(SUBSTITUTE(SUBSTITUTE($A547," ",""),"-",""),".",""),"/",""),"i","I"),"ı","?")))</f>
        <v/>
      </c>
      <c r="C547" s="8">
        <f>IF($F547=1,$R547,"")</f>
        <v/>
      </c>
      <c r="D547" s="7">
        <f>IF($A547="","",IF($F547=0,"Biçim hatalı",IF(FIND(MID($B547,11,1),"0123456789")-1=$R547,"Geçerli","Kontrol hanesi hatalı (doğrusu: "&amp;$R547&amp;")")))</f>
        <v/>
      </c>
      <c r="F547">
        <f>IF($A547="","",IF(AND(LEN($B547)=11,SUMPRODUCT(--ISNUMBER(FIND(MID($B547,{1,2,3},1),"ABCDEFGHIJKLMNOPQRSTUVWXYZ")))=3,ISNUMBER(FIND(MID($B547,4,1),"UJZ")),SUMPRODUCT(--ISNUMBER(FIND(MID($B547,{5,6,7,8,9,10,11},1),"0123456789")))=7),1,0))</f>
        <v/>
      </c>
      <c r="G547">
        <f>IF($F547=1,INDEX({10,12,13,14,15,16,17,18,19,20,21,23,24,25,26,27,28,29,30,31,32,34,35,36,37,38},1,FIND(MID($B547,1,1),"ABCDEFGHIJKLMNOPQRSTUVWXYZ")),"")</f>
        <v/>
      </c>
      <c r="H547">
        <f>IF($F547=1,INDEX({10,12,13,14,15,16,17,18,19,20,21,23,24,25,26,27,28,29,30,31,32,34,35,36,37,38},1,FIND(MID($B547,2,1),"ABCDEFGHIJKLMNOPQRSTUVWXYZ")),"")</f>
        <v/>
      </c>
      <c r="I547">
        <f>IF($F547=1,INDEX({10,12,13,14,15,16,17,18,19,20,21,23,24,25,26,27,28,29,30,31,32,34,35,36,37,38},1,FIND(MID($B547,3,1),"ABCDEFGHIJKLMNOPQRSTUVWXYZ")),"")</f>
        <v/>
      </c>
      <c r="J547">
        <f>IF($F547=1,INDEX({10,12,13,14,15,16,17,18,19,20,21,23,24,25,26,27,28,29,30,31,32,34,35,36,37,38},1,FIND(MID($B547,4,1),"ABCDEFGHIJKLMNOPQRSTUVWXYZ")),"")</f>
        <v/>
      </c>
      <c r="K547">
        <f>IF($F547=1,FIND(MID($B547,5,1),"0123456789")-1,"")</f>
        <v/>
      </c>
      <c r="L547">
        <f>IF($F547=1,FIND(MID($B547,6,1),"0123456789")-1,"")</f>
        <v/>
      </c>
      <c r="M547">
        <f>IF($F547=1,FIND(MID($B547,7,1),"0123456789")-1,"")</f>
        <v/>
      </c>
      <c r="N547">
        <f>IF($F547=1,FIND(MID($B547,8,1),"0123456789")-1,"")</f>
        <v/>
      </c>
      <c r="O547">
        <f>IF($F547=1,FIND(MID($B547,9,1),"0123456789")-1,"")</f>
        <v/>
      </c>
      <c r="P547">
        <f>IF($F547=1,FIND(MID($B547,10,1),"0123456789")-1,"")</f>
        <v/>
      </c>
      <c r="Q547">
        <f>IF($F547=1,SUMPRODUCT($G547:$P547,{1,2,4,8,16,32,64,128,256,512}),"")</f>
        <v/>
      </c>
      <c r="R547">
        <f>IF($F547=1,MOD(MOD($Q547,11),10),"")</f>
        <v/>
      </c>
    </row>
    <row r="548">
      <c r="A548" s="6" t="n"/>
      <c r="B548" s="7">
        <f>IF($A548="","",UPPER(SUBSTITUTE(SUBSTITUTE(SUBSTITUTE(SUBSTITUTE(SUBSTITUTE(SUBSTITUTE($A548," ",""),"-",""),".",""),"/",""),"i","I"),"ı","?")))</f>
        <v/>
      </c>
      <c r="C548" s="8">
        <f>IF($F548=1,$R548,"")</f>
        <v/>
      </c>
      <c r="D548" s="7">
        <f>IF($A548="","",IF($F548=0,"Biçim hatalı",IF(FIND(MID($B548,11,1),"0123456789")-1=$R548,"Geçerli","Kontrol hanesi hatalı (doğrusu: "&amp;$R548&amp;")")))</f>
        <v/>
      </c>
      <c r="F548">
        <f>IF($A548="","",IF(AND(LEN($B548)=11,SUMPRODUCT(--ISNUMBER(FIND(MID($B548,{1,2,3},1),"ABCDEFGHIJKLMNOPQRSTUVWXYZ")))=3,ISNUMBER(FIND(MID($B548,4,1),"UJZ")),SUMPRODUCT(--ISNUMBER(FIND(MID($B548,{5,6,7,8,9,10,11},1),"0123456789")))=7),1,0))</f>
        <v/>
      </c>
      <c r="G548">
        <f>IF($F548=1,INDEX({10,12,13,14,15,16,17,18,19,20,21,23,24,25,26,27,28,29,30,31,32,34,35,36,37,38},1,FIND(MID($B548,1,1),"ABCDEFGHIJKLMNOPQRSTUVWXYZ")),"")</f>
        <v/>
      </c>
      <c r="H548">
        <f>IF($F548=1,INDEX({10,12,13,14,15,16,17,18,19,20,21,23,24,25,26,27,28,29,30,31,32,34,35,36,37,38},1,FIND(MID($B548,2,1),"ABCDEFGHIJKLMNOPQRSTUVWXYZ")),"")</f>
        <v/>
      </c>
      <c r="I548">
        <f>IF($F548=1,INDEX({10,12,13,14,15,16,17,18,19,20,21,23,24,25,26,27,28,29,30,31,32,34,35,36,37,38},1,FIND(MID($B548,3,1),"ABCDEFGHIJKLMNOPQRSTUVWXYZ")),"")</f>
        <v/>
      </c>
      <c r="J548">
        <f>IF($F548=1,INDEX({10,12,13,14,15,16,17,18,19,20,21,23,24,25,26,27,28,29,30,31,32,34,35,36,37,38},1,FIND(MID($B548,4,1),"ABCDEFGHIJKLMNOPQRSTUVWXYZ")),"")</f>
        <v/>
      </c>
      <c r="K548">
        <f>IF($F548=1,FIND(MID($B548,5,1),"0123456789")-1,"")</f>
        <v/>
      </c>
      <c r="L548">
        <f>IF($F548=1,FIND(MID($B548,6,1),"0123456789")-1,"")</f>
        <v/>
      </c>
      <c r="M548">
        <f>IF($F548=1,FIND(MID($B548,7,1),"0123456789")-1,"")</f>
        <v/>
      </c>
      <c r="N548">
        <f>IF($F548=1,FIND(MID($B548,8,1),"0123456789")-1,"")</f>
        <v/>
      </c>
      <c r="O548">
        <f>IF($F548=1,FIND(MID($B548,9,1),"0123456789")-1,"")</f>
        <v/>
      </c>
      <c r="P548">
        <f>IF($F548=1,FIND(MID($B548,10,1),"0123456789")-1,"")</f>
        <v/>
      </c>
      <c r="Q548">
        <f>IF($F548=1,SUMPRODUCT($G548:$P548,{1,2,4,8,16,32,64,128,256,512}),"")</f>
        <v/>
      </c>
      <c r="R548">
        <f>IF($F548=1,MOD(MOD($Q548,11),10),"")</f>
        <v/>
      </c>
    </row>
    <row r="549">
      <c r="A549" s="6" t="n"/>
      <c r="B549" s="7">
        <f>IF($A549="","",UPPER(SUBSTITUTE(SUBSTITUTE(SUBSTITUTE(SUBSTITUTE(SUBSTITUTE(SUBSTITUTE($A549," ",""),"-",""),".",""),"/",""),"i","I"),"ı","?")))</f>
        <v/>
      </c>
      <c r="C549" s="8">
        <f>IF($F549=1,$R549,"")</f>
        <v/>
      </c>
      <c r="D549" s="7">
        <f>IF($A549="","",IF($F549=0,"Biçim hatalı",IF(FIND(MID($B549,11,1),"0123456789")-1=$R549,"Geçerli","Kontrol hanesi hatalı (doğrusu: "&amp;$R549&amp;")")))</f>
        <v/>
      </c>
      <c r="F549">
        <f>IF($A549="","",IF(AND(LEN($B549)=11,SUMPRODUCT(--ISNUMBER(FIND(MID($B549,{1,2,3},1),"ABCDEFGHIJKLMNOPQRSTUVWXYZ")))=3,ISNUMBER(FIND(MID($B549,4,1),"UJZ")),SUMPRODUCT(--ISNUMBER(FIND(MID($B549,{5,6,7,8,9,10,11},1),"0123456789")))=7),1,0))</f>
        <v/>
      </c>
      <c r="G549">
        <f>IF($F549=1,INDEX({10,12,13,14,15,16,17,18,19,20,21,23,24,25,26,27,28,29,30,31,32,34,35,36,37,38},1,FIND(MID($B549,1,1),"ABCDEFGHIJKLMNOPQRSTUVWXYZ")),"")</f>
        <v/>
      </c>
      <c r="H549">
        <f>IF($F549=1,INDEX({10,12,13,14,15,16,17,18,19,20,21,23,24,25,26,27,28,29,30,31,32,34,35,36,37,38},1,FIND(MID($B549,2,1),"ABCDEFGHIJKLMNOPQRSTUVWXYZ")),"")</f>
        <v/>
      </c>
      <c r="I549">
        <f>IF($F549=1,INDEX({10,12,13,14,15,16,17,18,19,20,21,23,24,25,26,27,28,29,30,31,32,34,35,36,37,38},1,FIND(MID($B549,3,1),"ABCDEFGHIJKLMNOPQRSTUVWXYZ")),"")</f>
        <v/>
      </c>
      <c r="J549">
        <f>IF($F549=1,INDEX({10,12,13,14,15,16,17,18,19,20,21,23,24,25,26,27,28,29,30,31,32,34,35,36,37,38},1,FIND(MID($B549,4,1),"ABCDEFGHIJKLMNOPQRSTUVWXYZ")),"")</f>
        <v/>
      </c>
      <c r="K549">
        <f>IF($F549=1,FIND(MID($B549,5,1),"0123456789")-1,"")</f>
        <v/>
      </c>
      <c r="L549">
        <f>IF($F549=1,FIND(MID($B549,6,1),"0123456789")-1,"")</f>
        <v/>
      </c>
      <c r="M549">
        <f>IF($F549=1,FIND(MID($B549,7,1),"0123456789")-1,"")</f>
        <v/>
      </c>
      <c r="N549">
        <f>IF($F549=1,FIND(MID($B549,8,1),"0123456789")-1,"")</f>
        <v/>
      </c>
      <c r="O549">
        <f>IF($F549=1,FIND(MID($B549,9,1),"0123456789")-1,"")</f>
        <v/>
      </c>
      <c r="P549">
        <f>IF($F549=1,FIND(MID($B549,10,1),"0123456789")-1,"")</f>
        <v/>
      </c>
      <c r="Q549">
        <f>IF($F549=1,SUMPRODUCT($G549:$P549,{1,2,4,8,16,32,64,128,256,512}),"")</f>
        <v/>
      </c>
      <c r="R549">
        <f>IF($F549=1,MOD(MOD($Q549,11),10),"")</f>
        <v/>
      </c>
    </row>
    <row r="550">
      <c r="A550" s="6" t="n"/>
      <c r="B550" s="7">
        <f>IF($A550="","",UPPER(SUBSTITUTE(SUBSTITUTE(SUBSTITUTE(SUBSTITUTE(SUBSTITUTE(SUBSTITUTE($A550," ",""),"-",""),".",""),"/",""),"i","I"),"ı","?")))</f>
        <v/>
      </c>
      <c r="C550" s="8">
        <f>IF($F550=1,$R550,"")</f>
        <v/>
      </c>
      <c r="D550" s="7">
        <f>IF($A550="","",IF($F550=0,"Biçim hatalı",IF(FIND(MID($B550,11,1),"0123456789")-1=$R550,"Geçerli","Kontrol hanesi hatalı (doğrusu: "&amp;$R550&amp;")")))</f>
        <v/>
      </c>
      <c r="F550">
        <f>IF($A550="","",IF(AND(LEN($B550)=11,SUMPRODUCT(--ISNUMBER(FIND(MID($B550,{1,2,3},1),"ABCDEFGHIJKLMNOPQRSTUVWXYZ")))=3,ISNUMBER(FIND(MID($B550,4,1),"UJZ")),SUMPRODUCT(--ISNUMBER(FIND(MID($B550,{5,6,7,8,9,10,11},1),"0123456789")))=7),1,0))</f>
        <v/>
      </c>
      <c r="G550">
        <f>IF($F550=1,INDEX({10,12,13,14,15,16,17,18,19,20,21,23,24,25,26,27,28,29,30,31,32,34,35,36,37,38},1,FIND(MID($B550,1,1),"ABCDEFGHIJKLMNOPQRSTUVWXYZ")),"")</f>
        <v/>
      </c>
      <c r="H550">
        <f>IF($F550=1,INDEX({10,12,13,14,15,16,17,18,19,20,21,23,24,25,26,27,28,29,30,31,32,34,35,36,37,38},1,FIND(MID($B550,2,1),"ABCDEFGHIJKLMNOPQRSTUVWXYZ")),"")</f>
        <v/>
      </c>
      <c r="I550">
        <f>IF($F550=1,INDEX({10,12,13,14,15,16,17,18,19,20,21,23,24,25,26,27,28,29,30,31,32,34,35,36,37,38},1,FIND(MID($B550,3,1),"ABCDEFGHIJKLMNOPQRSTUVWXYZ")),"")</f>
        <v/>
      </c>
      <c r="J550">
        <f>IF($F550=1,INDEX({10,12,13,14,15,16,17,18,19,20,21,23,24,25,26,27,28,29,30,31,32,34,35,36,37,38},1,FIND(MID($B550,4,1),"ABCDEFGHIJKLMNOPQRSTUVWXYZ")),"")</f>
        <v/>
      </c>
      <c r="K550">
        <f>IF($F550=1,FIND(MID($B550,5,1),"0123456789")-1,"")</f>
        <v/>
      </c>
      <c r="L550">
        <f>IF($F550=1,FIND(MID($B550,6,1),"0123456789")-1,"")</f>
        <v/>
      </c>
      <c r="M550">
        <f>IF($F550=1,FIND(MID($B550,7,1),"0123456789")-1,"")</f>
        <v/>
      </c>
      <c r="N550">
        <f>IF($F550=1,FIND(MID($B550,8,1),"0123456789")-1,"")</f>
        <v/>
      </c>
      <c r="O550">
        <f>IF($F550=1,FIND(MID($B550,9,1),"0123456789")-1,"")</f>
        <v/>
      </c>
      <c r="P550">
        <f>IF($F550=1,FIND(MID($B550,10,1),"0123456789")-1,"")</f>
        <v/>
      </c>
      <c r="Q550">
        <f>IF($F550=1,SUMPRODUCT($G550:$P550,{1,2,4,8,16,32,64,128,256,512}),"")</f>
        <v/>
      </c>
      <c r="R550">
        <f>IF($F550=1,MOD(MOD($Q550,11),10),"")</f>
        <v/>
      </c>
    </row>
    <row r="551">
      <c r="A551" s="6" t="n"/>
      <c r="B551" s="7">
        <f>IF($A551="","",UPPER(SUBSTITUTE(SUBSTITUTE(SUBSTITUTE(SUBSTITUTE(SUBSTITUTE(SUBSTITUTE($A551," ",""),"-",""),".",""),"/",""),"i","I"),"ı","?")))</f>
        <v/>
      </c>
      <c r="C551" s="8">
        <f>IF($F551=1,$R551,"")</f>
        <v/>
      </c>
      <c r="D551" s="7">
        <f>IF($A551="","",IF($F551=0,"Biçim hatalı",IF(FIND(MID($B551,11,1),"0123456789")-1=$R551,"Geçerli","Kontrol hanesi hatalı (doğrusu: "&amp;$R551&amp;")")))</f>
        <v/>
      </c>
      <c r="F551">
        <f>IF($A551="","",IF(AND(LEN($B551)=11,SUMPRODUCT(--ISNUMBER(FIND(MID($B551,{1,2,3},1),"ABCDEFGHIJKLMNOPQRSTUVWXYZ")))=3,ISNUMBER(FIND(MID($B551,4,1),"UJZ")),SUMPRODUCT(--ISNUMBER(FIND(MID($B551,{5,6,7,8,9,10,11},1),"0123456789")))=7),1,0))</f>
        <v/>
      </c>
      <c r="G551">
        <f>IF($F551=1,INDEX({10,12,13,14,15,16,17,18,19,20,21,23,24,25,26,27,28,29,30,31,32,34,35,36,37,38},1,FIND(MID($B551,1,1),"ABCDEFGHIJKLMNOPQRSTUVWXYZ")),"")</f>
        <v/>
      </c>
      <c r="H551">
        <f>IF($F551=1,INDEX({10,12,13,14,15,16,17,18,19,20,21,23,24,25,26,27,28,29,30,31,32,34,35,36,37,38},1,FIND(MID($B551,2,1),"ABCDEFGHIJKLMNOPQRSTUVWXYZ")),"")</f>
        <v/>
      </c>
      <c r="I551">
        <f>IF($F551=1,INDEX({10,12,13,14,15,16,17,18,19,20,21,23,24,25,26,27,28,29,30,31,32,34,35,36,37,38},1,FIND(MID($B551,3,1),"ABCDEFGHIJKLMNOPQRSTUVWXYZ")),"")</f>
        <v/>
      </c>
      <c r="J551">
        <f>IF($F551=1,INDEX({10,12,13,14,15,16,17,18,19,20,21,23,24,25,26,27,28,29,30,31,32,34,35,36,37,38},1,FIND(MID($B551,4,1),"ABCDEFGHIJKLMNOPQRSTUVWXYZ")),"")</f>
        <v/>
      </c>
      <c r="K551">
        <f>IF($F551=1,FIND(MID($B551,5,1),"0123456789")-1,"")</f>
        <v/>
      </c>
      <c r="L551">
        <f>IF($F551=1,FIND(MID($B551,6,1),"0123456789")-1,"")</f>
        <v/>
      </c>
      <c r="M551">
        <f>IF($F551=1,FIND(MID($B551,7,1),"0123456789")-1,"")</f>
        <v/>
      </c>
      <c r="N551">
        <f>IF($F551=1,FIND(MID($B551,8,1),"0123456789")-1,"")</f>
        <v/>
      </c>
      <c r="O551">
        <f>IF($F551=1,FIND(MID($B551,9,1),"0123456789")-1,"")</f>
        <v/>
      </c>
      <c r="P551">
        <f>IF($F551=1,FIND(MID($B551,10,1),"0123456789")-1,"")</f>
        <v/>
      </c>
      <c r="Q551">
        <f>IF($F551=1,SUMPRODUCT($G551:$P551,{1,2,4,8,16,32,64,128,256,512}),"")</f>
        <v/>
      </c>
      <c r="R551">
        <f>IF($F551=1,MOD(MOD($Q551,11),10),"")</f>
        <v/>
      </c>
    </row>
    <row r="552">
      <c r="A552" s="6" t="n"/>
      <c r="B552" s="7">
        <f>IF($A552="","",UPPER(SUBSTITUTE(SUBSTITUTE(SUBSTITUTE(SUBSTITUTE(SUBSTITUTE(SUBSTITUTE($A552," ",""),"-",""),".",""),"/",""),"i","I"),"ı","?")))</f>
        <v/>
      </c>
      <c r="C552" s="8">
        <f>IF($F552=1,$R552,"")</f>
        <v/>
      </c>
      <c r="D552" s="7">
        <f>IF($A552="","",IF($F552=0,"Biçim hatalı",IF(FIND(MID($B552,11,1),"0123456789")-1=$R552,"Geçerli","Kontrol hanesi hatalı (doğrusu: "&amp;$R552&amp;")")))</f>
        <v/>
      </c>
      <c r="F552">
        <f>IF($A552="","",IF(AND(LEN($B552)=11,SUMPRODUCT(--ISNUMBER(FIND(MID($B552,{1,2,3},1),"ABCDEFGHIJKLMNOPQRSTUVWXYZ")))=3,ISNUMBER(FIND(MID($B552,4,1),"UJZ")),SUMPRODUCT(--ISNUMBER(FIND(MID($B552,{5,6,7,8,9,10,11},1),"0123456789")))=7),1,0))</f>
        <v/>
      </c>
      <c r="G552">
        <f>IF($F552=1,INDEX({10,12,13,14,15,16,17,18,19,20,21,23,24,25,26,27,28,29,30,31,32,34,35,36,37,38},1,FIND(MID($B552,1,1),"ABCDEFGHIJKLMNOPQRSTUVWXYZ")),"")</f>
        <v/>
      </c>
      <c r="H552">
        <f>IF($F552=1,INDEX({10,12,13,14,15,16,17,18,19,20,21,23,24,25,26,27,28,29,30,31,32,34,35,36,37,38},1,FIND(MID($B552,2,1),"ABCDEFGHIJKLMNOPQRSTUVWXYZ")),"")</f>
        <v/>
      </c>
      <c r="I552">
        <f>IF($F552=1,INDEX({10,12,13,14,15,16,17,18,19,20,21,23,24,25,26,27,28,29,30,31,32,34,35,36,37,38},1,FIND(MID($B552,3,1),"ABCDEFGHIJKLMNOPQRSTUVWXYZ")),"")</f>
        <v/>
      </c>
      <c r="J552">
        <f>IF($F552=1,INDEX({10,12,13,14,15,16,17,18,19,20,21,23,24,25,26,27,28,29,30,31,32,34,35,36,37,38},1,FIND(MID($B552,4,1),"ABCDEFGHIJKLMNOPQRSTUVWXYZ")),"")</f>
        <v/>
      </c>
      <c r="K552">
        <f>IF($F552=1,FIND(MID($B552,5,1),"0123456789")-1,"")</f>
        <v/>
      </c>
      <c r="L552">
        <f>IF($F552=1,FIND(MID($B552,6,1),"0123456789")-1,"")</f>
        <v/>
      </c>
      <c r="M552">
        <f>IF($F552=1,FIND(MID($B552,7,1),"0123456789")-1,"")</f>
        <v/>
      </c>
      <c r="N552">
        <f>IF($F552=1,FIND(MID($B552,8,1),"0123456789")-1,"")</f>
        <v/>
      </c>
      <c r="O552">
        <f>IF($F552=1,FIND(MID($B552,9,1),"0123456789")-1,"")</f>
        <v/>
      </c>
      <c r="P552">
        <f>IF($F552=1,FIND(MID($B552,10,1),"0123456789")-1,"")</f>
        <v/>
      </c>
      <c r="Q552">
        <f>IF($F552=1,SUMPRODUCT($G552:$P552,{1,2,4,8,16,32,64,128,256,512}),"")</f>
        <v/>
      </c>
      <c r="R552">
        <f>IF($F552=1,MOD(MOD($Q552,11),10),"")</f>
        <v/>
      </c>
    </row>
    <row r="553">
      <c r="A553" s="6" t="n"/>
      <c r="B553" s="7">
        <f>IF($A553="","",UPPER(SUBSTITUTE(SUBSTITUTE(SUBSTITUTE(SUBSTITUTE(SUBSTITUTE(SUBSTITUTE($A553," ",""),"-",""),".",""),"/",""),"i","I"),"ı","?")))</f>
        <v/>
      </c>
      <c r="C553" s="8">
        <f>IF($F553=1,$R553,"")</f>
        <v/>
      </c>
      <c r="D553" s="7">
        <f>IF($A553="","",IF($F553=0,"Biçim hatalı",IF(FIND(MID($B553,11,1),"0123456789")-1=$R553,"Geçerli","Kontrol hanesi hatalı (doğrusu: "&amp;$R553&amp;")")))</f>
        <v/>
      </c>
      <c r="F553">
        <f>IF($A553="","",IF(AND(LEN($B553)=11,SUMPRODUCT(--ISNUMBER(FIND(MID($B553,{1,2,3},1),"ABCDEFGHIJKLMNOPQRSTUVWXYZ")))=3,ISNUMBER(FIND(MID($B553,4,1),"UJZ")),SUMPRODUCT(--ISNUMBER(FIND(MID($B553,{5,6,7,8,9,10,11},1),"0123456789")))=7),1,0))</f>
        <v/>
      </c>
      <c r="G553">
        <f>IF($F553=1,INDEX({10,12,13,14,15,16,17,18,19,20,21,23,24,25,26,27,28,29,30,31,32,34,35,36,37,38},1,FIND(MID($B553,1,1),"ABCDEFGHIJKLMNOPQRSTUVWXYZ")),"")</f>
        <v/>
      </c>
      <c r="H553">
        <f>IF($F553=1,INDEX({10,12,13,14,15,16,17,18,19,20,21,23,24,25,26,27,28,29,30,31,32,34,35,36,37,38},1,FIND(MID($B553,2,1),"ABCDEFGHIJKLMNOPQRSTUVWXYZ")),"")</f>
        <v/>
      </c>
      <c r="I553">
        <f>IF($F553=1,INDEX({10,12,13,14,15,16,17,18,19,20,21,23,24,25,26,27,28,29,30,31,32,34,35,36,37,38},1,FIND(MID($B553,3,1),"ABCDEFGHIJKLMNOPQRSTUVWXYZ")),"")</f>
        <v/>
      </c>
      <c r="J553">
        <f>IF($F553=1,INDEX({10,12,13,14,15,16,17,18,19,20,21,23,24,25,26,27,28,29,30,31,32,34,35,36,37,38},1,FIND(MID($B553,4,1),"ABCDEFGHIJKLMNOPQRSTUVWXYZ")),"")</f>
        <v/>
      </c>
      <c r="K553">
        <f>IF($F553=1,FIND(MID($B553,5,1),"0123456789")-1,"")</f>
        <v/>
      </c>
      <c r="L553">
        <f>IF($F553=1,FIND(MID($B553,6,1),"0123456789")-1,"")</f>
        <v/>
      </c>
      <c r="M553">
        <f>IF($F553=1,FIND(MID($B553,7,1),"0123456789")-1,"")</f>
        <v/>
      </c>
      <c r="N553">
        <f>IF($F553=1,FIND(MID($B553,8,1),"0123456789")-1,"")</f>
        <v/>
      </c>
      <c r="O553">
        <f>IF($F553=1,FIND(MID($B553,9,1),"0123456789")-1,"")</f>
        <v/>
      </c>
      <c r="P553">
        <f>IF($F553=1,FIND(MID($B553,10,1),"0123456789")-1,"")</f>
        <v/>
      </c>
      <c r="Q553">
        <f>IF($F553=1,SUMPRODUCT($G553:$P553,{1,2,4,8,16,32,64,128,256,512}),"")</f>
        <v/>
      </c>
      <c r="R553">
        <f>IF($F553=1,MOD(MOD($Q553,11),10),"")</f>
        <v/>
      </c>
    </row>
    <row r="554">
      <c r="A554" s="6" t="n"/>
      <c r="B554" s="7">
        <f>IF($A554="","",UPPER(SUBSTITUTE(SUBSTITUTE(SUBSTITUTE(SUBSTITUTE(SUBSTITUTE(SUBSTITUTE($A554," ",""),"-",""),".",""),"/",""),"i","I"),"ı","?")))</f>
        <v/>
      </c>
      <c r="C554" s="8">
        <f>IF($F554=1,$R554,"")</f>
        <v/>
      </c>
      <c r="D554" s="7">
        <f>IF($A554="","",IF($F554=0,"Biçim hatalı",IF(FIND(MID($B554,11,1),"0123456789")-1=$R554,"Geçerli","Kontrol hanesi hatalı (doğrusu: "&amp;$R554&amp;")")))</f>
        <v/>
      </c>
      <c r="F554">
        <f>IF($A554="","",IF(AND(LEN($B554)=11,SUMPRODUCT(--ISNUMBER(FIND(MID($B554,{1,2,3},1),"ABCDEFGHIJKLMNOPQRSTUVWXYZ")))=3,ISNUMBER(FIND(MID($B554,4,1),"UJZ")),SUMPRODUCT(--ISNUMBER(FIND(MID($B554,{5,6,7,8,9,10,11},1),"0123456789")))=7),1,0))</f>
        <v/>
      </c>
      <c r="G554">
        <f>IF($F554=1,INDEX({10,12,13,14,15,16,17,18,19,20,21,23,24,25,26,27,28,29,30,31,32,34,35,36,37,38},1,FIND(MID($B554,1,1),"ABCDEFGHIJKLMNOPQRSTUVWXYZ")),"")</f>
        <v/>
      </c>
      <c r="H554">
        <f>IF($F554=1,INDEX({10,12,13,14,15,16,17,18,19,20,21,23,24,25,26,27,28,29,30,31,32,34,35,36,37,38},1,FIND(MID($B554,2,1),"ABCDEFGHIJKLMNOPQRSTUVWXYZ")),"")</f>
        <v/>
      </c>
      <c r="I554">
        <f>IF($F554=1,INDEX({10,12,13,14,15,16,17,18,19,20,21,23,24,25,26,27,28,29,30,31,32,34,35,36,37,38},1,FIND(MID($B554,3,1),"ABCDEFGHIJKLMNOPQRSTUVWXYZ")),"")</f>
        <v/>
      </c>
      <c r="J554">
        <f>IF($F554=1,INDEX({10,12,13,14,15,16,17,18,19,20,21,23,24,25,26,27,28,29,30,31,32,34,35,36,37,38},1,FIND(MID($B554,4,1),"ABCDEFGHIJKLMNOPQRSTUVWXYZ")),"")</f>
        <v/>
      </c>
      <c r="K554">
        <f>IF($F554=1,FIND(MID($B554,5,1),"0123456789")-1,"")</f>
        <v/>
      </c>
      <c r="L554">
        <f>IF($F554=1,FIND(MID($B554,6,1),"0123456789")-1,"")</f>
        <v/>
      </c>
      <c r="M554">
        <f>IF($F554=1,FIND(MID($B554,7,1),"0123456789")-1,"")</f>
        <v/>
      </c>
      <c r="N554">
        <f>IF($F554=1,FIND(MID($B554,8,1),"0123456789")-1,"")</f>
        <v/>
      </c>
      <c r="O554">
        <f>IF($F554=1,FIND(MID($B554,9,1),"0123456789")-1,"")</f>
        <v/>
      </c>
      <c r="P554">
        <f>IF($F554=1,FIND(MID($B554,10,1),"0123456789")-1,"")</f>
        <v/>
      </c>
      <c r="Q554">
        <f>IF($F554=1,SUMPRODUCT($G554:$P554,{1,2,4,8,16,32,64,128,256,512}),"")</f>
        <v/>
      </c>
      <c r="R554">
        <f>IF($F554=1,MOD(MOD($Q554,11),10),"")</f>
        <v/>
      </c>
    </row>
    <row r="555">
      <c r="A555" s="6" t="n"/>
      <c r="B555" s="7">
        <f>IF($A555="","",UPPER(SUBSTITUTE(SUBSTITUTE(SUBSTITUTE(SUBSTITUTE(SUBSTITUTE(SUBSTITUTE($A555," ",""),"-",""),".",""),"/",""),"i","I"),"ı","?")))</f>
        <v/>
      </c>
      <c r="C555" s="8">
        <f>IF($F555=1,$R555,"")</f>
        <v/>
      </c>
      <c r="D555" s="7">
        <f>IF($A555="","",IF($F555=0,"Biçim hatalı",IF(FIND(MID($B555,11,1),"0123456789")-1=$R555,"Geçerli","Kontrol hanesi hatalı (doğrusu: "&amp;$R555&amp;")")))</f>
        <v/>
      </c>
      <c r="F555">
        <f>IF($A555="","",IF(AND(LEN($B555)=11,SUMPRODUCT(--ISNUMBER(FIND(MID($B555,{1,2,3},1),"ABCDEFGHIJKLMNOPQRSTUVWXYZ")))=3,ISNUMBER(FIND(MID($B555,4,1),"UJZ")),SUMPRODUCT(--ISNUMBER(FIND(MID($B555,{5,6,7,8,9,10,11},1),"0123456789")))=7),1,0))</f>
        <v/>
      </c>
      <c r="G555">
        <f>IF($F555=1,INDEX({10,12,13,14,15,16,17,18,19,20,21,23,24,25,26,27,28,29,30,31,32,34,35,36,37,38},1,FIND(MID($B555,1,1),"ABCDEFGHIJKLMNOPQRSTUVWXYZ")),"")</f>
        <v/>
      </c>
      <c r="H555">
        <f>IF($F555=1,INDEX({10,12,13,14,15,16,17,18,19,20,21,23,24,25,26,27,28,29,30,31,32,34,35,36,37,38},1,FIND(MID($B555,2,1),"ABCDEFGHIJKLMNOPQRSTUVWXYZ")),"")</f>
        <v/>
      </c>
      <c r="I555">
        <f>IF($F555=1,INDEX({10,12,13,14,15,16,17,18,19,20,21,23,24,25,26,27,28,29,30,31,32,34,35,36,37,38},1,FIND(MID($B555,3,1),"ABCDEFGHIJKLMNOPQRSTUVWXYZ")),"")</f>
        <v/>
      </c>
      <c r="J555">
        <f>IF($F555=1,INDEX({10,12,13,14,15,16,17,18,19,20,21,23,24,25,26,27,28,29,30,31,32,34,35,36,37,38},1,FIND(MID($B555,4,1),"ABCDEFGHIJKLMNOPQRSTUVWXYZ")),"")</f>
        <v/>
      </c>
      <c r="K555">
        <f>IF($F555=1,FIND(MID($B555,5,1),"0123456789")-1,"")</f>
        <v/>
      </c>
      <c r="L555">
        <f>IF($F555=1,FIND(MID($B555,6,1),"0123456789")-1,"")</f>
        <v/>
      </c>
      <c r="M555">
        <f>IF($F555=1,FIND(MID($B555,7,1),"0123456789")-1,"")</f>
        <v/>
      </c>
      <c r="N555">
        <f>IF($F555=1,FIND(MID($B555,8,1),"0123456789")-1,"")</f>
        <v/>
      </c>
      <c r="O555">
        <f>IF($F555=1,FIND(MID($B555,9,1),"0123456789")-1,"")</f>
        <v/>
      </c>
      <c r="P555">
        <f>IF($F555=1,FIND(MID($B555,10,1),"0123456789")-1,"")</f>
        <v/>
      </c>
      <c r="Q555">
        <f>IF($F555=1,SUMPRODUCT($G555:$P555,{1,2,4,8,16,32,64,128,256,512}),"")</f>
        <v/>
      </c>
      <c r="R555">
        <f>IF($F555=1,MOD(MOD($Q555,11),10),"")</f>
        <v/>
      </c>
    </row>
    <row r="556">
      <c r="A556" s="6" t="n"/>
      <c r="B556" s="7">
        <f>IF($A556="","",UPPER(SUBSTITUTE(SUBSTITUTE(SUBSTITUTE(SUBSTITUTE(SUBSTITUTE(SUBSTITUTE($A556," ",""),"-",""),".",""),"/",""),"i","I"),"ı","?")))</f>
        <v/>
      </c>
      <c r="C556" s="8">
        <f>IF($F556=1,$R556,"")</f>
        <v/>
      </c>
      <c r="D556" s="7">
        <f>IF($A556="","",IF($F556=0,"Biçim hatalı",IF(FIND(MID($B556,11,1),"0123456789")-1=$R556,"Geçerli","Kontrol hanesi hatalı (doğrusu: "&amp;$R556&amp;")")))</f>
        <v/>
      </c>
      <c r="F556">
        <f>IF($A556="","",IF(AND(LEN($B556)=11,SUMPRODUCT(--ISNUMBER(FIND(MID($B556,{1,2,3},1),"ABCDEFGHIJKLMNOPQRSTUVWXYZ")))=3,ISNUMBER(FIND(MID($B556,4,1),"UJZ")),SUMPRODUCT(--ISNUMBER(FIND(MID($B556,{5,6,7,8,9,10,11},1),"0123456789")))=7),1,0))</f>
        <v/>
      </c>
      <c r="G556">
        <f>IF($F556=1,INDEX({10,12,13,14,15,16,17,18,19,20,21,23,24,25,26,27,28,29,30,31,32,34,35,36,37,38},1,FIND(MID($B556,1,1),"ABCDEFGHIJKLMNOPQRSTUVWXYZ")),"")</f>
        <v/>
      </c>
      <c r="H556">
        <f>IF($F556=1,INDEX({10,12,13,14,15,16,17,18,19,20,21,23,24,25,26,27,28,29,30,31,32,34,35,36,37,38},1,FIND(MID($B556,2,1),"ABCDEFGHIJKLMNOPQRSTUVWXYZ")),"")</f>
        <v/>
      </c>
      <c r="I556">
        <f>IF($F556=1,INDEX({10,12,13,14,15,16,17,18,19,20,21,23,24,25,26,27,28,29,30,31,32,34,35,36,37,38},1,FIND(MID($B556,3,1),"ABCDEFGHIJKLMNOPQRSTUVWXYZ")),"")</f>
        <v/>
      </c>
      <c r="J556">
        <f>IF($F556=1,INDEX({10,12,13,14,15,16,17,18,19,20,21,23,24,25,26,27,28,29,30,31,32,34,35,36,37,38},1,FIND(MID($B556,4,1),"ABCDEFGHIJKLMNOPQRSTUVWXYZ")),"")</f>
        <v/>
      </c>
      <c r="K556">
        <f>IF($F556=1,FIND(MID($B556,5,1),"0123456789")-1,"")</f>
        <v/>
      </c>
      <c r="L556">
        <f>IF($F556=1,FIND(MID($B556,6,1),"0123456789")-1,"")</f>
        <v/>
      </c>
      <c r="M556">
        <f>IF($F556=1,FIND(MID($B556,7,1),"0123456789")-1,"")</f>
        <v/>
      </c>
      <c r="N556">
        <f>IF($F556=1,FIND(MID($B556,8,1),"0123456789")-1,"")</f>
        <v/>
      </c>
      <c r="O556">
        <f>IF($F556=1,FIND(MID($B556,9,1),"0123456789")-1,"")</f>
        <v/>
      </c>
      <c r="P556">
        <f>IF($F556=1,FIND(MID($B556,10,1),"0123456789")-1,"")</f>
        <v/>
      </c>
      <c r="Q556">
        <f>IF($F556=1,SUMPRODUCT($G556:$P556,{1,2,4,8,16,32,64,128,256,512}),"")</f>
        <v/>
      </c>
      <c r="R556">
        <f>IF($F556=1,MOD(MOD($Q556,11),10),"")</f>
        <v/>
      </c>
    </row>
    <row r="557">
      <c r="A557" s="6" t="n"/>
      <c r="B557" s="7">
        <f>IF($A557="","",UPPER(SUBSTITUTE(SUBSTITUTE(SUBSTITUTE(SUBSTITUTE(SUBSTITUTE(SUBSTITUTE($A557," ",""),"-",""),".",""),"/",""),"i","I"),"ı","?")))</f>
        <v/>
      </c>
      <c r="C557" s="8">
        <f>IF($F557=1,$R557,"")</f>
        <v/>
      </c>
      <c r="D557" s="7">
        <f>IF($A557="","",IF($F557=0,"Biçim hatalı",IF(FIND(MID($B557,11,1),"0123456789")-1=$R557,"Geçerli","Kontrol hanesi hatalı (doğrusu: "&amp;$R557&amp;")")))</f>
        <v/>
      </c>
      <c r="F557">
        <f>IF($A557="","",IF(AND(LEN($B557)=11,SUMPRODUCT(--ISNUMBER(FIND(MID($B557,{1,2,3},1),"ABCDEFGHIJKLMNOPQRSTUVWXYZ")))=3,ISNUMBER(FIND(MID($B557,4,1),"UJZ")),SUMPRODUCT(--ISNUMBER(FIND(MID($B557,{5,6,7,8,9,10,11},1),"0123456789")))=7),1,0))</f>
        <v/>
      </c>
      <c r="G557">
        <f>IF($F557=1,INDEX({10,12,13,14,15,16,17,18,19,20,21,23,24,25,26,27,28,29,30,31,32,34,35,36,37,38},1,FIND(MID($B557,1,1),"ABCDEFGHIJKLMNOPQRSTUVWXYZ")),"")</f>
        <v/>
      </c>
      <c r="H557">
        <f>IF($F557=1,INDEX({10,12,13,14,15,16,17,18,19,20,21,23,24,25,26,27,28,29,30,31,32,34,35,36,37,38},1,FIND(MID($B557,2,1),"ABCDEFGHIJKLMNOPQRSTUVWXYZ")),"")</f>
        <v/>
      </c>
      <c r="I557">
        <f>IF($F557=1,INDEX({10,12,13,14,15,16,17,18,19,20,21,23,24,25,26,27,28,29,30,31,32,34,35,36,37,38},1,FIND(MID($B557,3,1),"ABCDEFGHIJKLMNOPQRSTUVWXYZ")),"")</f>
        <v/>
      </c>
      <c r="J557">
        <f>IF($F557=1,INDEX({10,12,13,14,15,16,17,18,19,20,21,23,24,25,26,27,28,29,30,31,32,34,35,36,37,38},1,FIND(MID($B557,4,1),"ABCDEFGHIJKLMNOPQRSTUVWXYZ")),"")</f>
        <v/>
      </c>
      <c r="K557">
        <f>IF($F557=1,FIND(MID($B557,5,1),"0123456789")-1,"")</f>
        <v/>
      </c>
      <c r="L557">
        <f>IF($F557=1,FIND(MID($B557,6,1),"0123456789")-1,"")</f>
        <v/>
      </c>
      <c r="M557">
        <f>IF($F557=1,FIND(MID($B557,7,1),"0123456789")-1,"")</f>
        <v/>
      </c>
      <c r="N557">
        <f>IF($F557=1,FIND(MID($B557,8,1),"0123456789")-1,"")</f>
        <v/>
      </c>
      <c r="O557">
        <f>IF($F557=1,FIND(MID($B557,9,1),"0123456789")-1,"")</f>
        <v/>
      </c>
      <c r="P557">
        <f>IF($F557=1,FIND(MID($B557,10,1),"0123456789")-1,"")</f>
        <v/>
      </c>
      <c r="Q557">
        <f>IF($F557=1,SUMPRODUCT($G557:$P557,{1,2,4,8,16,32,64,128,256,512}),"")</f>
        <v/>
      </c>
      <c r="R557">
        <f>IF($F557=1,MOD(MOD($Q557,11),10),"")</f>
        <v/>
      </c>
    </row>
    <row r="558">
      <c r="A558" s="6" t="n"/>
      <c r="B558" s="7">
        <f>IF($A558="","",UPPER(SUBSTITUTE(SUBSTITUTE(SUBSTITUTE(SUBSTITUTE(SUBSTITUTE(SUBSTITUTE($A558," ",""),"-",""),".",""),"/",""),"i","I"),"ı","?")))</f>
        <v/>
      </c>
      <c r="C558" s="8">
        <f>IF($F558=1,$R558,"")</f>
        <v/>
      </c>
      <c r="D558" s="7">
        <f>IF($A558="","",IF($F558=0,"Biçim hatalı",IF(FIND(MID($B558,11,1),"0123456789")-1=$R558,"Geçerli","Kontrol hanesi hatalı (doğrusu: "&amp;$R558&amp;")")))</f>
        <v/>
      </c>
      <c r="F558">
        <f>IF($A558="","",IF(AND(LEN($B558)=11,SUMPRODUCT(--ISNUMBER(FIND(MID($B558,{1,2,3},1),"ABCDEFGHIJKLMNOPQRSTUVWXYZ")))=3,ISNUMBER(FIND(MID($B558,4,1),"UJZ")),SUMPRODUCT(--ISNUMBER(FIND(MID($B558,{5,6,7,8,9,10,11},1),"0123456789")))=7),1,0))</f>
        <v/>
      </c>
      <c r="G558">
        <f>IF($F558=1,INDEX({10,12,13,14,15,16,17,18,19,20,21,23,24,25,26,27,28,29,30,31,32,34,35,36,37,38},1,FIND(MID($B558,1,1),"ABCDEFGHIJKLMNOPQRSTUVWXYZ")),"")</f>
        <v/>
      </c>
      <c r="H558">
        <f>IF($F558=1,INDEX({10,12,13,14,15,16,17,18,19,20,21,23,24,25,26,27,28,29,30,31,32,34,35,36,37,38},1,FIND(MID($B558,2,1),"ABCDEFGHIJKLMNOPQRSTUVWXYZ")),"")</f>
        <v/>
      </c>
      <c r="I558">
        <f>IF($F558=1,INDEX({10,12,13,14,15,16,17,18,19,20,21,23,24,25,26,27,28,29,30,31,32,34,35,36,37,38},1,FIND(MID($B558,3,1),"ABCDEFGHIJKLMNOPQRSTUVWXYZ")),"")</f>
        <v/>
      </c>
      <c r="J558">
        <f>IF($F558=1,INDEX({10,12,13,14,15,16,17,18,19,20,21,23,24,25,26,27,28,29,30,31,32,34,35,36,37,38},1,FIND(MID($B558,4,1),"ABCDEFGHIJKLMNOPQRSTUVWXYZ")),"")</f>
        <v/>
      </c>
      <c r="K558">
        <f>IF($F558=1,FIND(MID($B558,5,1),"0123456789")-1,"")</f>
        <v/>
      </c>
      <c r="L558">
        <f>IF($F558=1,FIND(MID($B558,6,1),"0123456789")-1,"")</f>
        <v/>
      </c>
      <c r="M558">
        <f>IF($F558=1,FIND(MID($B558,7,1),"0123456789")-1,"")</f>
        <v/>
      </c>
      <c r="N558">
        <f>IF($F558=1,FIND(MID($B558,8,1),"0123456789")-1,"")</f>
        <v/>
      </c>
      <c r="O558">
        <f>IF($F558=1,FIND(MID($B558,9,1),"0123456789")-1,"")</f>
        <v/>
      </c>
      <c r="P558">
        <f>IF($F558=1,FIND(MID($B558,10,1),"0123456789")-1,"")</f>
        <v/>
      </c>
      <c r="Q558">
        <f>IF($F558=1,SUMPRODUCT($G558:$P558,{1,2,4,8,16,32,64,128,256,512}),"")</f>
        <v/>
      </c>
      <c r="R558">
        <f>IF($F558=1,MOD(MOD($Q558,11),10),"")</f>
        <v/>
      </c>
    </row>
    <row r="559">
      <c r="A559" s="6" t="n"/>
      <c r="B559" s="7">
        <f>IF($A559="","",UPPER(SUBSTITUTE(SUBSTITUTE(SUBSTITUTE(SUBSTITUTE(SUBSTITUTE(SUBSTITUTE($A559," ",""),"-",""),".",""),"/",""),"i","I"),"ı","?")))</f>
        <v/>
      </c>
      <c r="C559" s="8">
        <f>IF($F559=1,$R559,"")</f>
        <v/>
      </c>
      <c r="D559" s="7">
        <f>IF($A559="","",IF($F559=0,"Biçim hatalı",IF(FIND(MID($B559,11,1),"0123456789")-1=$R559,"Geçerli","Kontrol hanesi hatalı (doğrusu: "&amp;$R559&amp;")")))</f>
        <v/>
      </c>
      <c r="F559">
        <f>IF($A559="","",IF(AND(LEN($B559)=11,SUMPRODUCT(--ISNUMBER(FIND(MID($B559,{1,2,3},1),"ABCDEFGHIJKLMNOPQRSTUVWXYZ")))=3,ISNUMBER(FIND(MID($B559,4,1),"UJZ")),SUMPRODUCT(--ISNUMBER(FIND(MID($B559,{5,6,7,8,9,10,11},1),"0123456789")))=7),1,0))</f>
        <v/>
      </c>
      <c r="G559">
        <f>IF($F559=1,INDEX({10,12,13,14,15,16,17,18,19,20,21,23,24,25,26,27,28,29,30,31,32,34,35,36,37,38},1,FIND(MID($B559,1,1),"ABCDEFGHIJKLMNOPQRSTUVWXYZ")),"")</f>
        <v/>
      </c>
      <c r="H559">
        <f>IF($F559=1,INDEX({10,12,13,14,15,16,17,18,19,20,21,23,24,25,26,27,28,29,30,31,32,34,35,36,37,38},1,FIND(MID($B559,2,1),"ABCDEFGHIJKLMNOPQRSTUVWXYZ")),"")</f>
        <v/>
      </c>
      <c r="I559">
        <f>IF($F559=1,INDEX({10,12,13,14,15,16,17,18,19,20,21,23,24,25,26,27,28,29,30,31,32,34,35,36,37,38},1,FIND(MID($B559,3,1),"ABCDEFGHIJKLMNOPQRSTUVWXYZ")),"")</f>
        <v/>
      </c>
      <c r="J559">
        <f>IF($F559=1,INDEX({10,12,13,14,15,16,17,18,19,20,21,23,24,25,26,27,28,29,30,31,32,34,35,36,37,38},1,FIND(MID($B559,4,1),"ABCDEFGHIJKLMNOPQRSTUVWXYZ")),"")</f>
        <v/>
      </c>
      <c r="K559">
        <f>IF($F559=1,FIND(MID($B559,5,1),"0123456789")-1,"")</f>
        <v/>
      </c>
      <c r="L559">
        <f>IF($F559=1,FIND(MID($B559,6,1),"0123456789")-1,"")</f>
        <v/>
      </c>
      <c r="M559">
        <f>IF($F559=1,FIND(MID($B559,7,1),"0123456789")-1,"")</f>
        <v/>
      </c>
      <c r="N559">
        <f>IF($F559=1,FIND(MID($B559,8,1),"0123456789")-1,"")</f>
        <v/>
      </c>
      <c r="O559">
        <f>IF($F559=1,FIND(MID($B559,9,1),"0123456789")-1,"")</f>
        <v/>
      </c>
      <c r="P559">
        <f>IF($F559=1,FIND(MID($B559,10,1),"0123456789")-1,"")</f>
        <v/>
      </c>
      <c r="Q559">
        <f>IF($F559=1,SUMPRODUCT($G559:$P559,{1,2,4,8,16,32,64,128,256,512}),"")</f>
        <v/>
      </c>
      <c r="R559">
        <f>IF($F559=1,MOD(MOD($Q559,11),10),"")</f>
        <v/>
      </c>
    </row>
    <row r="560">
      <c r="A560" s="6" t="n"/>
      <c r="B560" s="7">
        <f>IF($A560="","",UPPER(SUBSTITUTE(SUBSTITUTE(SUBSTITUTE(SUBSTITUTE(SUBSTITUTE(SUBSTITUTE($A560," ",""),"-",""),".",""),"/",""),"i","I"),"ı","?")))</f>
        <v/>
      </c>
      <c r="C560" s="8">
        <f>IF($F560=1,$R560,"")</f>
        <v/>
      </c>
      <c r="D560" s="7">
        <f>IF($A560="","",IF($F560=0,"Biçim hatalı",IF(FIND(MID($B560,11,1),"0123456789")-1=$R560,"Geçerli","Kontrol hanesi hatalı (doğrusu: "&amp;$R560&amp;")")))</f>
        <v/>
      </c>
      <c r="F560">
        <f>IF($A560="","",IF(AND(LEN($B560)=11,SUMPRODUCT(--ISNUMBER(FIND(MID($B560,{1,2,3},1),"ABCDEFGHIJKLMNOPQRSTUVWXYZ")))=3,ISNUMBER(FIND(MID($B560,4,1),"UJZ")),SUMPRODUCT(--ISNUMBER(FIND(MID($B560,{5,6,7,8,9,10,11},1),"0123456789")))=7),1,0))</f>
        <v/>
      </c>
      <c r="G560">
        <f>IF($F560=1,INDEX({10,12,13,14,15,16,17,18,19,20,21,23,24,25,26,27,28,29,30,31,32,34,35,36,37,38},1,FIND(MID($B560,1,1),"ABCDEFGHIJKLMNOPQRSTUVWXYZ")),"")</f>
        <v/>
      </c>
      <c r="H560">
        <f>IF($F560=1,INDEX({10,12,13,14,15,16,17,18,19,20,21,23,24,25,26,27,28,29,30,31,32,34,35,36,37,38},1,FIND(MID($B560,2,1),"ABCDEFGHIJKLMNOPQRSTUVWXYZ")),"")</f>
        <v/>
      </c>
      <c r="I560">
        <f>IF($F560=1,INDEX({10,12,13,14,15,16,17,18,19,20,21,23,24,25,26,27,28,29,30,31,32,34,35,36,37,38},1,FIND(MID($B560,3,1),"ABCDEFGHIJKLMNOPQRSTUVWXYZ")),"")</f>
        <v/>
      </c>
      <c r="J560">
        <f>IF($F560=1,INDEX({10,12,13,14,15,16,17,18,19,20,21,23,24,25,26,27,28,29,30,31,32,34,35,36,37,38},1,FIND(MID($B560,4,1),"ABCDEFGHIJKLMNOPQRSTUVWXYZ")),"")</f>
        <v/>
      </c>
      <c r="K560">
        <f>IF($F560=1,FIND(MID($B560,5,1),"0123456789")-1,"")</f>
        <v/>
      </c>
      <c r="L560">
        <f>IF($F560=1,FIND(MID($B560,6,1),"0123456789")-1,"")</f>
        <v/>
      </c>
      <c r="M560">
        <f>IF($F560=1,FIND(MID($B560,7,1),"0123456789")-1,"")</f>
        <v/>
      </c>
      <c r="N560">
        <f>IF($F560=1,FIND(MID($B560,8,1),"0123456789")-1,"")</f>
        <v/>
      </c>
      <c r="O560">
        <f>IF($F560=1,FIND(MID($B560,9,1),"0123456789")-1,"")</f>
        <v/>
      </c>
      <c r="P560">
        <f>IF($F560=1,FIND(MID($B560,10,1),"0123456789")-1,"")</f>
        <v/>
      </c>
      <c r="Q560">
        <f>IF($F560=1,SUMPRODUCT($G560:$P560,{1,2,4,8,16,32,64,128,256,512}),"")</f>
        <v/>
      </c>
      <c r="R560">
        <f>IF($F560=1,MOD(MOD($Q560,11),10),"")</f>
        <v/>
      </c>
    </row>
    <row r="561">
      <c r="A561" s="6" t="n"/>
      <c r="B561" s="7">
        <f>IF($A561="","",UPPER(SUBSTITUTE(SUBSTITUTE(SUBSTITUTE(SUBSTITUTE(SUBSTITUTE(SUBSTITUTE($A561," ",""),"-",""),".",""),"/",""),"i","I"),"ı","?")))</f>
        <v/>
      </c>
      <c r="C561" s="8">
        <f>IF($F561=1,$R561,"")</f>
        <v/>
      </c>
      <c r="D561" s="7">
        <f>IF($A561="","",IF($F561=0,"Biçim hatalı",IF(FIND(MID($B561,11,1),"0123456789")-1=$R561,"Geçerli","Kontrol hanesi hatalı (doğrusu: "&amp;$R561&amp;")")))</f>
        <v/>
      </c>
      <c r="F561">
        <f>IF($A561="","",IF(AND(LEN($B561)=11,SUMPRODUCT(--ISNUMBER(FIND(MID($B561,{1,2,3},1),"ABCDEFGHIJKLMNOPQRSTUVWXYZ")))=3,ISNUMBER(FIND(MID($B561,4,1),"UJZ")),SUMPRODUCT(--ISNUMBER(FIND(MID($B561,{5,6,7,8,9,10,11},1),"0123456789")))=7),1,0))</f>
        <v/>
      </c>
      <c r="G561">
        <f>IF($F561=1,INDEX({10,12,13,14,15,16,17,18,19,20,21,23,24,25,26,27,28,29,30,31,32,34,35,36,37,38},1,FIND(MID($B561,1,1),"ABCDEFGHIJKLMNOPQRSTUVWXYZ")),"")</f>
        <v/>
      </c>
      <c r="H561">
        <f>IF($F561=1,INDEX({10,12,13,14,15,16,17,18,19,20,21,23,24,25,26,27,28,29,30,31,32,34,35,36,37,38},1,FIND(MID($B561,2,1),"ABCDEFGHIJKLMNOPQRSTUVWXYZ")),"")</f>
        <v/>
      </c>
      <c r="I561">
        <f>IF($F561=1,INDEX({10,12,13,14,15,16,17,18,19,20,21,23,24,25,26,27,28,29,30,31,32,34,35,36,37,38},1,FIND(MID($B561,3,1),"ABCDEFGHIJKLMNOPQRSTUVWXYZ")),"")</f>
        <v/>
      </c>
      <c r="J561">
        <f>IF($F561=1,INDEX({10,12,13,14,15,16,17,18,19,20,21,23,24,25,26,27,28,29,30,31,32,34,35,36,37,38},1,FIND(MID($B561,4,1),"ABCDEFGHIJKLMNOPQRSTUVWXYZ")),"")</f>
        <v/>
      </c>
      <c r="K561">
        <f>IF($F561=1,FIND(MID($B561,5,1),"0123456789")-1,"")</f>
        <v/>
      </c>
      <c r="L561">
        <f>IF($F561=1,FIND(MID($B561,6,1),"0123456789")-1,"")</f>
        <v/>
      </c>
      <c r="M561">
        <f>IF($F561=1,FIND(MID($B561,7,1),"0123456789")-1,"")</f>
        <v/>
      </c>
      <c r="N561">
        <f>IF($F561=1,FIND(MID($B561,8,1),"0123456789")-1,"")</f>
        <v/>
      </c>
      <c r="O561">
        <f>IF($F561=1,FIND(MID($B561,9,1),"0123456789")-1,"")</f>
        <v/>
      </c>
      <c r="P561">
        <f>IF($F561=1,FIND(MID($B561,10,1),"0123456789")-1,"")</f>
        <v/>
      </c>
      <c r="Q561">
        <f>IF($F561=1,SUMPRODUCT($G561:$P561,{1,2,4,8,16,32,64,128,256,512}),"")</f>
        <v/>
      </c>
      <c r="R561">
        <f>IF($F561=1,MOD(MOD($Q561,11),10),"")</f>
        <v/>
      </c>
    </row>
    <row r="562">
      <c r="A562" s="6" t="n"/>
      <c r="B562" s="7">
        <f>IF($A562="","",UPPER(SUBSTITUTE(SUBSTITUTE(SUBSTITUTE(SUBSTITUTE(SUBSTITUTE(SUBSTITUTE($A562," ",""),"-",""),".",""),"/",""),"i","I"),"ı","?")))</f>
        <v/>
      </c>
      <c r="C562" s="8">
        <f>IF($F562=1,$R562,"")</f>
        <v/>
      </c>
      <c r="D562" s="7">
        <f>IF($A562="","",IF($F562=0,"Biçim hatalı",IF(FIND(MID($B562,11,1),"0123456789")-1=$R562,"Geçerli","Kontrol hanesi hatalı (doğrusu: "&amp;$R562&amp;")")))</f>
        <v/>
      </c>
      <c r="F562">
        <f>IF($A562="","",IF(AND(LEN($B562)=11,SUMPRODUCT(--ISNUMBER(FIND(MID($B562,{1,2,3},1),"ABCDEFGHIJKLMNOPQRSTUVWXYZ")))=3,ISNUMBER(FIND(MID($B562,4,1),"UJZ")),SUMPRODUCT(--ISNUMBER(FIND(MID($B562,{5,6,7,8,9,10,11},1),"0123456789")))=7),1,0))</f>
        <v/>
      </c>
      <c r="G562">
        <f>IF($F562=1,INDEX({10,12,13,14,15,16,17,18,19,20,21,23,24,25,26,27,28,29,30,31,32,34,35,36,37,38},1,FIND(MID($B562,1,1),"ABCDEFGHIJKLMNOPQRSTUVWXYZ")),"")</f>
        <v/>
      </c>
      <c r="H562">
        <f>IF($F562=1,INDEX({10,12,13,14,15,16,17,18,19,20,21,23,24,25,26,27,28,29,30,31,32,34,35,36,37,38},1,FIND(MID($B562,2,1),"ABCDEFGHIJKLMNOPQRSTUVWXYZ")),"")</f>
        <v/>
      </c>
      <c r="I562">
        <f>IF($F562=1,INDEX({10,12,13,14,15,16,17,18,19,20,21,23,24,25,26,27,28,29,30,31,32,34,35,36,37,38},1,FIND(MID($B562,3,1),"ABCDEFGHIJKLMNOPQRSTUVWXYZ")),"")</f>
        <v/>
      </c>
      <c r="J562">
        <f>IF($F562=1,INDEX({10,12,13,14,15,16,17,18,19,20,21,23,24,25,26,27,28,29,30,31,32,34,35,36,37,38},1,FIND(MID($B562,4,1),"ABCDEFGHIJKLMNOPQRSTUVWXYZ")),"")</f>
        <v/>
      </c>
      <c r="K562">
        <f>IF($F562=1,FIND(MID($B562,5,1),"0123456789")-1,"")</f>
        <v/>
      </c>
      <c r="L562">
        <f>IF($F562=1,FIND(MID($B562,6,1),"0123456789")-1,"")</f>
        <v/>
      </c>
      <c r="M562">
        <f>IF($F562=1,FIND(MID($B562,7,1),"0123456789")-1,"")</f>
        <v/>
      </c>
      <c r="N562">
        <f>IF($F562=1,FIND(MID($B562,8,1),"0123456789")-1,"")</f>
        <v/>
      </c>
      <c r="O562">
        <f>IF($F562=1,FIND(MID($B562,9,1),"0123456789")-1,"")</f>
        <v/>
      </c>
      <c r="P562">
        <f>IF($F562=1,FIND(MID($B562,10,1),"0123456789")-1,"")</f>
        <v/>
      </c>
      <c r="Q562">
        <f>IF($F562=1,SUMPRODUCT($G562:$P562,{1,2,4,8,16,32,64,128,256,512}),"")</f>
        <v/>
      </c>
      <c r="R562">
        <f>IF($F562=1,MOD(MOD($Q562,11),10),"")</f>
        <v/>
      </c>
    </row>
    <row r="563">
      <c r="A563" s="6" t="n"/>
      <c r="B563" s="7">
        <f>IF($A563="","",UPPER(SUBSTITUTE(SUBSTITUTE(SUBSTITUTE(SUBSTITUTE(SUBSTITUTE(SUBSTITUTE($A563," ",""),"-",""),".",""),"/",""),"i","I"),"ı","?")))</f>
        <v/>
      </c>
      <c r="C563" s="8">
        <f>IF($F563=1,$R563,"")</f>
        <v/>
      </c>
      <c r="D563" s="7">
        <f>IF($A563="","",IF($F563=0,"Biçim hatalı",IF(FIND(MID($B563,11,1),"0123456789")-1=$R563,"Geçerli","Kontrol hanesi hatalı (doğrusu: "&amp;$R563&amp;")")))</f>
        <v/>
      </c>
      <c r="F563">
        <f>IF($A563="","",IF(AND(LEN($B563)=11,SUMPRODUCT(--ISNUMBER(FIND(MID($B563,{1,2,3},1),"ABCDEFGHIJKLMNOPQRSTUVWXYZ")))=3,ISNUMBER(FIND(MID($B563,4,1),"UJZ")),SUMPRODUCT(--ISNUMBER(FIND(MID($B563,{5,6,7,8,9,10,11},1),"0123456789")))=7),1,0))</f>
        <v/>
      </c>
      <c r="G563">
        <f>IF($F563=1,INDEX({10,12,13,14,15,16,17,18,19,20,21,23,24,25,26,27,28,29,30,31,32,34,35,36,37,38},1,FIND(MID($B563,1,1),"ABCDEFGHIJKLMNOPQRSTUVWXYZ")),"")</f>
        <v/>
      </c>
      <c r="H563">
        <f>IF($F563=1,INDEX({10,12,13,14,15,16,17,18,19,20,21,23,24,25,26,27,28,29,30,31,32,34,35,36,37,38},1,FIND(MID($B563,2,1),"ABCDEFGHIJKLMNOPQRSTUVWXYZ")),"")</f>
        <v/>
      </c>
      <c r="I563">
        <f>IF($F563=1,INDEX({10,12,13,14,15,16,17,18,19,20,21,23,24,25,26,27,28,29,30,31,32,34,35,36,37,38},1,FIND(MID($B563,3,1),"ABCDEFGHIJKLMNOPQRSTUVWXYZ")),"")</f>
        <v/>
      </c>
      <c r="J563">
        <f>IF($F563=1,INDEX({10,12,13,14,15,16,17,18,19,20,21,23,24,25,26,27,28,29,30,31,32,34,35,36,37,38},1,FIND(MID($B563,4,1),"ABCDEFGHIJKLMNOPQRSTUVWXYZ")),"")</f>
        <v/>
      </c>
      <c r="K563">
        <f>IF($F563=1,FIND(MID($B563,5,1),"0123456789")-1,"")</f>
        <v/>
      </c>
      <c r="L563">
        <f>IF($F563=1,FIND(MID($B563,6,1),"0123456789")-1,"")</f>
        <v/>
      </c>
      <c r="M563">
        <f>IF($F563=1,FIND(MID($B563,7,1),"0123456789")-1,"")</f>
        <v/>
      </c>
      <c r="N563">
        <f>IF($F563=1,FIND(MID($B563,8,1),"0123456789")-1,"")</f>
        <v/>
      </c>
      <c r="O563">
        <f>IF($F563=1,FIND(MID($B563,9,1),"0123456789")-1,"")</f>
        <v/>
      </c>
      <c r="P563">
        <f>IF($F563=1,FIND(MID($B563,10,1),"0123456789")-1,"")</f>
        <v/>
      </c>
      <c r="Q563">
        <f>IF($F563=1,SUMPRODUCT($G563:$P563,{1,2,4,8,16,32,64,128,256,512}),"")</f>
        <v/>
      </c>
      <c r="R563">
        <f>IF($F563=1,MOD(MOD($Q563,11),10),"")</f>
        <v/>
      </c>
    </row>
    <row r="564">
      <c r="A564" s="6" t="n"/>
      <c r="B564" s="7">
        <f>IF($A564="","",UPPER(SUBSTITUTE(SUBSTITUTE(SUBSTITUTE(SUBSTITUTE(SUBSTITUTE(SUBSTITUTE($A564," ",""),"-",""),".",""),"/",""),"i","I"),"ı","?")))</f>
        <v/>
      </c>
      <c r="C564" s="8">
        <f>IF($F564=1,$R564,"")</f>
        <v/>
      </c>
      <c r="D564" s="7">
        <f>IF($A564="","",IF($F564=0,"Biçim hatalı",IF(FIND(MID($B564,11,1),"0123456789")-1=$R564,"Geçerli","Kontrol hanesi hatalı (doğrusu: "&amp;$R564&amp;")")))</f>
        <v/>
      </c>
      <c r="F564">
        <f>IF($A564="","",IF(AND(LEN($B564)=11,SUMPRODUCT(--ISNUMBER(FIND(MID($B564,{1,2,3},1),"ABCDEFGHIJKLMNOPQRSTUVWXYZ")))=3,ISNUMBER(FIND(MID($B564,4,1),"UJZ")),SUMPRODUCT(--ISNUMBER(FIND(MID($B564,{5,6,7,8,9,10,11},1),"0123456789")))=7),1,0))</f>
        <v/>
      </c>
      <c r="G564">
        <f>IF($F564=1,INDEX({10,12,13,14,15,16,17,18,19,20,21,23,24,25,26,27,28,29,30,31,32,34,35,36,37,38},1,FIND(MID($B564,1,1),"ABCDEFGHIJKLMNOPQRSTUVWXYZ")),"")</f>
        <v/>
      </c>
      <c r="H564">
        <f>IF($F564=1,INDEX({10,12,13,14,15,16,17,18,19,20,21,23,24,25,26,27,28,29,30,31,32,34,35,36,37,38},1,FIND(MID($B564,2,1),"ABCDEFGHIJKLMNOPQRSTUVWXYZ")),"")</f>
        <v/>
      </c>
      <c r="I564">
        <f>IF($F564=1,INDEX({10,12,13,14,15,16,17,18,19,20,21,23,24,25,26,27,28,29,30,31,32,34,35,36,37,38},1,FIND(MID($B564,3,1),"ABCDEFGHIJKLMNOPQRSTUVWXYZ")),"")</f>
        <v/>
      </c>
      <c r="J564">
        <f>IF($F564=1,INDEX({10,12,13,14,15,16,17,18,19,20,21,23,24,25,26,27,28,29,30,31,32,34,35,36,37,38},1,FIND(MID($B564,4,1),"ABCDEFGHIJKLMNOPQRSTUVWXYZ")),"")</f>
        <v/>
      </c>
      <c r="K564">
        <f>IF($F564=1,FIND(MID($B564,5,1),"0123456789")-1,"")</f>
        <v/>
      </c>
      <c r="L564">
        <f>IF($F564=1,FIND(MID($B564,6,1),"0123456789")-1,"")</f>
        <v/>
      </c>
      <c r="M564">
        <f>IF($F564=1,FIND(MID($B564,7,1),"0123456789")-1,"")</f>
        <v/>
      </c>
      <c r="N564">
        <f>IF($F564=1,FIND(MID($B564,8,1),"0123456789")-1,"")</f>
        <v/>
      </c>
      <c r="O564">
        <f>IF($F564=1,FIND(MID($B564,9,1),"0123456789")-1,"")</f>
        <v/>
      </c>
      <c r="P564">
        <f>IF($F564=1,FIND(MID($B564,10,1),"0123456789")-1,"")</f>
        <v/>
      </c>
      <c r="Q564">
        <f>IF($F564=1,SUMPRODUCT($G564:$P564,{1,2,4,8,16,32,64,128,256,512}),"")</f>
        <v/>
      </c>
      <c r="R564">
        <f>IF($F564=1,MOD(MOD($Q564,11),10),"")</f>
        <v/>
      </c>
    </row>
    <row r="565">
      <c r="A565" s="6" t="n"/>
      <c r="B565" s="7">
        <f>IF($A565="","",UPPER(SUBSTITUTE(SUBSTITUTE(SUBSTITUTE(SUBSTITUTE(SUBSTITUTE(SUBSTITUTE($A565," ",""),"-",""),".",""),"/",""),"i","I"),"ı","?")))</f>
        <v/>
      </c>
      <c r="C565" s="8">
        <f>IF($F565=1,$R565,"")</f>
        <v/>
      </c>
      <c r="D565" s="7">
        <f>IF($A565="","",IF($F565=0,"Biçim hatalı",IF(FIND(MID($B565,11,1),"0123456789")-1=$R565,"Geçerli","Kontrol hanesi hatalı (doğrusu: "&amp;$R565&amp;")")))</f>
        <v/>
      </c>
      <c r="F565">
        <f>IF($A565="","",IF(AND(LEN($B565)=11,SUMPRODUCT(--ISNUMBER(FIND(MID($B565,{1,2,3},1),"ABCDEFGHIJKLMNOPQRSTUVWXYZ")))=3,ISNUMBER(FIND(MID($B565,4,1),"UJZ")),SUMPRODUCT(--ISNUMBER(FIND(MID($B565,{5,6,7,8,9,10,11},1),"0123456789")))=7),1,0))</f>
        <v/>
      </c>
      <c r="G565">
        <f>IF($F565=1,INDEX({10,12,13,14,15,16,17,18,19,20,21,23,24,25,26,27,28,29,30,31,32,34,35,36,37,38},1,FIND(MID($B565,1,1),"ABCDEFGHIJKLMNOPQRSTUVWXYZ")),"")</f>
        <v/>
      </c>
      <c r="H565">
        <f>IF($F565=1,INDEX({10,12,13,14,15,16,17,18,19,20,21,23,24,25,26,27,28,29,30,31,32,34,35,36,37,38},1,FIND(MID($B565,2,1),"ABCDEFGHIJKLMNOPQRSTUVWXYZ")),"")</f>
        <v/>
      </c>
      <c r="I565">
        <f>IF($F565=1,INDEX({10,12,13,14,15,16,17,18,19,20,21,23,24,25,26,27,28,29,30,31,32,34,35,36,37,38},1,FIND(MID($B565,3,1),"ABCDEFGHIJKLMNOPQRSTUVWXYZ")),"")</f>
        <v/>
      </c>
      <c r="J565">
        <f>IF($F565=1,INDEX({10,12,13,14,15,16,17,18,19,20,21,23,24,25,26,27,28,29,30,31,32,34,35,36,37,38},1,FIND(MID($B565,4,1),"ABCDEFGHIJKLMNOPQRSTUVWXYZ")),"")</f>
        <v/>
      </c>
      <c r="K565">
        <f>IF($F565=1,FIND(MID($B565,5,1),"0123456789")-1,"")</f>
        <v/>
      </c>
      <c r="L565">
        <f>IF($F565=1,FIND(MID($B565,6,1),"0123456789")-1,"")</f>
        <v/>
      </c>
      <c r="M565">
        <f>IF($F565=1,FIND(MID($B565,7,1),"0123456789")-1,"")</f>
        <v/>
      </c>
      <c r="N565">
        <f>IF($F565=1,FIND(MID($B565,8,1),"0123456789")-1,"")</f>
        <v/>
      </c>
      <c r="O565">
        <f>IF($F565=1,FIND(MID($B565,9,1),"0123456789")-1,"")</f>
        <v/>
      </c>
      <c r="P565">
        <f>IF($F565=1,FIND(MID($B565,10,1),"0123456789")-1,"")</f>
        <v/>
      </c>
      <c r="Q565">
        <f>IF($F565=1,SUMPRODUCT($G565:$P565,{1,2,4,8,16,32,64,128,256,512}),"")</f>
        <v/>
      </c>
      <c r="R565">
        <f>IF($F565=1,MOD(MOD($Q565,11),10),"")</f>
        <v/>
      </c>
    </row>
    <row r="566">
      <c r="A566" s="6" t="n"/>
      <c r="B566" s="7">
        <f>IF($A566="","",UPPER(SUBSTITUTE(SUBSTITUTE(SUBSTITUTE(SUBSTITUTE(SUBSTITUTE(SUBSTITUTE($A566," ",""),"-",""),".",""),"/",""),"i","I"),"ı","?")))</f>
        <v/>
      </c>
      <c r="C566" s="8">
        <f>IF($F566=1,$R566,"")</f>
        <v/>
      </c>
      <c r="D566" s="7">
        <f>IF($A566="","",IF($F566=0,"Biçim hatalı",IF(FIND(MID($B566,11,1),"0123456789")-1=$R566,"Geçerli","Kontrol hanesi hatalı (doğrusu: "&amp;$R566&amp;")")))</f>
        <v/>
      </c>
      <c r="F566">
        <f>IF($A566="","",IF(AND(LEN($B566)=11,SUMPRODUCT(--ISNUMBER(FIND(MID($B566,{1,2,3},1),"ABCDEFGHIJKLMNOPQRSTUVWXYZ")))=3,ISNUMBER(FIND(MID($B566,4,1),"UJZ")),SUMPRODUCT(--ISNUMBER(FIND(MID($B566,{5,6,7,8,9,10,11},1),"0123456789")))=7),1,0))</f>
        <v/>
      </c>
      <c r="G566">
        <f>IF($F566=1,INDEX({10,12,13,14,15,16,17,18,19,20,21,23,24,25,26,27,28,29,30,31,32,34,35,36,37,38},1,FIND(MID($B566,1,1),"ABCDEFGHIJKLMNOPQRSTUVWXYZ")),"")</f>
        <v/>
      </c>
      <c r="H566">
        <f>IF($F566=1,INDEX({10,12,13,14,15,16,17,18,19,20,21,23,24,25,26,27,28,29,30,31,32,34,35,36,37,38},1,FIND(MID($B566,2,1),"ABCDEFGHIJKLMNOPQRSTUVWXYZ")),"")</f>
        <v/>
      </c>
      <c r="I566">
        <f>IF($F566=1,INDEX({10,12,13,14,15,16,17,18,19,20,21,23,24,25,26,27,28,29,30,31,32,34,35,36,37,38},1,FIND(MID($B566,3,1),"ABCDEFGHIJKLMNOPQRSTUVWXYZ")),"")</f>
        <v/>
      </c>
      <c r="J566">
        <f>IF($F566=1,INDEX({10,12,13,14,15,16,17,18,19,20,21,23,24,25,26,27,28,29,30,31,32,34,35,36,37,38},1,FIND(MID($B566,4,1),"ABCDEFGHIJKLMNOPQRSTUVWXYZ")),"")</f>
        <v/>
      </c>
      <c r="K566">
        <f>IF($F566=1,FIND(MID($B566,5,1),"0123456789")-1,"")</f>
        <v/>
      </c>
      <c r="L566">
        <f>IF($F566=1,FIND(MID($B566,6,1),"0123456789")-1,"")</f>
        <v/>
      </c>
      <c r="M566">
        <f>IF($F566=1,FIND(MID($B566,7,1),"0123456789")-1,"")</f>
        <v/>
      </c>
      <c r="N566">
        <f>IF($F566=1,FIND(MID($B566,8,1),"0123456789")-1,"")</f>
        <v/>
      </c>
      <c r="O566">
        <f>IF($F566=1,FIND(MID($B566,9,1),"0123456789")-1,"")</f>
        <v/>
      </c>
      <c r="P566">
        <f>IF($F566=1,FIND(MID($B566,10,1),"0123456789")-1,"")</f>
        <v/>
      </c>
      <c r="Q566">
        <f>IF($F566=1,SUMPRODUCT($G566:$P566,{1,2,4,8,16,32,64,128,256,512}),"")</f>
        <v/>
      </c>
      <c r="R566">
        <f>IF($F566=1,MOD(MOD($Q566,11),10),"")</f>
        <v/>
      </c>
    </row>
    <row r="567">
      <c r="A567" s="6" t="n"/>
      <c r="B567" s="7">
        <f>IF($A567="","",UPPER(SUBSTITUTE(SUBSTITUTE(SUBSTITUTE(SUBSTITUTE(SUBSTITUTE(SUBSTITUTE($A567," ",""),"-",""),".",""),"/",""),"i","I"),"ı","?")))</f>
        <v/>
      </c>
      <c r="C567" s="8">
        <f>IF($F567=1,$R567,"")</f>
        <v/>
      </c>
      <c r="D567" s="7">
        <f>IF($A567="","",IF($F567=0,"Biçim hatalı",IF(FIND(MID($B567,11,1),"0123456789")-1=$R567,"Geçerli","Kontrol hanesi hatalı (doğrusu: "&amp;$R567&amp;")")))</f>
        <v/>
      </c>
      <c r="F567">
        <f>IF($A567="","",IF(AND(LEN($B567)=11,SUMPRODUCT(--ISNUMBER(FIND(MID($B567,{1,2,3},1),"ABCDEFGHIJKLMNOPQRSTUVWXYZ")))=3,ISNUMBER(FIND(MID($B567,4,1),"UJZ")),SUMPRODUCT(--ISNUMBER(FIND(MID($B567,{5,6,7,8,9,10,11},1),"0123456789")))=7),1,0))</f>
        <v/>
      </c>
      <c r="G567">
        <f>IF($F567=1,INDEX({10,12,13,14,15,16,17,18,19,20,21,23,24,25,26,27,28,29,30,31,32,34,35,36,37,38},1,FIND(MID($B567,1,1),"ABCDEFGHIJKLMNOPQRSTUVWXYZ")),"")</f>
        <v/>
      </c>
      <c r="H567">
        <f>IF($F567=1,INDEX({10,12,13,14,15,16,17,18,19,20,21,23,24,25,26,27,28,29,30,31,32,34,35,36,37,38},1,FIND(MID($B567,2,1),"ABCDEFGHIJKLMNOPQRSTUVWXYZ")),"")</f>
        <v/>
      </c>
      <c r="I567">
        <f>IF($F567=1,INDEX({10,12,13,14,15,16,17,18,19,20,21,23,24,25,26,27,28,29,30,31,32,34,35,36,37,38},1,FIND(MID($B567,3,1),"ABCDEFGHIJKLMNOPQRSTUVWXYZ")),"")</f>
        <v/>
      </c>
      <c r="J567">
        <f>IF($F567=1,INDEX({10,12,13,14,15,16,17,18,19,20,21,23,24,25,26,27,28,29,30,31,32,34,35,36,37,38},1,FIND(MID($B567,4,1),"ABCDEFGHIJKLMNOPQRSTUVWXYZ")),"")</f>
        <v/>
      </c>
      <c r="K567">
        <f>IF($F567=1,FIND(MID($B567,5,1),"0123456789")-1,"")</f>
        <v/>
      </c>
      <c r="L567">
        <f>IF($F567=1,FIND(MID($B567,6,1),"0123456789")-1,"")</f>
        <v/>
      </c>
      <c r="M567">
        <f>IF($F567=1,FIND(MID($B567,7,1),"0123456789")-1,"")</f>
        <v/>
      </c>
      <c r="N567">
        <f>IF($F567=1,FIND(MID($B567,8,1),"0123456789")-1,"")</f>
        <v/>
      </c>
      <c r="O567">
        <f>IF($F567=1,FIND(MID($B567,9,1),"0123456789")-1,"")</f>
        <v/>
      </c>
      <c r="P567">
        <f>IF($F567=1,FIND(MID($B567,10,1),"0123456789")-1,"")</f>
        <v/>
      </c>
      <c r="Q567">
        <f>IF($F567=1,SUMPRODUCT($G567:$P567,{1,2,4,8,16,32,64,128,256,512}),"")</f>
        <v/>
      </c>
      <c r="R567">
        <f>IF($F567=1,MOD(MOD($Q567,11),10),"")</f>
        <v/>
      </c>
    </row>
    <row r="568">
      <c r="A568" s="6" t="n"/>
      <c r="B568" s="7">
        <f>IF($A568="","",UPPER(SUBSTITUTE(SUBSTITUTE(SUBSTITUTE(SUBSTITUTE(SUBSTITUTE(SUBSTITUTE($A568," ",""),"-",""),".",""),"/",""),"i","I"),"ı","?")))</f>
        <v/>
      </c>
      <c r="C568" s="8">
        <f>IF($F568=1,$R568,"")</f>
        <v/>
      </c>
      <c r="D568" s="7">
        <f>IF($A568="","",IF($F568=0,"Biçim hatalı",IF(FIND(MID($B568,11,1),"0123456789")-1=$R568,"Geçerli","Kontrol hanesi hatalı (doğrusu: "&amp;$R568&amp;")")))</f>
        <v/>
      </c>
      <c r="F568">
        <f>IF($A568="","",IF(AND(LEN($B568)=11,SUMPRODUCT(--ISNUMBER(FIND(MID($B568,{1,2,3},1),"ABCDEFGHIJKLMNOPQRSTUVWXYZ")))=3,ISNUMBER(FIND(MID($B568,4,1),"UJZ")),SUMPRODUCT(--ISNUMBER(FIND(MID($B568,{5,6,7,8,9,10,11},1),"0123456789")))=7),1,0))</f>
        <v/>
      </c>
      <c r="G568">
        <f>IF($F568=1,INDEX({10,12,13,14,15,16,17,18,19,20,21,23,24,25,26,27,28,29,30,31,32,34,35,36,37,38},1,FIND(MID($B568,1,1),"ABCDEFGHIJKLMNOPQRSTUVWXYZ")),"")</f>
        <v/>
      </c>
      <c r="H568">
        <f>IF($F568=1,INDEX({10,12,13,14,15,16,17,18,19,20,21,23,24,25,26,27,28,29,30,31,32,34,35,36,37,38},1,FIND(MID($B568,2,1),"ABCDEFGHIJKLMNOPQRSTUVWXYZ")),"")</f>
        <v/>
      </c>
      <c r="I568">
        <f>IF($F568=1,INDEX({10,12,13,14,15,16,17,18,19,20,21,23,24,25,26,27,28,29,30,31,32,34,35,36,37,38},1,FIND(MID($B568,3,1),"ABCDEFGHIJKLMNOPQRSTUVWXYZ")),"")</f>
        <v/>
      </c>
      <c r="J568">
        <f>IF($F568=1,INDEX({10,12,13,14,15,16,17,18,19,20,21,23,24,25,26,27,28,29,30,31,32,34,35,36,37,38},1,FIND(MID($B568,4,1),"ABCDEFGHIJKLMNOPQRSTUVWXYZ")),"")</f>
        <v/>
      </c>
      <c r="K568">
        <f>IF($F568=1,FIND(MID($B568,5,1),"0123456789")-1,"")</f>
        <v/>
      </c>
      <c r="L568">
        <f>IF($F568=1,FIND(MID($B568,6,1),"0123456789")-1,"")</f>
        <v/>
      </c>
      <c r="M568">
        <f>IF($F568=1,FIND(MID($B568,7,1),"0123456789")-1,"")</f>
        <v/>
      </c>
      <c r="N568">
        <f>IF($F568=1,FIND(MID($B568,8,1),"0123456789")-1,"")</f>
        <v/>
      </c>
      <c r="O568">
        <f>IF($F568=1,FIND(MID($B568,9,1),"0123456789")-1,"")</f>
        <v/>
      </c>
      <c r="P568">
        <f>IF($F568=1,FIND(MID($B568,10,1),"0123456789")-1,"")</f>
        <v/>
      </c>
      <c r="Q568">
        <f>IF($F568=1,SUMPRODUCT($G568:$P568,{1,2,4,8,16,32,64,128,256,512}),"")</f>
        <v/>
      </c>
      <c r="R568">
        <f>IF($F568=1,MOD(MOD($Q568,11),10),"")</f>
        <v/>
      </c>
    </row>
    <row r="569">
      <c r="A569" s="6" t="n"/>
      <c r="B569" s="7">
        <f>IF($A569="","",UPPER(SUBSTITUTE(SUBSTITUTE(SUBSTITUTE(SUBSTITUTE(SUBSTITUTE(SUBSTITUTE($A569," ",""),"-",""),".",""),"/",""),"i","I"),"ı","?")))</f>
        <v/>
      </c>
      <c r="C569" s="8">
        <f>IF($F569=1,$R569,"")</f>
        <v/>
      </c>
      <c r="D569" s="7">
        <f>IF($A569="","",IF($F569=0,"Biçim hatalı",IF(FIND(MID($B569,11,1),"0123456789")-1=$R569,"Geçerli","Kontrol hanesi hatalı (doğrusu: "&amp;$R569&amp;")")))</f>
        <v/>
      </c>
      <c r="F569">
        <f>IF($A569="","",IF(AND(LEN($B569)=11,SUMPRODUCT(--ISNUMBER(FIND(MID($B569,{1,2,3},1),"ABCDEFGHIJKLMNOPQRSTUVWXYZ")))=3,ISNUMBER(FIND(MID($B569,4,1),"UJZ")),SUMPRODUCT(--ISNUMBER(FIND(MID($B569,{5,6,7,8,9,10,11},1),"0123456789")))=7),1,0))</f>
        <v/>
      </c>
      <c r="G569">
        <f>IF($F569=1,INDEX({10,12,13,14,15,16,17,18,19,20,21,23,24,25,26,27,28,29,30,31,32,34,35,36,37,38},1,FIND(MID($B569,1,1),"ABCDEFGHIJKLMNOPQRSTUVWXYZ")),"")</f>
        <v/>
      </c>
      <c r="H569">
        <f>IF($F569=1,INDEX({10,12,13,14,15,16,17,18,19,20,21,23,24,25,26,27,28,29,30,31,32,34,35,36,37,38},1,FIND(MID($B569,2,1),"ABCDEFGHIJKLMNOPQRSTUVWXYZ")),"")</f>
        <v/>
      </c>
      <c r="I569">
        <f>IF($F569=1,INDEX({10,12,13,14,15,16,17,18,19,20,21,23,24,25,26,27,28,29,30,31,32,34,35,36,37,38},1,FIND(MID($B569,3,1),"ABCDEFGHIJKLMNOPQRSTUVWXYZ")),"")</f>
        <v/>
      </c>
      <c r="J569">
        <f>IF($F569=1,INDEX({10,12,13,14,15,16,17,18,19,20,21,23,24,25,26,27,28,29,30,31,32,34,35,36,37,38},1,FIND(MID($B569,4,1),"ABCDEFGHIJKLMNOPQRSTUVWXYZ")),"")</f>
        <v/>
      </c>
      <c r="K569">
        <f>IF($F569=1,FIND(MID($B569,5,1),"0123456789")-1,"")</f>
        <v/>
      </c>
      <c r="L569">
        <f>IF($F569=1,FIND(MID($B569,6,1),"0123456789")-1,"")</f>
        <v/>
      </c>
      <c r="M569">
        <f>IF($F569=1,FIND(MID($B569,7,1),"0123456789")-1,"")</f>
        <v/>
      </c>
      <c r="N569">
        <f>IF($F569=1,FIND(MID($B569,8,1),"0123456789")-1,"")</f>
        <v/>
      </c>
      <c r="O569">
        <f>IF($F569=1,FIND(MID($B569,9,1),"0123456789")-1,"")</f>
        <v/>
      </c>
      <c r="P569">
        <f>IF($F569=1,FIND(MID($B569,10,1),"0123456789")-1,"")</f>
        <v/>
      </c>
      <c r="Q569">
        <f>IF($F569=1,SUMPRODUCT($G569:$P569,{1,2,4,8,16,32,64,128,256,512}),"")</f>
        <v/>
      </c>
      <c r="R569">
        <f>IF($F569=1,MOD(MOD($Q569,11),10),"")</f>
        <v/>
      </c>
    </row>
    <row r="570">
      <c r="A570" s="6" t="n"/>
      <c r="B570" s="7">
        <f>IF($A570="","",UPPER(SUBSTITUTE(SUBSTITUTE(SUBSTITUTE(SUBSTITUTE(SUBSTITUTE(SUBSTITUTE($A570," ",""),"-",""),".",""),"/",""),"i","I"),"ı","?")))</f>
        <v/>
      </c>
      <c r="C570" s="8">
        <f>IF($F570=1,$R570,"")</f>
        <v/>
      </c>
      <c r="D570" s="7">
        <f>IF($A570="","",IF($F570=0,"Biçim hatalı",IF(FIND(MID($B570,11,1),"0123456789")-1=$R570,"Geçerli","Kontrol hanesi hatalı (doğrusu: "&amp;$R570&amp;")")))</f>
        <v/>
      </c>
      <c r="F570">
        <f>IF($A570="","",IF(AND(LEN($B570)=11,SUMPRODUCT(--ISNUMBER(FIND(MID($B570,{1,2,3},1),"ABCDEFGHIJKLMNOPQRSTUVWXYZ")))=3,ISNUMBER(FIND(MID($B570,4,1),"UJZ")),SUMPRODUCT(--ISNUMBER(FIND(MID($B570,{5,6,7,8,9,10,11},1),"0123456789")))=7),1,0))</f>
        <v/>
      </c>
      <c r="G570">
        <f>IF($F570=1,INDEX({10,12,13,14,15,16,17,18,19,20,21,23,24,25,26,27,28,29,30,31,32,34,35,36,37,38},1,FIND(MID($B570,1,1),"ABCDEFGHIJKLMNOPQRSTUVWXYZ")),"")</f>
        <v/>
      </c>
      <c r="H570">
        <f>IF($F570=1,INDEX({10,12,13,14,15,16,17,18,19,20,21,23,24,25,26,27,28,29,30,31,32,34,35,36,37,38},1,FIND(MID($B570,2,1),"ABCDEFGHIJKLMNOPQRSTUVWXYZ")),"")</f>
        <v/>
      </c>
      <c r="I570">
        <f>IF($F570=1,INDEX({10,12,13,14,15,16,17,18,19,20,21,23,24,25,26,27,28,29,30,31,32,34,35,36,37,38},1,FIND(MID($B570,3,1),"ABCDEFGHIJKLMNOPQRSTUVWXYZ")),"")</f>
        <v/>
      </c>
      <c r="J570">
        <f>IF($F570=1,INDEX({10,12,13,14,15,16,17,18,19,20,21,23,24,25,26,27,28,29,30,31,32,34,35,36,37,38},1,FIND(MID($B570,4,1),"ABCDEFGHIJKLMNOPQRSTUVWXYZ")),"")</f>
        <v/>
      </c>
      <c r="K570">
        <f>IF($F570=1,FIND(MID($B570,5,1),"0123456789")-1,"")</f>
        <v/>
      </c>
      <c r="L570">
        <f>IF($F570=1,FIND(MID($B570,6,1),"0123456789")-1,"")</f>
        <v/>
      </c>
      <c r="M570">
        <f>IF($F570=1,FIND(MID($B570,7,1),"0123456789")-1,"")</f>
        <v/>
      </c>
      <c r="N570">
        <f>IF($F570=1,FIND(MID($B570,8,1),"0123456789")-1,"")</f>
        <v/>
      </c>
      <c r="O570">
        <f>IF($F570=1,FIND(MID($B570,9,1),"0123456789")-1,"")</f>
        <v/>
      </c>
      <c r="P570">
        <f>IF($F570=1,FIND(MID($B570,10,1),"0123456789")-1,"")</f>
        <v/>
      </c>
      <c r="Q570">
        <f>IF($F570=1,SUMPRODUCT($G570:$P570,{1,2,4,8,16,32,64,128,256,512}),"")</f>
        <v/>
      </c>
      <c r="R570">
        <f>IF($F570=1,MOD(MOD($Q570,11),10),"")</f>
        <v/>
      </c>
    </row>
    <row r="571">
      <c r="A571" s="6" t="n"/>
      <c r="B571" s="7">
        <f>IF($A571="","",UPPER(SUBSTITUTE(SUBSTITUTE(SUBSTITUTE(SUBSTITUTE(SUBSTITUTE(SUBSTITUTE($A571," ",""),"-",""),".",""),"/",""),"i","I"),"ı","?")))</f>
        <v/>
      </c>
      <c r="C571" s="8">
        <f>IF($F571=1,$R571,"")</f>
        <v/>
      </c>
      <c r="D571" s="7">
        <f>IF($A571="","",IF($F571=0,"Biçim hatalı",IF(FIND(MID($B571,11,1),"0123456789")-1=$R571,"Geçerli","Kontrol hanesi hatalı (doğrusu: "&amp;$R571&amp;")")))</f>
        <v/>
      </c>
      <c r="F571">
        <f>IF($A571="","",IF(AND(LEN($B571)=11,SUMPRODUCT(--ISNUMBER(FIND(MID($B571,{1,2,3},1),"ABCDEFGHIJKLMNOPQRSTUVWXYZ")))=3,ISNUMBER(FIND(MID($B571,4,1),"UJZ")),SUMPRODUCT(--ISNUMBER(FIND(MID($B571,{5,6,7,8,9,10,11},1),"0123456789")))=7),1,0))</f>
        <v/>
      </c>
      <c r="G571">
        <f>IF($F571=1,INDEX({10,12,13,14,15,16,17,18,19,20,21,23,24,25,26,27,28,29,30,31,32,34,35,36,37,38},1,FIND(MID($B571,1,1),"ABCDEFGHIJKLMNOPQRSTUVWXYZ")),"")</f>
        <v/>
      </c>
      <c r="H571">
        <f>IF($F571=1,INDEX({10,12,13,14,15,16,17,18,19,20,21,23,24,25,26,27,28,29,30,31,32,34,35,36,37,38},1,FIND(MID($B571,2,1),"ABCDEFGHIJKLMNOPQRSTUVWXYZ")),"")</f>
        <v/>
      </c>
      <c r="I571">
        <f>IF($F571=1,INDEX({10,12,13,14,15,16,17,18,19,20,21,23,24,25,26,27,28,29,30,31,32,34,35,36,37,38},1,FIND(MID($B571,3,1),"ABCDEFGHIJKLMNOPQRSTUVWXYZ")),"")</f>
        <v/>
      </c>
      <c r="J571">
        <f>IF($F571=1,INDEX({10,12,13,14,15,16,17,18,19,20,21,23,24,25,26,27,28,29,30,31,32,34,35,36,37,38},1,FIND(MID($B571,4,1),"ABCDEFGHIJKLMNOPQRSTUVWXYZ")),"")</f>
        <v/>
      </c>
      <c r="K571">
        <f>IF($F571=1,FIND(MID($B571,5,1),"0123456789")-1,"")</f>
        <v/>
      </c>
      <c r="L571">
        <f>IF($F571=1,FIND(MID($B571,6,1),"0123456789")-1,"")</f>
        <v/>
      </c>
      <c r="M571">
        <f>IF($F571=1,FIND(MID($B571,7,1),"0123456789")-1,"")</f>
        <v/>
      </c>
      <c r="N571">
        <f>IF($F571=1,FIND(MID($B571,8,1),"0123456789")-1,"")</f>
        <v/>
      </c>
      <c r="O571">
        <f>IF($F571=1,FIND(MID($B571,9,1),"0123456789")-1,"")</f>
        <v/>
      </c>
      <c r="P571">
        <f>IF($F571=1,FIND(MID($B571,10,1),"0123456789")-1,"")</f>
        <v/>
      </c>
      <c r="Q571">
        <f>IF($F571=1,SUMPRODUCT($G571:$P571,{1,2,4,8,16,32,64,128,256,512}),"")</f>
        <v/>
      </c>
      <c r="R571">
        <f>IF($F571=1,MOD(MOD($Q571,11),10),"")</f>
        <v/>
      </c>
    </row>
    <row r="572">
      <c r="A572" s="6" t="n"/>
      <c r="B572" s="7">
        <f>IF($A572="","",UPPER(SUBSTITUTE(SUBSTITUTE(SUBSTITUTE(SUBSTITUTE(SUBSTITUTE(SUBSTITUTE($A572," ",""),"-",""),".",""),"/",""),"i","I"),"ı","?")))</f>
        <v/>
      </c>
      <c r="C572" s="8">
        <f>IF($F572=1,$R572,"")</f>
        <v/>
      </c>
      <c r="D572" s="7">
        <f>IF($A572="","",IF($F572=0,"Biçim hatalı",IF(FIND(MID($B572,11,1),"0123456789")-1=$R572,"Geçerli","Kontrol hanesi hatalı (doğrusu: "&amp;$R572&amp;")")))</f>
        <v/>
      </c>
      <c r="F572">
        <f>IF($A572="","",IF(AND(LEN($B572)=11,SUMPRODUCT(--ISNUMBER(FIND(MID($B572,{1,2,3},1),"ABCDEFGHIJKLMNOPQRSTUVWXYZ")))=3,ISNUMBER(FIND(MID($B572,4,1),"UJZ")),SUMPRODUCT(--ISNUMBER(FIND(MID($B572,{5,6,7,8,9,10,11},1),"0123456789")))=7),1,0))</f>
        <v/>
      </c>
      <c r="G572">
        <f>IF($F572=1,INDEX({10,12,13,14,15,16,17,18,19,20,21,23,24,25,26,27,28,29,30,31,32,34,35,36,37,38},1,FIND(MID($B572,1,1),"ABCDEFGHIJKLMNOPQRSTUVWXYZ")),"")</f>
        <v/>
      </c>
      <c r="H572">
        <f>IF($F572=1,INDEX({10,12,13,14,15,16,17,18,19,20,21,23,24,25,26,27,28,29,30,31,32,34,35,36,37,38},1,FIND(MID($B572,2,1),"ABCDEFGHIJKLMNOPQRSTUVWXYZ")),"")</f>
        <v/>
      </c>
      <c r="I572">
        <f>IF($F572=1,INDEX({10,12,13,14,15,16,17,18,19,20,21,23,24,25,26,27,28,29,30,31,32,34,35,36,37,38},1,FIND(MID($B572,3,1),"ABCDEFGHIJKLMNOPQRSTUVWXYZ")),"")</f>
        <v/>
      </c>
      <c r="J572">
        <f>IF($F572=1,INDEX({10,12,13,14,15,16,17,18,19,20,21,23,24,25,26,27,28,29,30,31,32,34,35,36,37,38},1,FIND(MID($B572,4,1),"ABCDEFGHIJKLMNOPQRSTUVWXYZ")),"")</f>
        <v/>
      </c>
      <c r="K572">
        <f>IF($F572=1,FIND(MID($B572,5,1),"0123456789")-1,"")</f>
        <v/>
      </c>
      <c r="L572">
        <f>IF($F572=1,FIND(MID($B572,6,1),"0123456789")-1,"")</f>
        <v/>
      </c>
      <c r="M572">
        <f>IF($F572=1,FIND(MID($B572,7,1),"0123456789")-1,"")</f>
        <v/>
      </c>
      <c r="N572">
        <f>IF($F572=1,FIND(MID($B572,8,1),"0123456789")-1,"")</f>
        <v/>
      </c>
      <c r="O572">
        <f>IF($F572=1,FIND(MID($B572,9,1),"0123456789")-1,"")</f>
        <v/>
      </c>
      <c r="P572">
        <f>IF($F572=1,FIND(MID($B572,10,1),"0123456789")-1,"")</f>
        <v/>
      </c>
      <c r="Q572">
        <f>IF($F572=1,SUMPRODUCT($G572:$P572,{1,2,4,8,16,32,64,128,256,512}),"")</f>
        <v/>
      </c>
      <c r="R572">
        <f>IF($F572=1,MOD(MOD($Q572,11),10),"")</f>
        <v/>
      </c>
    </row>
    <row r="573">
      <c r="A573" s="6" t="n"/>
      <c r="B573" s="7">
        <f>IF($A573="","",UPPER(SUBSTITUTE(SUBSTITUTE(SUBSTITUTE(SUBSTITUTE(SUBSTITUTE(SUBSTITUTE($A573," ",""),"-",""),".",""),"/",""),"i","I"),"ı","?")))</f>
        <v/>
      </c>
      <c r="C573" s="8">
        <f>IF($F573=1,$R573,"")</f>
        <v/>
      </c>
      <c r="D573" s="7">
        <f>IF($A573="","",IF($F573=0,"Biçim hatalı",IF(FIND(MID($B573,11,1),"0123456789")-1=$R573,"Geçerli","Kontrol hanesi hatalı (doğrusu: "&amp;$R573&amp;")")))</f>
        <v/>
      </c>
      <c r="F573">
        <f>IF($A573="","",IF(AND(LEN($B573)=11,SUMPRODUCT(--ISNUMBER(FIND(MID($B573,{1,2,3},1),"ABCDEFGHIJKLMNOPQRSTUVWXYZ")))=3,ISNUMBER(FIND(MID($B573,4,1),"UJZ")),SUMPRODUCT(--ISNUMBER(FIND(MID($B573,{5,6,7,8,9,10,11},1),"0123456789")))=7),1,0))</f>
        <v/>
      </c>
      <c r="G573">
        <f>IF($F573=1,INDEX({10,12,13,14,15,16,17,18,19,20,21,23,24,25,26,27,28,29,30,31,32,34,35,36,37,38},1,FIND(MID($B573,1,1),"ABCDEFGHIJKLMNOPQRSTUVWXYZ")),"")</f>
        <v/>
      </c>
      <c r="H573">
        <f>IF($F573=1,INDEX({10,12,13,14,15,16,17,18,19,20,21,23,24,25,26,27,28,29,30,31,32,34,35,36,37,38},1,FIND(MID($B573,2,1),"ABCDEFGHIJKLMNOPQRSTUVWXYZ")),"")</f>
        <v/>
      </c>
      <c r="I573">
        <f>IF($F573=1,INDEX({10,12,13,14,15,16,17,18,19,20,21,23,24,25,26,27,28,29,30,31,32,34,35,36,37,38},1,FIND(MID($B573,3,1),"ABCDEFGHIJKLMNOPQRSTUVWXYZ")),"")</f>
        <v/>
      </c>
      <c r="J573">
        <f>IF($F573=1,INDEX({10,12,13,14,15,16,17,18,19,20,21,23,24,25,26,27,28,29,30,31,32,34,35,36,37,38},1,FIND(MID($B573,4,1),"ABCDEFGHIJKLMNOPQRSTUVWXYZ")),"")</f>
        <v/>
      </c>
      <c r="K573">
        <f>IF($F573=1,FIND(MID($B573,5,1),"0123456789")-1,"")</f>
        <v/>
      </c>
      <c r="L573">
        <f>IF($F573=1,FIND(MID($B573,6,1),"0123456789")-1,"")</f>
        <v/>
      </c>
      <c r="M573">
        <f>IF($F573=1,FIND(MID($B573,7,1),"0123456789")-1,"")</f>
        <v/>
      </c>
      <c r="N573">
        <f>IF($F573=1,FIND(MID($B573,8,1),"0123456789")-1,"")</f>
        <v/>
      </c>
      <c r="O573">
        <f>IF($F573=1,FIND(MID($B573,9,1),"0123456789")-1,"")</f>
        <v/>
      </c>
      <c r="P573">
        <f>IF($F573=1,FIND(MID($B573,10,1),"0123456789")-1,"")</f>
        <v/>
      </c>
      <c r="Q573">
        <f>IF($F573=1,SUMPRODUCT($G573:$P573,{1,2,4,8,16,32,64,128,256,512}),"")</f>
        <v/>
      </c>
      <c r="R573">
        <f>IF($F573=1,MOD(MOD($Q573,11),10),"")</f>
        <v/>
      </c>
    </row>
    <row r="574">
      <c r="A574" s="6" t="n"/>
      <c r="B574" s="7">
        <f>IF($A574="","",UPPER(SUBSTITUTE(SUBSTITUTE(SUBSTITUTE(SUBSTITUTE(SUBSTITUTE(SUBSTITUTE($A574," ",""),"-",""),".",""),"/",""),"i","I"),"ı","?")))</f>
        <v/>
      </c>
      <c r="C574" s="8">
        <f>IF($F574=1,$R574,"")</f>
        <v/>
      </c>
      <c r="D574" s="7">
        <f>IF($A574="","",IF($F574=0,"Biçim hatalı",IF(FIND(MID($B574,11,1),"0123456789")-1=$R574,"Geçerli","Kontrol hanesi hatalı (doğrusu: "&amp;$R574&amp;")")))</f>
        <v/>
      </c>
      <c r="F574">
        <f>IF($A574="","",IF(AND(LEN($B574)=11,SUMPRODUCT(--ISNUMBER(FIND(MID($B574,{1,2,3},1),"ABCDEFGHIJKLMNOPQRSTUVWXYZ")))=3,ISNUMBER(FIND(MID($B574,4,1),"UJZ")),SUMPRODUCT(--ISNUMBER(FIND(MID($B574,{5,6,7,8,9,10,11},1),"0123456789")))=7),1,0))</f>
        <v/>
      </c>
      <c r="G574">
        <f>IF($F574=1,INDEX({10,12,13,14,15,16,17,18,19,20,21,23,24,25,26,27,28,29,30,31,32,34,35,36,37,38},1,FIND(MID($B574,1,1),"ABCDEFGHIJKLMNOPQRSTUVWXYZ")),"")</f>
        <v/>
      </c>
      <c r="H574">
        <f>IF($F574=1,INDEX({10,12,13,14,15,16,17,18,19,20,21,23,24,25,26,27,28,29,30,31,32,34,35,36,37,38},1,FIND(MID($B574,2,1),"ABCDEFGHIJKLMNOPQRSTUVWXYZ")),"")</f>
        <v/>
      </c>
      <c r="I574">
        <f>IF($F574=1,INDEX({10,12,13,14,15,16,17,18,19,20,21,23,24,25,26,27,28,29,30,31,32,34,35,36,37,38},1,FIND(MID($B574,3,1),"ABCDEFGHIJKLMNOPQRSTUVWXYZ")),"")</f>
        <v/>
      </c>
      <c r="J574">
        <f>IF($F574=1,INDEX({10,12,13,14,15,16,17,18,19,20,21,23,24,25,26,27,28,29,30,31,32,34,35,36,37,38},1,FIND(MID($B574,4,1),"ABCDEFGHIJKLMNOPQRSTUVWXYZ")),"")</f>
        <v/>
      </c>
      <c r="K574">
        <f>IF($F574=1,FIND(MID($B574,5,1),"0123456789")-1,"")</f>
        <v/>
      </c>
      <c r="L574">
        <f>IF($F574=1,FIND(MID($B574,6,1),"0123456789")-1,"")</f>
        <v/>
      </c>
      <c r="M574">
        <f>IF($F574=1,FIND(MID($B574,7,1),"0123456789")-1,"")</f>
        <v/>
      </c>
      <c r="N574">
        <f>IF($F574=1,FIND(MID($B574,8,1),"0123456789")-1,"")</f>
        <v/>
      </c>
      <c r="O574">
        <f>IF($F574=1,FIND(MID($B574,9,1),"0123456789")-1,"")</f>
        <v/>
      </c>
      <c r="P574">
        <f>IF($F574=1,FIND(MID($B574,10,1),"0123456789")-1,"")</f>
        <v/>
      </c>
      <c r="Q574">
        <f>IF($F574=1,SUMPRODUCT($G574:$P574,{1,2,4,8,16,32,64,128,256,512}),"")</f>
        <v/>
      </c>
      <c r="R574">
        <f>IF($F574=1,MOD(MOD($Q574,11),10),"")</f>
        <v/>
      </c>
    </row>
    <row r="575">
      <c r="A575" s="6" t="n"/>
      <c r="B575" s="7">
        <f>IF($A575="","",UPPER(SUBSTITUTE(SUBSTITUTE(SUBSTITUTE(SUBSTITUTE(SUBSTITUTE(SUBSTITUTE($A575," ",""),"-",""),".",""),"/",""),"i","I"),"ı","?")))</f>
        <v/>
      </c>
      <c r="C575" s="8">
        <f>IF($F575=1,$R575,"")</f>
        <v/>
      </c>
      <c r="D575" s="7">
        <f>IF($A575="","",IF($F575=0,"Biçim hatalı",IF(FIND(MID($B575,11,1),"0123456789")-1=$R575,"Geçerli","Kontrol hanesi hatalı (doğrusu: "&amp;$R575&amp;")")))</f>
        <v/>
      </c>
      <c r="F575">
        <f>IF($A575="","",IF(AND(LEN($B575)=11,SUMPRODUCT(--ISNUMBER(FIND(MID($B575,{1,2,3},1),"ABCDEFGHIJKLMNOPQRSTUVWXYZ")))=3,ISNUMBER(FIND(MID($B575,4,1),"UJZ")),SUMPRODUCT(--ISNUMBER(FIND(MID($B575,{5,6,7,8,9,10,11},1),"0123456789")))=7),1,0))</f>
        <v/>
      </c>
      <c r="G575">
        <f>IF($F575=1,INDEX({10,12,13,14,15,16,17,18,19,20,21,23,24,25,26,27,28,29,30,31,32,34,35,36,37,38},1,FIND(MID($B575,1,1),"ABCDEFGHIJKLMNOPQRSTUVWXYZ")),"")</f>
        <v/>
      </c>
      <c r="H575">
        <f>IF($F575=1,INDEX({10,12,13,14,15,16,17,18,19,20,21,23,24,25,26,27,28,29,30,31,32,34,35,36,37,38},1,FIND(MID($B575,2,1),"ABCDEFGHIJKLMNOPQRSTUVWXYZ")),"")</f>
        <v/>
      </c>
      <c r="I575">
        <f>IF($F575=1,INDEX({10,12,13,14,15,16,17,18,19,20,21,23,24,25,26,27,28,29,30,31,32,34,35,36,37,38},1,FIND(MID($B575,3,1),"ABCDEFGHIJKLMNOPQRSTUVWXYZ")),"")</f>
        <v/>
      </c>
      <c r="J575">
        <f>IF($F575=1,INDEX({10,12,13,14,15,16,17,18,19,20,21,23,24,25,26,27,28,29,30,31,32,34,35,36,37,38},1,FIND(MID($B575,4,1),"ABCDEFGHIJKLMNOPQRSTUVWXYZ")),"")</f>
        <v/>
      </c>
      <c r="K575">
        <f>IF($F575=1,FIND(MID($B575,5,1),"0123456789")-1,"")</f>
        <v/>
      </c>
      <c r="L575">
        <f>IF($F575=1,FIND(MID($B575,6,1),"0123456789")-1,"")</f>
        <v/>
      </c>
      <c r="M575">
        <f>IF($F575=1,FIND(MID($B575,7,1),"0123456789")-1,"")</f>
        <v/>
      </c>
      <c r="N575">
        <f>IF($F575=1,FIND(MID($B575,8,1),"0123456789")-1,"")</f>
        <v/>
      </c>
      <c r="O575">
        <f>IF($F575=1,FIND(MID($B575,9,1),"0123456789")-1,"")</f>
        <v/>
      </c>
      <c r="P575">
        <f>IF($F575=1,FIND(MID($B575,10,1),"0123456789")-1,"")</f>
        <v/>
      </c>
      <c r="Q575">
        <f>IF($F575=1,SUMPRODUCT($G575:$P575,{1,2,4,8,16,32,64,128,256,512}),"")</f>
        <v/>
      </c>
      <c r="R575">
        <f>IF($F575=1,MOD(MOD($Q575,11),10),"")</f>
        <v/>
      </c>
    </row>
    <row r="576">
      <c r="A576" s="6" t="n"/>
      <c r="B576" s="7">
        <f>IF($A576="","",UPPER(SUBSTITUTE(SUBSTITUTE(SUBSTITUTE(SUBSTITUTE(SUBSTITUTE(SUBSTITUTE($A576," ",""),"-",""),".",""),"/",""),"i","I"),"ı","?")))</f>
        <v/>
      </c>
      <c r="C576" s="8">
        <f>IF($F576=1,$R576,"")</f>
        <v/>
      </c>
      <c r="D576" s="7">
        <f>IF($A576="","",IF($F576=0,"Biçim hatalı",IF(FIND(MID($B576,11,1),"0123456789")-1=$R576,"Geçerli","Kontrol hanesi hatalı (doğrusu: "&amp;$R576&amp;")")))</f>
        <v/>
      </c>
      <c r="F576">
        <f>IF($A576="","",IF(AND(LEN($B576)=11,SUMPRODUCT(--ISNUMBER(FIND(MID($B576,{1,2,3},1),"ABCDEFGHIJKLMNOPQRSTUVWXYZ")))=3,ISNUMBER(FIND(MID($B576,4,1),"UJZ")),SUMPRODUCT(--ISNUMBER(FIND(MID($B576,{5,6,7,8,9,10,11},1),"0123456789")))=7),1,0))</f>
        <v/>
      </c>
      <c r="G576">
        <f>IF($F576=1,INDEX({10,12,13,14,15,16,17,18,19,20,21,23,24,25,26,27,28,29,30,31,32,34,35,36,37,38},1,FIND(MID($B576,1,1),"ABCDEFGHIJKLMNOPQRSTUVWXYZ")),"")</f>
        <v/>
      </c>
      <c r="H576">
        <f>IF($F576=1,INDEX({10,12,13,14,15,16,17,18,19,20,21,23,24,25,26,27,28,29,30,31,32,34,35,36,37,38},1,FIND(MID($B576,2,1),"ABCDEFGHIJKLMNOPQRSTUVWXYZ")),"")</f>
        <v/>
      </c>
      <c r="I576">
        <f>IF($F576=1,INDEX({10,12,13,14,15,16,17,18,19,20,21,23,24,25,26,27,28,29,30,31,32,34,35,36,37,38},1,FIND(MID($B576,3,1),"ABCDEFGHIJKLMNOPQRSTUVWXYZ")),"")</f>
        <v/>
      </c>
      <c r="J576">
        <f>IF($F576=1,INDEX({10,12,13,14,15,16,17,18,19,20,21,23,24,25,26,27,28,29,30,31,32,34,35,36,37,38},1,FIND(MID($B576,4,1),"ABCDEFGHIJKLMNOPQRSTUVWXYZ")),"")</f>
        <v/>
      </c>
      <c r="K576">
        <f>IF($F576=1,FIND(MID($B576,5,1),"0123456789")-1,"")</f>
        <v/>
      </c>
      <c r="L576">
        <f>IF($F576=1,FIND(MID($B576,6,1),"0123456789")-1,"")</f>
        <v/>
      </c>
      <c r="M576">
        <f>IF($F576=1,FIND(MID($B576,7,1),"0123456789")-1,"")</f>
        <v/>
      </c>
      <c r="N576">
        <f>IF($F576=1,FIND(MID($B576,8,1),"0123456789")-1,"")</f>
        <v/>
      </c>
      <c r="O576">
        <f>IF($F576=1,FIND(MID($B576,9,1),"0123456789")-1,"")</f>
        <v/>
      </c>
      <c r="P576">
        <f>IF($F576=1,FIND(MID($B576,10,1),"0123456789")-1,"")</f>
        <v/>
      </c>
      <c r="Q576">
        <f>IF($F576=1,SUMPRODUCT($G576:$P576,{1,2,4,8,16,32,64,128,256,512}),"")</f>
        <v/>
      </c>
      <c r="R576">
        <f>IF($F576=1,MOD(MOD($Q576,11),10),"")</f>
        <v/>
      </c>
    </row>
    <row r="577">
      <c r="A577" s="6" t="n"/>
      <c r="B577" s="7">
        <f>IF($A577="","",UPPER(SUBSTITUTE(SUBSTITUTE(SUBSTITUTE(SUBSTITUTE(SUBSTITUTE(SUBSTITUTE($A577," ",""),"-",""),".",""),"/",""),"i","I"),"ı","?")))</f>
        <v/>
      </c>
      <c r="C577" s="8">
        <f>IF($F577=1,$R577,"")</f>
        <v/>
      </c>
      <c r="D577" s="7">
        <f>IF($A577="","",IF($F577=0,"Biçim hatalı",IF(FIND(MID($B577,11,1),"0123456789")-1=$R577,"Geçerli","Kontrol hanesi hatalı (doğrusu: "&amp;$R577&amp;")")))</f>
        <v/>
      </c>
      <c r="F577">
        <f>IF($A577="","",IF(AND(LEN($B577)=11,SUMPRODUCT(--ISNUMBER(FIND(MID($B577,{1,2,3},1),"ABCDEFGHIJKLMNOPQRSTUVWXYZ")))=3,ISNUMBER(FIND(MID($B577,4,1),"UJZ")),SUMPRODUCT(--ISNUMBER(FIND(MID($B577,{5,6,7,8,9,10,11},1),"0123456789")))=7),1,0))</f>
        <v/>
      </c>
      <c r="G577">
        <f>IF($F577=1,INDEX({10,12,13,14,15,16,17,18,19,20,21,23,24,25,26,27,28,29,30,31,32,34,35,36,37,38},1,FIND(MID($B577,1,1),"ABCDEFGHIJKLMNOPQRSTUVWXYZ")),"")</f>
        <v/>
      </c>
      <c r="H577">
        <f>IF($F577=1,INDEX({10,12,13,14,15,16,17,18,19,20,21,23,24,25,26,27,28,29,30,31,32,34,35,36,37,38},1,FIND(MID($B577,2,1),"ABCDEFGHIJKLMNOPQRSTUVWXYZ")),"")</f>
        <v/>
      </c>
      <c r="I577">
        <f>IF($F577=1,INDEX({10,12,13,14,15,16,17,18,19,20,21,23,24,25,26,27,28,29,30,31,32,34,35,36,37,38},1,FIND(MID($B577,3,1),"ABCDEFGHIJKLMNOPQRSTUVWXYZ")),"")</f>
        <v/>
      </c>
      <c r="J577">
        <f>IF($F577=1,INDEX({10,12,13,14,15,16,17,18,19,20,21,23,24,25,26,27,28,29,30,31,32,34,35,36,37,38},1,FIND(MID($B577,4,1),"ABCDEFGHIJKLMNOPQRSTUVWXYZ")),"")</f>
        <v/>
      </c>
      <c r="K577">
        <f>IF($F577=1,FIND(MID($B577,5,1),"0123456789")-1,"")</f>
        <v/>
      </c>
      <c r="L577">
        <f>IF($F577=1,FIND(MID($B577,6,1),"0123456789")-1,"")</f>
        <v/>
      </c>
      <c r="M577">
        <f>IF($F577=1,FIND(MID($B577,7,1),"0123456789")-1,"")</f>
        <v/>
      </c>
      <c r="N577">
        <f>IF($F577=1,FIND(MID($B577,8,1),"0123456789")-1,"")</f>
        <v/>
      </c>
      <c r="O577">
        <f>IF($F577=1,FIND(MID($B577,9,1),"0123456789")-1,"")</f>
        <v/>
      </c>
      <c r="P577">
        <f>IF($F577=1,FIND(MID($B577,10,1),"0123456789")-1,"")</f>
        <v/>
      </c>
      <c r="Q577">
        <f>IF($F577=1,SUMPRODUCT($G577:$P577,{1,2,4,8,16,32,64,128,256,512}),"")</f>
        <v/>
      </c>
      <c r="R577">
        <f>IF($F577=1,MOD(MOD($Q577,11),10),"")</f>
        <v/>
      </c>
    </row>
    <row r="578">
      <c r="A578" s="6" t="n"/>
      <c r="B578" s="7">
        <f>IF($A578="","",UPPER(SUBSTITUTE(SUBSTITUTE(SUBSTITUTE(SUBSTITUTE(SUBSTITUTE(SUBSTITUTE($A578," ",""),"-",""),".",""),"/",""),"i","I"),"ı","?")))</f>
        <v/>
      </c>
      <c r="C578" s="8">
        <f>IF($F578=1,$R578,"")</f>
        <v/>
      </c>
      <c r="D578" s="7">
        <f>IF($A578="","",IF($F578=0,"Biçim hatalı",IF(FIND(MID($B578,11,1),"0123456789")-1=$R578,"Geçerli","Kontrol hanesi hatalı (doğrusu: "&amp;$R578&amp;")")))</f>
        <v/>
      </c>
      <c r="F578">
        <f>IF($A578="","",IF(AND(LEN($B578)=11,SUMPRODUCT(--ISNUMBER(FIND(MID($B578,{1,2,3},1),"ABCDEFGHIJKLMNOPQRSTUVWXYZ")))=3,ISNUMBER(FIND(MID($B578,4,1),"UJZ")),SUMPRODUCT(--ISNUMBER(FIND(MID($B578,{5,6,7,8,9,10,11},1),"0123456789")))=7),1,0))</f>
        <v/>
      </c>
      <c r="G578">
        <f>IF($F578=1,INDEX({10,12,13,14,15,16,17,18,19,20,21,23,24,25,26,27,28,29,30,31,32,34,35,36,37,38},1,FIND(MID($B578,1,1),"ABCDEFGHIJKLMNOPQRSTUVWXYZ")),"")</f>
        <v/>
      </c>
      <c r="H578">
        <f>IF($F578=1,INDEX({10,12,13,14,15,16,17,18,19,20,21,23,24,25,26,27,28,29,30,31,32,34,35,36,37,38},1,FIND(MID($B578,2,1),"ABCDEFGHIJKLMNOPQRSTUVWXYZ")),"")</f>
        <v/>
      </c>
      <c r="I578">
        <f>IF($F578=1,INDEX({10,12,13,14,15,16,17,18,19,20,21,23,24,25,26,27,28,29,30,31,32,34,35,36,37,38},1,FIND(MID($B578,3,1),"ABCDEFGHIJKLMNOPQRSTUVWXYZ")),"")</f>
        <v/>
      </c>
      <c r="J578">
        <f>IF($F578=1,INDEX({10,12,13,14,15,16,17,18,19,20,21,23,24,25,26,27,28,29,30,31,32,34,35,36,37,38},1,FIND(MID($B578,4,1),"ABCDEFGHIJKLMNOPQRSTUVWXYZ")),"")</f>
        <v/>
      </c>
      <c r="K578">
        <f>IF($F578=1,FIND(MID($B578,5,1),"0123456789")-1,"")</f>
        <v/>
      </c>
      <c r="L578">
        <f>IF($F578=1,FIND(MID($B578,6,1),"0123456789")-1,"")</f>
        <v/>
      </c>
      <c r="M578">
        <f>IF($F578=1,FIND(MID($B578,7,1),"0123456789")-1,"")</f>
        <v/>
      </c>
      <c r="N578">
        <f>IF($F578=1,FIND(MID($B578,8,1),"0123456789")-1,"")</f>
        <v/>
      </c>
      <c r="O578">
        <f>IF($F578=1,FIND(MID($B578,9,1),"0123456789")-1,"")</f>
        <v/>
      </c>
      <c r="P578">
        <f>IF($F578=1,FIND(MID($B578,10,1),"0123456789")-1,"")</f>
        <v/>
      </c>
      <c r="Q578">
        <f>IF($F578=1,SUMPRODUCT($G578:$P578,{1,2,4,8,16,32,64,128,256,512}),"")</f>
        <v/>
      </c>
      <c r="R578">
        <f>IF($F578=1,MOD(MOD($Q578,11),10),"")</f>
        <v/>
      </c>
    </row>
    <row r="579">
      <c r="A579" s="6" t="n"/>
      <c r="B579" s="7">
        <f>IF($A579="","",UPPER(SUBSTITUTE(SUBSTITUTE(SUBSTITUTE(SUBSTITUTE(SUBSTITUTE(SUBSTITUTE($A579," ",""),"-",""),".",""),"/",""),"i","I"),"ı","?")))</f>
        <v/>
      </c>
      <c r="C579" s="8">
        <f>IF($F579=1,$R579,"")</f>
        <v/>
      </c>
      <c r="D579" s="7">
        <f>IF($A579="","",IF($F579=0,"Biçim hatalı",IF(FIND(MID($B579,11,1),"0123456789")-1=$R579,"Geçerli","Kontrol hanesi hatalı (doğrusu: "&amp;$R579&amp;")")))</f>
        <v/>
      </c>
      <c r="F579">
        <f>IF($A579="","",IF(AND(LEN($B579)=11,SUMPRODUCT(--ISNUMBER(FIND(MID($B579,{1,2,3},1),"ABCDEFGHIJKLMNOPQRSTUVWXYZ")))=3,ISNUMBER(FIND(MID($B579,4,1),"UJZ")),SUMPRODUCT(--ISNUMBER(FIND(MID($B579,{5,6,7,8,9,10,11},1),"0123456789")))=7),1,0))</f>
        <v/>
      </c>
      <c r="G579">
        <f>IF($F579=1,INDEX({10,12,13,14,15,16,17,18,19,20,21,23,24,25,26,27,28,29,30,31,32,34,35,36,37,38},1,FIND(MID($B579,1,1),"ABCDEFGHIJKLMNOPQRSTUVWXYZ")),"")</f>
        <v/>
      </c>
      <c r="H579">
        <f>IF($F579=1,INDEX({10,12,13,14,15,16,17,18,19,20,21,23,24,25,26,27,28,29,30,31,32,34,35,36,37,38},1,FIND(MID($B579,2,1),"ABCDEFGHIJKLMNOPQRSTUVWXYZ")),"")</f>
        <v/>
      </c>
      <c r="I579">
        <f>IF($F579=1,INDEX({10,12,13,14,15,16,17,18,19,20,21,23,24,25,26,27,28,29,30,31,32,34,35,36,37,38},1,FIND(MID($B579,3,1),"ABCDEFGHIJKLMNOPQRSTUVWXYZ")),"")</f>
        <v/>
      </c>
      <c r="J579">
        <f>IF($F579=1,INDEX({10,12,13,14,15,16,17,18,19,20,21,23,24,25,26,27,28,29,30,31,32,34,35,36,37,38},1,FIND(MID($B579,4,1),"ABCDEFGHIJKLMNOPQRSTUVWXYZ")),"")</f>
        <v/>
      </c>
      <c r="K579">
        <f>IF($F579=1,FIND(MID($B579,5,1),"0123456789")-1,"")</f>
        <v/>
      </c>
      <c r="L579">
        <f>IF($F579=1,FIND(MID($B579,6,1),"0123456789")-1,"")</f>
        <v/>
      </c>
      <c r="M579">
        <f>IF($F579=1,FIND(MID($B579,7,1),"0123456789")-1,"")</f>
        <v/>
      </c>
      <c r="N579">
        <f>IF($F579=1,FIND(MID($B579,8,1),"0123456789")-1,"")</f>
        <v/>
      </c>
      <c r="O579">
        <f>IF($F579=1,FIND(MID($B579,9,1),"0123456789")-1,"")</f>
        <v/>
      </c>
      <c r="P579">
        <f>IF($F579=1,FIND(MID($B579,10,1),"0123456789")-1,"")</f>
        <v/>
      </c>
      <c r="Q579">
        <f>IF($F579=1,SUMPRODUCT($G579:$P579,{1,2,4,8,16,32,64,128,256,512}),"")</f>
        <v/>
      </c>
      <c r="R579">
        <f>IF($F579=1,MOD(MOD($Q579,11),10),"")</f>
        <v/>
      </c>
    </row>
    <row r="580">
      <c r="A580" s="6" t="n"/>
      <c r="B580" s="7">
        <f>IF($A580="","",UPPER(SUBSTITUTE(SUBSTITUTE(SUBSTITUTE(SUBSTITUTE(SUBSTITUTE(SUBSTITUTE($A580," ",""),"-",""),".",""),"/",""),"i","I"),"ı","?")))</f>
        <v/>
      </c>
      <c r="C580" s="8">
        <f>IF($F580=1,$R580,"")</f>
        <v/>
      </c>
      <c r="D580" s="7">
        <f>IF($A580="","",IF($F580=0,"Biçim hatalı",IF(FIND(MID($B580,11,1),"0123456789")-1=$R580,"Geçerli","Kontrol hanesi hatalı (doğrusu: "&amp;$R580&amp;")")))</f>
        <v/>
      </c>
      <c r="F580">
        <f>IF($A580="","",IF(AND(LEN($B580)=11,SUMPRODUCT(--ISNUMBER(FIND(MID($B580,{1,2,3},1),"ABCDEFGHIJKLMNOPQRSTUVWXYZ")))=3,ISNUMBER(FIND(MID($B580,4,1),"UJZ")),SUMPRODUCT(--ISNUMBER(FIND(MID($B580,{5,6,7,8,9,10,11},1),"0123456789")))=7),1,0))</f>
        <v/>
      </c>
      <c r="G580">
        <f>IF($F580=1,INDEX({10,12,13,14,15,16,17,18,19,20,21,23,24,25,26,27,28,29,30,31,32,34,35,36,37,38},1,FIND(MID($B580,1,1),"ABCDEFGHIJKLMNOPQRSTUVWXYZ")),"")</f>
        <v/>
      </c>
      <c r="H580">
        <f>IF($F580=1,INDEX({10,12,13,14,15,16,17,18,19,20,21,23,24,25,26,27,28,29,30,31,32,34,35,36,37,38},1,FIND(MID($B580,2,1),"ABCDEFGHIJKLMNOPQRSTUVWXYZ")),"")</f>
        <v/>
      </c>
      <c r="I580">
        <f>IF($F580=1,INDEX({10,12,13,14,15,16,17,18,19,20,21,23,24,25,26,27,28,29,30,31,32,34,35,36,37,38},1,FIND(MID($B580,3,1),"ABCDEFGHIJKLMNOPQRSTUVWXYZ")),"")</f>
        <v/>
      </c>
      <c r="J580">
        <f>IF($F580=1,INDEX({10,12,13,14,15,16,17,18,19,20,21,23,24,25,26,27,28,29,30,31,32,34,35,36,37,38},1,FIND(MID($B580,4,1),"ABCDEFGHIJKLMNOPQRSTUVWXYZ")),"")</f>
        <v/>
      </c>
      <c r="K580">
        <f>IF($F580=1,FIND(MID($B580,5,1),"0123456789")-1,"")</f>
        <v/>
      </c>
      <c r="L580">
        <f>IF($F580=1,FIND(MID($B580,6,1),"0123456789")-1,"")</f>
        <v/>
      </c>
      <c r="M580">
        <f>IF($F580=1,FIND(MID($B580,7,1),"0123456789")-1,"")</f>
        <v/>
      </c>
      <c r="N580">
        <f>IF($F580=1,FIND(MID($B580,8,1),"0123456789")-1,"")</f>
        <v/>
      </c>
      <c r="O580">
        <f>IF($F580=1,FIND(MID($B580,9,1),"0123456789")-1,"")</f>
        <v/>
      </c>
      <c r="P580">
        <f>IF($F580=1,FIND(MID($B580,10,1),"0123456789")-1,"")</f>
        <v/>
      </c>
      <c r="Q580">
        <f>IF($F580=1,SUMPRODUCT($G580:$P580,{1,2,4,8,16,32,64,128,256,512}),"")</f>
        <v/>
      </c>
      <c r="R580">
        <f>IF($F580=1,MOD(MOD($Q580,11),10),"")</f>
        <v/>
      </c>
    </row>
    <row r="581">
      <c r="A581" s="6" t="n"/>
      <c r="B581" s="7">
        <f>IF($A581="","",UPPER(SUBSTITUTE(SUBSTITUTE(SUBSTITUTE(SUBSTITUTE(SUBSTITUTE(SUBSTITUTE($A581," ",""),"-",""),".",""),"/",""),"i","I"),"ı","?")))</f>
        <v/>
      </c>
      <c r="C581" s="8">
        <f>IF($F581=1,$R581,"")</f>
        <v/>
      </c>
      <c r="D581" s="7">
        <f>IF($A581="","",IF($F581=0,"Biçim hatalı",IF(FIND(MID($B581,11,1),"0123456789")-1=$R581,"Geçerli","Kontrol hanesi hatalı (doğrusu: "&amp;$R581&amp;")")))</f>
        <v/>
      </c>
      <c r="F581">
        <f>IF($A581="","",IF(AND(LEN($B581)=11,SUMPRODUCT(--ISNUMBER(FIND(MID($B581,{1,2,3},1),"ABCDEFGHIJKLMNOPQRSTUVWXYZ")))=3,ISNUMBER(FIND(MID($B581,4,1),"UJZ")),SUMPRODUCT(--ISNUMBER(FIND(MID($B581,{5,6,7,8,9,10,11},1),"0123456789")))=7),1,0))</f>
        <v/>
      </c>
      <c r="G581">
        <f>IF($F581=1,INDEX({10,12,13,14,15,16,17,18,19,20,21,23,24,25,26,27,28,29,30,31,32,34,35,36,37,38},1,FIND(MID($B581,1,1),"ABCDEFGHIJKLMNOPQRSTUVWXYZ")),"")</f>
        <v/>
      </c>
      <c r="H581">
        <f>IF($F581=1,INDEX({10,12,13,14,15,16,17,18,19,20,21,23,24,25,26,27,28,29,30,31,32,34,35,36,37,38},1,FIND(MID($B581,2,1),"ABCDEFGHIJKLMNOPQRSTUVWXYZ")),"")</f>
        <v/>
      </c>
      <c r="I581">
        <f>IF($F581=1,INDEX({10,12,13,14,15,16,17,18,19,20,21,23,24,25,26,27,28,29,30,31,32,34,35,36,37,38},1,FIND(MID($B581,3,1),"ABCDEFGHIJKLMNOPQRSTUVWXYZ")),"")</f>
        <v/>
      </c>
      <c r="J581">
        <f>IF($F581=1,INDEX({10,12,13,14,15,16,17,18,19,20,21,23,24,25,26,27,28,29,30,31,32,34,35,36,37,38},1,FIND(MID($B581,4,1),"ABCDEFGHIJKLMNOPQRSTUVWXYZ")),"")</f>
        <v/>
      </c>
      <c r="K581">
        <f>IF($F581=1,FIND(MID($B581,5,1),"0123456789")-1,"")</f>
        <v/>
      </c>
      <c r="L581">
        <f>IF($F581=1,FIND(MID($B581,6,1),"0123456789")-1,"")</f>
        <v/>
      </c>
      <c r="M581">
        <f>IF($F581=1,FIND(MID($B581,7,1),"0123456789")-1,"")</f>
        <v/>
      </c>
      <c r="N581">
        <f>IF($F581=1,FIND(MID($B581,8,1),"0123456789")-1,"")</f>
        <v/>
      </c>
      <c r="O581">
        <f>IF($F581=1,FIND(MID($B581,9,1),"0123456789")-1,"")</f>
        <v/>
      </c>
      <c r="P581">
        <f>IF($F581=1,FIND(MID($B581,10,1),"0123456789")-1,"")</f>
        <v/>
      </c>
      <c r="Q581">
        <f>IF($F581=1,SUMPRODUCT($G581:$P581,{1,2,4,8,16,32,64,128,256,512}),"")</f>
        <v/>
      </c>
      <c r="R581">
        <f>IF($F581=1,MOD(MOD($Q581,11),10),"")</f>
        <v/>
      </c>
    </row>
    <row r="582">
      <c r="A582" s="6" t="n"/>
      <c r="B582" s="7">
        <f>IF($A582="","",UPPER(SUBSTITUTE(SUBSTITUTE(SUBSTITUTE(SUBSTITUTE(SUBSTITUTE(SUBSTITUTE($A582," ",""),"-",""),".",""),"/",""),"i","I"),"ı","?")))</f>
        <v/>
      </c>
      <c r="C582" s="8">
        <f>IF($F582=1,$R582,"")</f>
        <v/>
      </c>
      <c r="D582" s="7">
        <f>IF($A582="","",IF($F582=0,"Biçim hatalı",IF(FIND(MID($B582,11,1),"0123456789")-1=$R582,"Geçerli","Kontrol hanesi hatalı (doğrusu: "&amp;$R582&amp;")")))</f>
        <v/>
      </c>
      <c r="F582">
        <f>IF($A582="","",IF(AND(LEN($B582)=11,SUMPRODUCT(--ISNUMBER(FIND(MID($B582,{1,2,3},1),"ABCDEFGHIJKLMNOPQRSTUVWXYZ")))=3,ISNUMBER(FIND(MID($B582,4,1),"UJZ")),SUMPRODUCT(--ISNUMBER(FIND(MID($B582,{5,6,7,8,9,10,11},1),"0123456789")))=7),1,0))</f>
        <v/>
      </c>
      <c r="G582">
        <f>IF($F582=1,INDEX({10,12,13,14,15,16,17,18,19,20,21,23,24,25,26,27,28,29,30,31,32,34,35,36,37,38},1,FIND(MID($B582,1,1),"ABCDEFGHIJKLMNOPQRSTUVWXYZ")),"")</f>
        <v/>
      </c>
      <c r="H582">
        <f>IF($F582=1,INDEX({10,12,13,14,15,16,17,18,19,20,21,23,24,25,26,27,28,29,30,31,32,34,35,36,37,38},1,FIND(MID($B582,2,1),"ABCDEFGHIJKLMNOPQRSTUVWXYZ")),"")</f>
        <v/>
      </c>
      <c r="I582">
        <f>IF($F582=1,INDEX({10,12,13,14,15,16,17,18,19,20,21,23,24,25,26,27,28,29,30,31,32,34,35,36,37,38},1,FIND(MID($B582,3,1),"ABCDEFGHIJKLMNOPQRSTUVWXYZ")),"")</f>
        <v/>
      </c>
      <c r="J582">
        <f>IF($F582=1,INDEX({10,12,13,14,15,16,17,18,19,20,21,23,24,25,26,27,28,29,30,31,32,34,35,36,37,38},1,FIND(MID($B582,4,1),"ABCDEFGHIJKLMNOPQRSTUVWXYZ")),"")</f>
        <v/>
      </c>
      <c r="K582">
        <f>IF($F582=1,FIND(MID($B582,5,1),"0123456789")-1,"")</f>
        <v/>
      </c>
      <c r="L582">
        <f>IF($F582=1,FIND(MID($B582,6,1),"0123456789")-1,"")</f>
        <v/>
      </c>
      <c r="M582">
        <f>IF($F582=1,FIND(MID($B582,7,1),"0123456789")-1,"")</f>
        <v/>
      </c>
      <c r="N582">
        <f>IF($F582=1,FIND(MID($B582,8,1),"0123456789")-1,"")</f>
        <v/>
      </c>
      <c r="O582">
        <f>IF($F582=1,FIND(MID($B582,9,1),"0123456789")-1,"")</f>
        <v/>
      </c>
      <c r="P582">
        <f>IF($F582=1,FIND(MID($B582,10,1),"0123456789")-1,"")</f>
        <v/>
      </c>
      <c r="Q582">
        <f>IF($F582=1,SUMPRODUCT($G582:$P582,{1,2,4,8,16,32,64,128,256,512}),"")</f>
        <v/>
      </c>
      <c r="R582">
        <f>IF($F582=1,MOD(MOD($Q582,11),10),"")</f>
        <v/>
      </c>
    </row>
    <row r="583">
      <c r="A583" s="6" t="n"/>
      <c r="B583" s="7">
        <f>IF($A583="","",UPPER(SUBSTITUTE(SUBSTITUTE(SUBSTITUTE(SUBSTITUTE(SUBSTITUTE(SUBSTITUTE($A583," ",""),"-",""),".",""),"/",""),"i","I"),"ı","?")))</f>
        <v/>
      </c>
      <c r="C583" s="8">
        <f>IF($F583=1,$R583,"")</f>
        <v/>
      </c>
      <c r="D583" s="7">
        <f>IF($A583="","",IF($F583=0,"Biçim hatalı",IF(FIND(MID($B583,11,1),"0123456789")-1=$R583,"Geçerli","Kontrol hanesi hatalı (doğrusu: "&amp;$R583&amp;")")))</f>
        <v/>
      </c>
      <c r="F583">
        <f>IF($A583="","",IF(AND(LEN($B583)=11,SUMPRODUCT(--ISNUMBER(FIND(MID($B583,{1,2,3},1),"ABCDEFGHIJKLMNOPQRSTUVWXYZ")))=3,ISNUMBER(FIND(MID($B583,4,1),"UJZ")),SUMPRODUCT(--ISNUMBER(FIND(MID($B583,{5,6,7,8,9,10,11},1),"0123456789")))=7),1,0))</f>
        <v/>
      </c>
      <c r="G583">
        <f>IF($F583=1,INDEX({10,12,13,14,15,16,17,18,19,20,21,23,24,25,26,27,28,29,30,31,32,34,35,36,37,38},1,FIND(MID($B583,1,1),"ABCDEFGHIJKLMNOPQRSTUVWXYZ")),"")</f>
        <v/>
      </c>
      <c r="H583">
        <f>IF($F583=1,INDEX({10,12,13,14,15,16,17,18,19,20,21,23,24,25,26,27,28,29,30,31,32,34,35,36,37,38},1,FIND(MID($B583,2,1),"ABCDEFGHIJKLMNOPQRSTUVWXYZ")),"")</f>
        <v/>
      </c>
      <c r="I583">
        <f>IF($F583=1,INDEX({10,12,13,14,15,16,17,18,19,20,21,23,24,25,26,27,28,29,30,31,32,34,35,36,37,38},1,FIND(MID($B583,3,1),"ABCDEFGHIJKLMNOPQRSTUVWXYZ")),"")</f>
        <v/>
      </c>
      <c r="J583">
        <f>IF($F583=1,INDEX({10,12,13,14,15,16,17,18,19,20,21,23,24,25,26,27,28,29,30,31,32,34,35,36,37,38},1,FIND(MID($B583,4,1),"ABCDEFGHIJKLMNOPQRSTUVWXYZ")),"")</f>
        <v/>
      </c>
      <c r="K583">
        <f>IF($F583=1,FIND(MID($B583,5,1),"0123456789")-1,"")</f>
        <v/>
      </c>
      <c r="L583">
        <f>IF($F583=1,FIND(MID($B583,6,1),"0123456789")-1,"")</f>
        <v/>
      </c>
      <c r="M583">
        <f>IF($F583=1,FIND(MID($B583,7,1),"0123456789")-1,"")</f>
        <v/>
      </c>
      <c r="N583">
        <f>IF($F583=1,FIND(MID($B583,8,1),"0123456789")-1,"")</f>
        <v/>
      </c>
      <c r="O583">
        <f>IF($F583=1,FIND(MID($B583,9,1),"0123456789")-1,"")</f>
        <v/>
      </c>
      <c r="P583">
        <f>IF($F583=1,FIND(MID($B583,10,1),"0123456789")-1,"")</f>
        <v/>
      </c>
      <c r="Q583">
        <f>IF($F583=1,SUMPRODUCT($G583:$P583,{1,2,4,8,16,32,64,128,256,512}),"")</f>
        <v/>
      </c>
      <c r="R583">
        <f>IF($F583=1,MOD(MOD($Q583,11),10),"")</f>
        <v/>
      </c>
    </row>
    <row r="584">
      <c r="A584" s="6" t="n"/>
      <c r="B584" s="7">
        <f>IF($A584="","",UPPER(SUBSTITUTE(SUBSTITUTE(SUBSTITUTE(SUBSTITUTE(SUBSTITUTE(SUBSTITUTE($A584," ",""),"-",""),".",""),"/",""),"i","I"),"ı","?")))</f>
        <v/>
      </c>
      <c r="C584" s="8">
        <f>IF($F584=1,$R584,"")</f>
        <v/>
      </c>
      <c r="D584" s="7">
        <f>IF($A584="","",IF($F584=0,"Biçim hatalı",IF(FIND(MID($B584,11,1),"0123456789")-1=$R584,"Geçerli","Kontrol hanesi hatalı (doğrusu: "&amp;$R584&amp;")")))</f>
        <v/>
      </c>
      <c r="F584">
        <f>IF($A584="","",IF(AND(LEN($B584)=11,SUMPRODUCT(--ISNUMBER(FIND(MID($B584,{1,2,3},1),"ABCDEFGHIJKLMNOPQRSTUVWXYZ")))=3,ISNUMBER(FIND(MID($B584,4,1),"UJZ")),SUMPRODUCT(--ISNUMBER(FIND(MID($B584,{5,6,7,8,9,10,11},1),"0123456789")))=7),1,0))</f>
        <v/>
      </c>
      <c r="G584">
        <f>IF($F584=1,INDEX({10,12,13,14,15,16,17,18,19,20,21,23,24,25,26,27,28,29,30,31,32,34,35,36,37,38},1,FIND(MID($B584,1,1),"ABCDEFGHIJKLMNOPQRSTUVWXYZ")),"")</f>
        <v/>
      </c>
      <c r="H584">
        <f>IF($F584=1,INDEX({10,12,13,14,15,16,17,18,19,20,21,23,24,25,26,27,28,29,30,31,32,34,35,36,37,38},1,FIND(MID($B584,2,1),"ABCDEFGHIJKLMNOPQRSTUVWXYZ")),"")</f>
        <v/>
      </c>
      <c r="I584">
        <f>IF($F584=1,INDEX({10,12,13,14,15,16,17,18,19,20,21,23,24,25,26,27,28,29,30,31,32,34,35,36,37,38},1,FIND(MID($B584,3,1),"ABCDEFGHIJKLMNOPQRSTUVWXYZ")),"")</f>
        <v/>
      </c>
      <c r="J584">
        <f>IF($F584=1,INDEX({10,12,13,14,15,16,17,18,19,20,21,23,24,25,26,27,28,29,30,31,32,34,35,36,37,38},1,FIND(MID($B584,4,1),"ABCDEFGHIJKLMNOPQRSTUVWXYZ")),"")</f>
        <v/>
      </c>
      <c r="K584">
        <f>IF($F584=1,FIND(MID($B584,5,1),"0123456789")-1,"")</f>
        <v/>
      </c>
      <c r="L584">
        <f>IF($F584=1,FIND(MID($B584,6,1),"0123456789")-1,"")</f>
        <v/>
      </c>
      <c r="M584">
        <f>IF($F584=1,FIND(MID($B584,7,1),"0123456789")-1,"")</f>
        <v/>
      </c>
      <c r="N584">
        <f>IF($F584=1,FIND(MID($B584,8,1),"0123456789")-1,"")</f>
        <v/>
      </c>
      <c r="O584">
        <f>IF($F584=1,FIND(MID($B584,9,1),"0123456789")-1,"")</f>
        <v/>
      </c>
      <c r="P584">
        <f>IF($F584=1,FIND(MID($B584,10,1),"0123456789")-1,"")</f>
        <v/>
      </c>
      <c r="Q584">
        <f>IF($F584=1,SUMPRODUCT($G584:$P584,{1,2,4,8,16,32,64,128,256,512}),"")</f>
        <v/>
      </c>
      <c r="R584">
        <f>IF($F584=1,MOD(MOD($Q584,11),10),"")</f>
        <v/>
      </c>
    </row>
    <row r="585">
      <c r="A585" s="6" t="n"/>
      <c r="B585" s="7">
        <f>IF($A585="","",UPPER(SUBSTITUTE(SUBSTITUTE(SUBSTITUTE(SUBSTITUTE(SUBSTITUTE(SUBSTITUTE($A585," ",""),"-",""),".",""),"/",""),"i","I"),"ı","?")))</f>
        <v/>
      </c>
      <c r="C585" s="8">
        <f>IF($F585=1,$R585,"")</f>
        <v/>
      </c>
      <c r="D585" s="7">
        <f>IF($A585="","",IF($F585=0,"Biçim hatalı",IF(FIND(MID($B585,11,1),"0123456789")-1=$R585,"Geçerli","Kontrol hanesi hatalı (doğrusu: "&amp;$R585&amp;")")))</f>
        <v/>
      </c>
      <c r="F585">
        <f>IF($A585="","",IF(AND(LEN($B585)=11,SUMPRODUCT(--ISNUMBER(FIND(MID($B585,{1,2,3},1),"ABCDEFGHIJKLMNOPQRSTUVWXYZ")))=3,ISNUMBER(FIND(MID($B585,4,1),"UJZ")),SUMPRODUCT(--ISNUMBER(FIND(MID($B585,{5,6,7,8,9,10,11},1),"0123456789")))=7),1,0))</f>
        <v/>
      </c>
      <c r="G585">
        <f>IF($F585=1,INDEX({10,12,13,14,15,16,17,18,19,20,21,23,24,25,26,27,28,29,30,31,32,34,35,36,37,38},1,FIND(MID($B585,1,1),"ABCDEFGHIJKLMNOPQRSTUVWXYZ")),"")</f>
        <v/>
      </c>
      <c r="H585">
        <f>IF($F585=1,INDEX({10,12,13,14,15,16,17,18,19,20,21,23,24,25,26,27,28,29,30,31,32,34,35,36,37,38},1,FIND(MID($B585,2,1),"ABCDEFGHIJKLMNOPQRSTUVWXYZ")),"")</f>
        <v/>
      </c>
      <c r="I585">
        <f>IF($F585=1,INDEX({10,12,13,14,15,16,17,18,19,20,21,23,24,25,26,27,28,29,30,31,32,34,35,36,37,38},1,FIND(MID($B585,3,1),"ABCDEFGHIJKLMNOPQRSTUVWXYZ")),"")</f>
        <v/>
      </c>
      <c r="J585">
        <f>IF($F585=1,INDEX({10,12,13,14,15,16,17,18,19,20,21,23,24,25,26,27,28,29,30,31,32,34,35,36,37,38},1,FIND(MID($B585,4,1),"ABCDEFGHIJKLMNOPQRSTUVWXYZ")),"")</f>
        <v/>
      </c>
      <c r="K585">
        <f>IF($F585=1,FIND(MID($B585,5,1),"0123456789")-1,"")</f>
        <v/>
      </c>
      <c r="L585">
        <f>IF($F585=1,FIND(MID($B585,6,1),"0123456789")-1,"")</f>
        <v/>
      </c>
      <c r="M585">
        <f>IF($F585=1,FIND(MID($B585,7,1),"0123456789")-1,"")</f>
        <v/>
      </c>
      <c r="N585">
        <f>IF($F585=1,FIND(MID($B585,8,1),"0123456789")-1,"")</f>
        <v/>
      </c>
      <c r="O585">
        <f>IF($F585=1,FIND(MID($B585,9,1),"0123456789")-1,"")</f>
        <v/>
      </c>
      <c r="P585">
        <f>IF($F585=1,FIND(MID($B585,10,1),"0123456789")-1,"")</f>
        <v/>
      </c>
      <c r="Q585">
        <f>IF($F585=1,SUMPRODUCT($G585:$P585,{1,2,4,8,16,32,64,128,256,512}),"")</f>
        <v/>
      </c>
      <c r="R585">
        <f>IF($F585=1,MOD(MOD($Q585,11),10),"")</f>
        <v/>
      </c>
    </row>
    <row r="586">
      <c r="A586" s="6" t="n"/>
      <c r="B586" s="7">
        <f>IF($A586="","",UPPER(SUBSTITUTE(SUBSTITUTE(SUBSTITUTE(SUBSTITUTE(SUBSTITUTE(SUBSTITUTE($A586," ",""),"-",""),".",""),"/",""),"i","I"),"ı","?")))</f>
        <v/>
      </c>
      <c r="C586" s="8">
        <f>IF($F586=1,$R586,"")</f>
        <v/>
      </c>
      <c r="D586" s="7">
        <f>IF($A586="","",IF($F586=0,"Biçim hatalı",IF(FIND(MID($B586,11,1),"0123456789")-1=$R586,"Geçerli","Kontrol hanesi hatalı (doğrusu: "&amp;$R586&amp;")")))</f>
        <v/>
      </c>
      <c r="F586">
        <f>IF($A586="","",IF(AND(LEN($B586)=11,SUMPRODUCT(--ISNUMBER(FIND(MID($B586,{1,2,3},1),"ABCDEFGHIJKLMNOPQRSTUVWXYZ")))=3,ISNUMBER(FIND(MID($B586,4,1),"UJZ")),SUMPRODUCT(--ISNUMBER(FIND(MID($B586,{5,6,7,8,9,10,11},1),"0123456789")))=7),1,0))</f>
        <v/>
      </c>
      <c r="G586">
        <f>IF($F586=1,INDEX({10,12,13,14,15,16,17,18,19,20,21,23,24,25,26,27,28,29,30,31,32,34,35,36,37,38},1,FIND(MID($B586,1,1),"ABCDEFGHIJKLMNOPQRSTUVWXYZ")),"")</f>
        <v/>
      </c>
      <c r="H586">
        <f>IF($F586=1,INDEX({10,12,13,14,15,16,17,18,19,20,21,23,24,25,26,27,28,29,30,31,32,34,35,36,37,38},1,FIND(MID($B586,2,1),"ABCDEFGHIJKLMNOPQRSTUVWXYZ")),"")</f>
        <v/>
      </c>
      <c r="I586">
        <f>IF($F586=1,INDEX({10,12,13,14,15,16,17,18,19,20,21,23,24,25,26,27,28,29,30,31,32,34,35,36,37,38},1,FIND(MID($B586,3,1),"ABCDEFGHIJKLMNOPQRSTUVWXYZ")),"")</f>
        <v/>
      </c>
      <c r="J586">
        <f>IF($F586=1,INDEX({10,12,13,14,15,16,17,18,19,20,21,23,24,25,26,27,28,29,30,31,32,34,35,36,37,38},1,FIND(MID($B586,4,1),"ABCDEFGHIJKLMNOPQRSTUVWXYZ")),"")</f>
        <v/>
      </c>
      <c r="K586">
        <f>IF($F586=1,FIND(MID($B586,5,1),"0123456789")-1,"")</f>
        <v/>
      </c>
      <c r="L586">
        <f>IF($F586=1,FIND(MID($B586,6,1),"0123456789")-1,"")</f>
        <v/>
      </c>
      <c r="M586">
        <f>IF($F586=1,FIND(MID($B586,7,1),"0123456789")-1,"")</f>
        <v/>
      </c>
      <c r="N586">
        <f>IF($F586=1,FIND(MID($B586,8,1),"0123456789")-1,"")</f>
        <v/>
      </c>
      <c r="O586">
        <f>IF($F586=1,FIND(MID($B586,9,1),"0123456789")-1,"")</f>
        <v/>
      </c>
      <c r="P586">
        <f>IF($F586=1,FIND(MID($B586,10,1),"0123456789")-1,"")</f>
        <v/>
      </c>
      <c r="Q586">
        <f>IF($F586=1,SUMPRODUCT($G586:$P586,{1,2,4,8,16,32,64,128,256,512}),"")</f>
        <v/>
      </c>
      <c r="R586">
        <f>IF($F586=1,MOD(MOD($Q586,11),10),"")</f>
        <v/>
      </c>
    </row>
    <row r="587">
      <c r="A587" s="6" t="n"/>
      <c r="B587" s="7">
        <f>IF($A587="","",UPPER(SUBSTITUTE(SUBSTITUTE(SUBSTITUTE(SUBSTITUTE(SUBSTITUTE(SUBSTITUTE($A587," ",""),"-",""),".",""),"/",""),"i","I"),"ı","?")))</f>
        <v/>
      </c>
      <c r="C587" s="8">
        <f>IF($F587=1,$R587,"")</f>
        <v/>
      </c>
      <c r="D587" s="7">
        <f>IF($A587="","",IF($F587=0,"Biçim hatalı",IF(FIND(MID($B587,11,1),"0123456789")-1=$R587,"Geçerli","Kontrol hanesi hatalı (doğrusu: "&amp;$R587&amp;")")))</f>
        <v/>
      </c>
      <c r="F587">
        <f>IF($A587="","",IF(AND(LEN($B587)=11,SUMPRODUCT(--ISNUMBER(FIND(MID($B587,{1,2,3},1),"ABCDEFGHIJKLMNOPQRSTUVWXYZ")))=3,ISNUMBER(FIND(MID($B587,4,1),"UJZ")),SUMPRODUCT(--ISNUMBER(FIND(MID($B587,{5,6,7,8,9,10,11},1),"0123456789")))=7),1,0))</f>
        <v/>
      </c>
      <c r="G587">
        <f>IF($F587=1,INDEX({10,12,13,14,15,16,17,18,19,20,21,23,24,25,26,27,28,29,30,31,32,34,35,36,37,38},1,FIND(MID($B587,1,1),"ABCDEFGHIJKLMNOPQRSTUVWXYZ")),"")</f>
        <v/>
      </c>
      <c r="H587">
        <f>IF($F587=1,INDEX({10,12,13,14,15,16,17,18,19,20,21,23,24,25,26,27,28,29,30,31,32,34,35,36,37,38},1,FIND(MID($B587,2,1),"ABCDEFGHIJKLMNOPQRSTUVWXYZ")),"")</f>
        <v/>
      </c>
      <c r="I587">
        <f>IF($F587=1,INDEX({10,12,13,14,15,16,17,18,19,20,21,23,24,25,26,27,28,29,30,31,32,34,35,36,37,38},1,FIND(MID($B587,3,1),"ABCDEFGHIJKLMNOPQRSTUVWXYZ")),"")</f>
        <v/>
      </c>
      <c r="J587">
        <f>IF($F587=1,INDEX({10,12,13,14,15,16,17,18,19,20,21,23,24,25,26,27,28,29,30,31,32,34,35,36,37,38},1,FIND(MID($B587,4,1),"ABCDEFGHIJKLMNOPQRSTUVWXYZ")),"")</f>
        <v/>
      </c>
      <c r="K587">
        <f>IF($F587=1,FIND(MID($B587,5,1),"0123456789")-1,"")</f>
        <v/>
      </c>
      <c r="L587">
        <f>IF($F587=1,FIND(MID($B587,6,1),"0123456789")-1,"")</f>
        <v/>
      </c>
      <c r="M587">
        <f>IF($F587=1,FIND(MID($B587,7,1),"0123456789")-1,"")</f>
        <v/>
      </c>
      <c r="N587">
        <f>IF($F587=1,FIND(MID($B587,8,1),"0123456789")-1,"")</f>
        <v/>
      </c>
      <c r="O587">
        <f>IF($F587=1,FIND(MID($B587,9,1),"0123456789")-1,"")</f>
        <v/>
      </c>
      <c r="P587">
        <f>IF($F587=1,FIND(MID($B587,10,1),"0123456789")-1,"")</f>
        <v/>
      </c>
      <c r="Q587">
        <f>IF($F587=1,SUMPRODUCT($G587:$P587,{1,2,4,8,16,32,64,128,256,512}),"")</f>
        <v/>
      </c>
      <c r="R587">
        <f>IF($F587=1,MOD(MOD($Q587,11),10),"")</f>
        <v/>
      </c>
    </row>
    <row r="588">
      <c r="A588" s="6" t="n"/>
      <c r="B588" s="7">
        <f>IF($A588="","",UPPER(SUBSTITUTE(SUBSTITUTE(SUBSTITUTE(SUBSTITUTE(SUBSTITUTE(SUBSTITUTE($A588," ",""),"-",""),".",""),"/",""),"i","I"),"ı","?")))</f>
        <v/>
      </c>
      <c r="C588" s="8">
        <f>IF($F588=1,$R588,"")</f>
        <v/>
      </c>
      <c r="D588" s="7">
        <f>IF($A588="","",IF($F588=0,"Biçim hatalı",IF(FIND(MID($B588,11,1),"0123456789")-1=$R588,"Geçerli","Kontrol hanesi hatalı (doğrusu: "&amp;$R588&amp;")")))</f>
        <v/>
      </c>
      <c r="F588">
        <f>IF($A588="","",IF(AND(LEN($B588)=11,SUMPRODUCT(--ISNUMBER(FIND(MID($B588,{1,2,3},1),"ABCDEFGHIJKLMNOPQRSTUVWXYZ")))=3,ISNUMBER(FIND(MID($B588,4,1),"UJZ")),SUMPRODUCT(--ISNUMBER(FIND(MID($B588,{5,6,7,8,9,10,11},1),"0123456789")))=7),1,0))</f>
        <v/>
      </c>
      <c r="G588">
        <f>IF($F588=1,INDEX({10,12,13,14,15,16,17,18,19,20,21,23,24,25,26,27,28,29,30,31,32,34,35,36,37,38},1,FIND(MID($B588,1,1),"ABCDEFGHIJKLMNOPQRSTUVWXYZ")),"")</f>
        <v/>
      </c>
      <c r="H588">
        <f>IF($F588=1,INDEX({10,12,13,14,15,16,17,18,19,20,21,23,24,25,26,27,28,29,30,31,32,34,35,36,37,38},1,FIND(MID($B588,2,1),"ABCDEFGHIJKLMNOPQRSTUVWXYZ")),"")</f>
        <v/>
      </c>
      <c r="I588">
        <f>IF($F588=1,INDEX({10,12,13,14,15,16,17,18,19,20,21,23,24,25,26,27,28,29,30,31,32,34,35,36,37,38},1,FIND(MID($B588,3,1),"ABCDEFGHIJKLMNOPQRSTUVWXYZ")),"")</f>
        <v/>
      </c>
      <c r="J588">
        <f>IF($F588=1,INDEX({10,12,13,14,15,16,17,18,19,20,21,23,24,25,26,27,28,29,30,31,32,34,35,36,37,38},1,FIND(MID($B588,4,1),"ABCDEFGHIJKLMNOPQRSTUVWXYZ")),"")</f>
        <v/>
      </c>
      <c r="K588">
        <f>IF($F588=1,FIND(MID($B588,5,1),"0123456789")-1,"")</f>
        <v/>
      </c>
      <c r="L588">
        <f>IF($F588=1,FIND(MID($B588,6,1),"0123456789")-1,"")</f>
        <v/>
      </c>
      <c r="M588">
        <f>IF($F588=1,FIND(MID($B588,7,1),"0123456789")-1,"")</f>
        <v/>
      </c>
      <c r="N588">
        <f>IF($F588=1,FIND(MID($B588,8,1),"0123456789")-1,"")</f>
        <v/>
      </c>
      <c r="O588">
        <f>IF($F588=1,FIND(MID($B588,9,1),"0123456789")-1,"")</f>
        <v/>
      </c>
      <c r="P588">
        <f>IF($F588=1,FIND(MID($B588,10,1),"0123456789")-1,"")</f>
        <v/>
      </c>
      <c r="Q588">
        <f>IF($F588=1,SUMPRODUCT($G588:$P588,{1,2,4,8,16,32,64,128,256,512}),"")</f>
        <v/>
      </c>
      <c r="R588">
        <f>IF($F588=1,MOD(MOD($Q588,11),10),"")</f>
        <v/>
      </c>
    </row>
    <row r="589">
      <c r="A589" s="6" t="n"/>
      <c r="B589" s="7">
        <f>IF($A589="","",UPPER(SUBSTITUTE(SUBSTITUTE(SUBSTITUTE(SUBSTITUTE(SUBSTITUTE(SUBSTITUTE($A589," ",""),"-",""),".",""),"/",""),"i","I"),"ı","?")))</f>
        <v/>
      </c>
      <c r="C589" s="8">
        <f>IF($F589=1,$R589,"")</f>
        <v/>
      </c>
      <c r="D589" s="7">
        <f>IF($A589="","",IF($F589=0,"Biçim hatalı",IF(FIND(MID($B589,11,1),"0123456789")-1=$R589,"Geçerli","Kontrol hanesi hatalı (doğrusu: "&amp;$R589&amp;")")))</f>
        <v/>
      </c>
      <c r="F589">
        <f>IF($A589="","",IF(AND(LEN($B589)=11,SUMPRODUCT(--ISNUMBER(FIND(MID($B589,{1,2,3},1),"ABCDEFGHIJKLMNOPQRSTUVWXYZ")))=3,ISNUMBER(FIND(MID($B589,4,1),"UJZ")),SUMPRODUCT(--ISNUMBER(FIND(MID($B589,{5,6,7,8,9,10,11},1),"0123456789")))=7),1,0))</f>
        <v/>
      </c>
      <c r="G589">
        <f>IF($F589=1,INDEX({10,12,13,14,15,16,17,18,19,20,21,23,24,25,26,27,28,29,30,31,32,34,35,36,37,38},1,FIND(MID($B589,1,1),"ABCDEFGHIJKLMNOPQRSTUVWXYZ")),"")</f>
        <v/>
      </c>
      <c r="H589">
        <f>IF($F589=1,INDEX({10,12,13,14,15,16,17,18,19,20,21,23,24,25,26,27,28,29,30,31,32,34,35,36,37,38},1,FIND(MID($B589,2,1),"ABCDEFGHIJKLMNOPQRSTUVWXYZ")),"")</f>
        <v/>
      </c>
      <c r="I589">
        <f>IF($F589=1,INDEX({10,12,13,14,15,16,17,18,19,20,21,23,24,25,26,27,28,29,30,31,32,34,35,36,37,38},1,FIND(MID($B589,3,1),"ABCDEFGHIJKLMNOPQRSTUVWXYZ")),"")</f>
        <v/>
      </c>
      <c r="J589">
        <f>IF($F589=1,INDEX({10,12,13,14,15,16,17,18,19,20,21,23,24,25,26,27,28,29,30,31,32,34,35,36,37,38},1,FIND(MID($B589,4,1),"ABCDEFGHIJKLMNOPQRSTUVWXYZ")),"")</f>
        <v/>
      </c>
      <c r="K589">
        <f>IF($F589=1,FIND(MID($B589,5,1),"0123456789")-1,"")</f>
        <v/>
      </c>
      <c r="L589">
        <f>IF($F589=1,FIND(MID($B589,6,1),"0123456789")-1,"")</f>
        <v/>
      </c>
      <c r="M589">
        <f>IF($F589=1,FIND(MID($B589,7,1),"0123456789")-1,"")</f>
        <v/>
      </c>
      <c r="N589">
        <f>IF($F589=1,FIND(MID($B589,8,1),"0123456789")-1,"")</f>
        <v/>
      </c>
      <c r="O589">
        <f>IF($F589=1,FIND(MID($B589,9,1),"0123456789")-1,"")</f>
        <v/>
      </c>
      <c r="P589">
        <f>IF($F589=1,FIND(MID($B589,10,1),"0123456789")-1,"")</f>
        <v/>
      </c>
      <c r="Q589">
        <f>IF($F589=1,SUMPRODUCT($G589:$P589,{1,2,4,8,16,32,64,128,256,512}),"")</f>
        <v/>
      </c>
      <c r="R589">
        <f>IF($F589=1,MOD(MOD($Q589,11),10),"")</f>
        <v/>
      </c>
    </row>
    <row r="590">
      <c r="A590" s="6" t="n"/>
      <c r="B590" s="7">
        <f>IF($A590="","",UPPER(SUBSTITUTE(SUBSTITUTE(SUBSTITUTE(SUBSTITUTE(SUBSTITUTE(SUBSTITUTE($A590," ",""),"-",""),".",""),"/",""),"i","I"),"ı","?")))</f>
        <v/>
      </c>
      <c r="C590" s="8">
        <f>IF($F590=1,$R590,"")</f>
        <v/>
      </c>
      <c r="D590" s="7">
        <f>IF($A590="","",IF($F590=0,"Biçim hatalı",IF(FIND(MID($B590,11,1),"0123456789")-1=$R590,"Geçerli","Kontrol hanesi hatalı (doğrusu: "&amp;$R590&amp;")")))</f>
        <v/>
      </c>
      <c r="F590">
        <f>IF($A590="","",IF(AND(LEN($B590)=11,SUMPRODUCT(--ISNUMBER(FIND(MID($B590,{1,2,3},1),"ABCDEFGHIJKLMNOPQRSTUVWXYZ")))=3,ISNUMBER(FIND(MID($B590,4,1),"UJZ")),SUMPRODUCT(--ISNUMBER(FIND(MID($B590,{5,6,7,8,9,10,11},1),"0123456789")))=7),1,0))</f>
        <v/>
      </c>
      <c r="G590">
        <f>IF($F590=1,INDEX({10,12,13,14,15,16,17,18,19,20,21,23,24,25,26,27,28,29,30,31,32,34,35,36,37,38},1,FIND(MID($B590,1,1),"ABCDEFGHIJKLMNOPQRSTUVWXYZ")),"")</f>
        <v/>
      </c>
      <c r="H590">
        <f>IF($F590=1,INDEX({10,12,13,14,15,16,17,18,19,20,21,23,24,25,26,27,28,29,30,31,32,34,35,36,37,38},1,FIND(MID($B590,2,1),"ABCDEFGHIJKLMNOPQRSTUVWXYZ")),"")</f>
        <v/>
      </c>
      <c r="I590">
        <f>IF($F590=1,INDEX({10,12,13,14,15,16,17,18,19,20,21,23,24,25,26,27,28,29,30,31,32,34,35,36,37,38},1,FIND(MID($B590,3,1),"ABCDEFGHIJKLMNOPQRSTUVWXYZ")),"")</f>
        <v/>
      </c>
      <c r="J590">
        <f>IF($F590=1,INDEX({10,12,13,14,15,16,17,18,19,20,21,23,24,25,26,27,28,29,30,31,32,34,35,36,37,38},1,FIND(MID($B590,4,1),"ABCDEFGHIJKLMNOPQRSTUVWXYZ")),"")</f>
        <v/>
      </c>
      <c r="K590">
        <f>IF($F590=1,FIND(MID($B590,5,1),"0123456789")-1,"")</f>
        <v/>
      </c>
      <c r="L590">
        <f>IF($F590=1,FIND(MID($B590,6,1),"0123456789")-1,"")</f>
        <v/>
      </c>
      <c r="M590">
        <f>IF($F590=1,FIND(MID($B590,7,1),"0123456789")-1,"")</f>
        <v/>
      </c>
      <c r="N590">
        <f>IF($F590=1,FIND(MID($B590,8,1),"0123456789")-1,"")</f>
        <v/>
      </c>
      <c r="O590">
        <f>IF($F590=1,FIND(MID($B590,9,1),"0123456789")-1,"")</f>
        <v/>
      </c>
      <c r="P590">
        <f>IF($F590=1,FIND(MID($B590,10,1),"0123456789")-1,"")</f>
        <v/>
      </c>
      <c r="Q590">
        <f>IF($F590=1,SUMPRODUCT($G590:$P590,{1,2,4,8,16,32,64,128,256,512}),"")</f>
        <v/>
      </c>
      <c r="R590">
        <f>IF($F590=1,MOD(MOD($Q590,11),10),"")</f>
        <v/>
      </c>
    </row>
    <row r="591">
      <c r="A591" s="6" t="n"/>
      <c r="B591" s="7">
        <f>IF($A591="","",UPPER(SUBSTITUTE(SUBSTITUTE(SUBSTITUTE(SUBSTITUTE(SUBSTITUTE(SUBSTITUTE($A591," ",""),"-",""),".",""),"/",""),"i","I"),"ı","?")))</f>
        <v/>
      </c>
      <c r="C591" s="8">
        <f>IF($F591=1,$R591,"")</f>
        <v/>
      </c>
      <c r="D591" s="7">
        <f>IF($A591="","",IF($F591=0,"Biçim hatalı",IF(FIND(MID($B591,11,1),"0123456789")-1=$R591,"Geçerli","Kontrol hanesi hatalı (doğrusu: "&amp;$R591&amp;")")))</f>
        <v/>
      </c>
      <c r="F591">
        <f>IF($A591="","",IF(AND(LEN($B591)=11,SUMPRODUCT(--ISNUMBER(FIND(MID($B591,{1,2,3},1),"ABCDEFGHIJKLMNOPQRSTUVWXYZ")))=3,ISNUMBER(FIND(MID($B591,4,1),"UJZ")),SUMPRODUCT(--ISNUMBER(FIND(MID($B591,{5,6,7,8,9,10,11},1),"0123456789")))=7),1,0))</f>
        <v/>
      </c>
      <c r="G591">
        <f>IF($F591=1,INDEX({10,12,13,14,15,16,17,18,19,20,21,23,24,25,26,27,28,29,30,31,32,34,35,36,37,38},1,FIND(MID($B591,1,1),"ABCDEFGHIJKLMNOPQRSTUVWXYZ")),"")</f>
        <v/>
      </c>
      <c r="H591">
        <f>IF($F591=1,INDEX({10,12,13,14,15,16,17,18,19,20,21,23,24,25,26,27,28,29,30,31,32,34,35,36,37,38},1,FIND(MID($B591,2,1),"ABCDEFGHIJKLMNOPQRSTUVWXYZ")),"")</f>
        <v/>
      </c>
      <c r="I591">
        <f>IF($F591=1,INDEX({10,12,13,14,15,16,17,18,19,20,21,23,24,25,26,27,28,29,30,31,32,34,35,36,37,38},1,FIND(MID($B591,3,1),"ABCDEFGHIJKLMNOPQRSTUVWXYZ")),"")</f>
        <v/>
      </c>
      <c r="J591">
        <f>IF($F591=1,INDEX({10,12,13,14,15,16,17,18,19,20,21,23,24,25,26,27,28,29,30,31,32,34,35,36,37,38},1,FIND(MID($B591,4,1),"ABCDEFGHIJKLMNOPQRSTUVWXYZ")),"")</f>
        <v/>
      </c>
      <c r="K591">
        <f>IF($F591=1,FIND(MID($B591,5,1),"0123456789")-1,"")</f>
        <v/>
      </c>
      <c r="L591">
        <f>IF($F591=1,FIND(MID($B591,6,1),"0123456789")-1,"")</f>
        <v/>
      </c>
      <c r="M591">
        <f>IF($F591=1,FIND(MID($B591,7,1),"0123456789")-1,"")</f>
        <v/>
      </c>
      <c r="N591">
        <f>IF($F591=1,FIND(MID($B591,8,1),"0123456789")-1,"")</f>
        <v/>
      </c>
      <c r="O591">
        <f>IF($F591=1,FIND(MID($B591,9,1),"0123456789")-1,"")</f>
        <v/>
      </c>
      <c r="P591">
        <f>IF($F591=1,FIND(MID($B591,10,1),"0123456789")-1,"")</f>
        <v/>
      </c>
      <c r="Q591">
        <f>IF($F591=1,SUMPRODUCT($G591:$P591,{1,2,4,8,16,32,64,128,256,512}),"")</f>
        <v/>
      </c>
      <c r="R591">
        <f>IF($F591=1,MOD(MOD($Q591,11),10),"")</f>
        <v/>
      </c>
    </row>
    <row r="592">
      <c r="A592" s="6" t="n"/>
      <c r="B592" s="7">
        <f>IF($A592="","",UPPER(SUBSTITUTE(SUBSTITUTE(SUBSTITUTE(SUBSTITUTE(SUBSTITUTE(SUBSTITUTE($A592," ",""),"-",""),".",""),"/",""),"i","I"),"ı","?")))</f>
        <v/>
      </c>
      <c r="C592" s="8">
        <f>IF($F592=1,$R592,"")</f>
        <v/>
      </c>
      <c r="D592" s="7">
        <f>IF($A592="","",IF($F592=0,"Biçim hatalı",IF(FIND(MID($B592,11,1),"0123456789")-1=$R592,"Geçerli","Kontrol hanesi hatalı (doğrusu: "&amp;$R592&amp;")")))</f>
        <v/>
      </c>
      <c r="F592">
        <f>IF($A592="","",IF(AND(LEN($B592)=11,SUMPRODUCT(--ISNUMBER(FIND(MID($B592,{1,2,3},1),"ABCDEFGHIJKLMNOPQRSTUVWXYZ")))=3,ISNUMBER(FIND(MID($B592,4,1),"UJZ")),SUMPRODUCT(--ISNUMBER(FIND(MID($B592,{5,6,7,8,9,10,11},1),"0123456789")))=7),1,0))</f>
        <v/>
      </c>
      <c r="G592">
        <f>IF($F592=1,INDEX({10,12,13,14,15,16,17,18,19,20,21,23,24,25,26,27,28,29,30,31,32,34,35,36,37,38},1,FIND(MID($B592,1,1),"ABCDEFGHIJKLMNOPQRSTUVWXYZ")),"")</f>
        <v/>
      </c>
      <c r="H592">
        <f>IF($F592=1,INDEX({10,12,13,14,15,16,17,18,19,20,21,23,24,25,26,27,28,29,30,31,32,34,35,36,37,38},1,FIND(MID($B592,2,1),"ABCDEFGHIJKLMNOPQRSTUVWXYZ")),"")</f>
        <v/>
      </c>
      <c r="I592">
        <f>IF($F592=1,INDEX({10,12,13,14,15,16,17,18,19,20,21,23,24,25,26,27,28,29,30,31,32,34,35,36,37,38},1,FIND(MID($B592,3,1),"ABCDEFGHIJKLMNOPQRSTUVWXYZ")),"")</f>
        <v/>
      </c>
      <c r="J592">
        <f>IF($F592=1,INDEX({10,12,13,14,15,16,17,18,19,20,21,23,24,25,26,27,28,29,30,31,32,34,35,36,37,38},1,FIND(MID($B592,4,1),"ABCDEFGHIJKLMNOPQRSTUVWXYZ")),"")</f>
        <v/>
      </c>
      <c r="K592">
        <f>IF($F592=1,FIND(MID($B592,5,1),"0123456789")-1,"")</f>
        <v/>
      </c>
      <c r="L592">
        <f>IF($F592=1,FIND(MID($B592,6,1),"0123456789")-1,"")</f>
        <v/>
      </c>
      <c r="M592">
        <f>IF($F592=1,FIND(MID($B592,7,1),"0123456789")-1,"")</f>
        <v/>
      </c>
      <c r="N592">
        <f>IF($F592=1,FIND(MID($B592,8,1),"0123456789")-1,"")</f>
        <v/>
      </c>
      <c r="O592">
        <f>IF($F592=1,FIND(MID($B592,9,1),"0123456789")-1,"")</f>
        <v/>
      </c>
      <c r="P592">
        <f>IF($F592=1,FIND(MID($B592,10,1),"0123456789")-1,"")</f>
        <v/>
      </c>
      <c r="Q592">
        <f>IF($F592=1,SUMPRODUCT($G592:$P592,{1,2,4,8,16,32,64,128,256,512}),"")</f>
        <v/>
      </c>
      <c r="R592">
        <f>IF($F592=1,MOD(MOD($Q592,11),10),"")</f>
        <v/>
      </c>
    </row>
    <row r="593">
      <c r="A593" s="6" t="n"/>
      <c r="B593" s="7">
        <f>IF($A593="","",UPPER(SUBSTITUTE(SUBSTITUTE(SUBSTITUTE(SUBSTITUTE(SUBSTITUTE(SUBSTITUTE($A593," ",""),"-",""),".",""),"/",""),"i","I"),"ı","?")))</f>
        <v/>
      </c>
      <c r="C593" s="8">
        <f>IF($F593=1,$R593,"")</f>
        <v/>
      </c>
      <c r="D593" s="7">
        <f>IF($A593="","",IF($F593=0,"Biçim hatalı",IF(FIND(MID($B593,11,1),"0123456789")-1=$R593,"Geçerli","Kontrol hanesi hatalı (doğrusu: "&amp;$R593&amp;")")))</f>
        <v/>
      </c>
      <c r="F593">
        <f>IF($A593="","",IF(AND(LEN($B593)=11,SUMPRODUCT(--ISNUMBER(FIND(MID($B593,{1,2,3},1),"ABCDEFGHIJKLMNOPQRSTUVWXYZ")))=3,ISNUMBER(FIND(MID($B593,4,1),"UJZ")),SUMPRODUCT(--ISNUMBER(FIND(MID($B593,{5,6,7,8,9,10,11},1),"0123456789")))=7),1,0))</f>
        <v/>
      </c>
      <c r="G593">
        <f>IF($F593=1,INDEX({10,12,13,14,15,16,17,18,19,20,21,23,24,25,26,27,28,29,30,31,32,34,35,36,37,38},1,FIND(MID($B593,1,1),"ABCDEFGHIJKLMNOPQRSTUVWXYZ")),"")</f>
        <v/>
      </c>
      <c r="H593">
        <f>IF($F593=1,INDEX({10,12,13,14,15,16,17,18,19,20,21,23,24,25,26,27,28,29,30,31,32,34,35,36,37,38},1,FIND(MID($B593,2,1),"ABCDEFGHIJKLMNOPQRSTUVWXYZ")),"")</f>
        <v/>
      </c>
      <c r="I593">
        <f>IF($F593=1,INDEX({10,12,13,14,15,16,17,18,19,20,21,23,24,25,26,27,28,29,30,31,32,34,35,36,37,38},1,FIND(MID($B593,3,1),"ABCDEFGHIJKLMNOPQRSTUVWXYZ")),"")</f>
        <v/>
      </c>
      <c r="J593">
        <f>IF($F593=1,INDEX({10,12,13,14,15,16,17,18,19,20,21,23,24,25,26,27,28,29,30,31,32,34,35,36,37,38},1,FIND(MID($B593,4,1),"ABCDEFGHIJKLMNOPQRSTUVWXYZ")),"")</f>
        <v/>
      </c>
      <c r="K593">
        <f>IF($F593=1,FIND(MID($B593,5,1),"0123456789")-1,"")</f>
        <v/>
      </c>
      <c r="L593">
        <f>IF($F593=1,FIND(MID($B593,6,1),"0123456789")-1,"")</f>
        <v/>
      </c>
      <c r="M593">
        <f>IF($F593=1,FIND(MID($B593,7,1),"0123456789")-1,"")</f>
        <v/>
      </c>
      <c r="N593">
        <f>IF($F593=1,FIND(MID($B593,8,1),"0123456789")-1,"")</f>
        <v/>
      </c>
      <c r="O593">
        <f>IF($F593=1,FIND(MID($B593,9,1),"0123456789")-1,"")</f>
        <v/>
      </c>
      <c r="P593">
        <f>IF($F593=1,FIND(MID($B593,10,1),"0123456789")-1,"")</f>
        <v/>
      </c>
      <c r="Q593">
        <f>IF($F593=1,SUMPRODUCT($G593:$P593,{1,2,4,8,16,32,64,128,256,512}),"")</f>
        <v/>
      </c>
      <c r="R593">
        <f>IF($F593=1,MOD(MOD($Q593,11),10),"")</f>
        <v/>
      </c>
    </row>
    <row r="594">
      <c r="A594" s="6" t="n"/>
      <c r="B594" s="7">
        <f>IF($A594="","",UPPER(SUBSTITUTE(SUBSTITUTE(SUBSTITUTE(SUBSTITUTE(SUBSTITUTE(SUBSTITUTE($A594," ",""),"-",""),".",""),"/",""),"i","I"),"ı","?")))</f>
        <v/>
      </c>
      <c r="C594" s="8">
        <f>IF($F594=1,$R594,"")</f>
        <v/>
      </c>
      <c r="D594" s="7">
        <f>IF($A594="","",IF($F594=0,"Biçim hatalı",IF(FIND(MID($B594,11,1),"0123456789")-1=$R594,"Geçerli","Kontrol hanesi hatalı (doğrusu: "&amp;$R594&amp;")")))</f>
        <v/>
      </c>
      <c r="F594">
        <f>IF($A594="","",IF(AND(LEN($B594)=11,SUMPRODUCT(--ISNUMBER(FIND(MID($B594,{1,2,3},1),"ABCDEFGHIJKLMNOPQRSTUVWXYZ")))=3,ISNUMBER(FIND(MID($B594,4,1),"UJZ")),SUMPRODUCT(--ISNUMBER(FIND(MID($B594,{5,6,7,8,9,10,11},1),"0123456789")))=7),1,0))</f>
        <v/>
      </c>
      <c r="G594">
        <f>IF($F594=1,INDEX({10,12,13,14,15,16,17,18,19,20,21,23,24,25,26,27,28,29,30,31,32,34,35,36,37,38},1,FIND(MID($B594,1,1),"ABCDEFGHIJKLMNOPQRSTUVWXYZ")),"")</f>
        <v/>
      </c>
      <c r="H594">
        <f>IF($F594=1,INDEX({10,12,13,14,15,16,17,18,19,20,21,23,24,25,26,27,28,29,30,31,32,34,35,36,37,38},1,FIND(MID($B594,2,1),"ABCDEFGHIJKLMNOPQRSTUVWXYZ")),"")</f>
        <v/>
      </c>
      <c r="I594">
        <f>IF($F594=1,INDEX({10,12,13,14,15,16,17,18,19,20,21,23,24,25,26,27,28,29,30,31,32,34,35,36,37,38},1,FIND(MID($B594,3,1),"ABCDEFGHIJKLMNOPQRSTUVWXYZ")),"")</f>
        <v/>
      </c>
      <c r="J594">
        <f>IF($F594=1,INDEX({10,12,13,14,15,16,17,18,19,20,21,23,24,25,26,27,28,29,30,31,32,34,35,36,37,38},1,FIND(MID($B594,4,1),"ABCDEFGHIJKLMNOPQRSTUVWXYZ")),"")</f>
        <v/>
      </c>
      <c r="K594">
        <f>IF($F594=1,FIND(MID($B594,5,1),"0123456789")-1,"")</f>
        <v/>
      </c>
      <c r="L594">
        <f>IF($F594=1,FIND(MID($B594,6,1),"0123456789")-1,"")</f>
        <v/>
      </c>
      <c r="M594">
        <f>IF($F594=1,FIND(MID($B594,7,1),"0123456789")-1,"")</f>
        <v/>
      </c>
      <c r="N594">
        <f>IF($F594=1,FIND(MID($B594,8,1),"0123456789")-1,"")</f>
        <v/>
      </c>
      <c r="O594">
        <f>IF($F594=1,FIND(MID($B594,9,1),"0123456789")-1,"")</f>
        <v/>
      </c>
      <c r="P594">
        <f>IF($F594=1,FIND(MID($B594,10,1),"0123456789")-1,"")</f>
        <v/>
      </c>
      <c r="Q594">
        <f>IF($F594=1,SUMPRODUCT($G594:$P594,{1,2,4,8,16,32,64,128,256,512}),"")</f>
        <v/>
      </c>
      <c r="R594">
        <f>IF($F594=1,MOD(MOD($Q594,11),10),"")</f>
        <v/>
      </c>
    </row>
    <row r="595">
      <c r="A595" s="6" t="n"/>
      <c r="B595" s="7">
        <f>IF($A595="","",UPPER(SUBSTITUTE(SUBSTITUTE(SUBSTITUTE(SUBSTITUTE(SUBSTITUTE(SUBSTITUTE($A595," ",""),"-",""),".",""),"/",""),"i","I"),"ı","?")))</f>
        <v/>
      </c>
      <c r="C595" s="8">
        <f>IF($F595=1,$R595,"")</f>
        <v/>
      </c>
      <c r="D595" s="7">
        <f>IF($A595="","",IF($F595=0,"Biçim hatalı",IF(FIND(MID($B595,11,1),"0123456789")-1=$R595,"Geçerli","Kontrol hanesi hatalı (doğrusu: "&amp;$R595&amp;")")))</f>
        <v/>
      </c>
      <c r="F595">
        <f>IF($A595="","",IF(AND(LEN($B595)=11,SUMPRODUCT(--ISNUMBER(FIND(MID($B595,{1,2,3},1),"ABCDEFGHIJKLMNOPQRSTUVWXYZ")))=3,ISNUMBER(FIND(MID($B595,4,1),"UJZ")),SUMPRODUCT(--ISNUMBER(FIND(MID($B595,{5,6,7,8,9,10,11},1),"0123456789")))=7),1,0))</f>
        <v/>
      </c>
      <c r="G595">
        <f>IF($F595=1,INDEX({10,12,13,14,15,16,17,18,19,20,21,23,24,25,26,27,28,29,30,31,32,34,35,36,37,38},1,FIND(MID($B595,1,1),"ABCDEFGHIJKLMNOPQRSTUVWXYZ")),"")</f>
        <v/>
      </c>
      <c r="H595">
        <f>IF($F595=1,INDEX({10,12,13,14,15,16,17,18,19,20,21,23,24,25,26,27,28,29,30,31,32,34,35,36,37,38},1,FIND(MID($B595,2,1),"ABCDEFGHIJKLMNOPQRSTUVWXYZ")),"")</f>
        <v/>
      </c>
      <c r="I595">
        <f>IF($F595=1,INDEX({10,12,13,14,15,16,17,18,19,20,21,23,24,25,26,27,28,29,30,31,32,34,35,36,37,38},1,FIND(MID($B595,3,1),"ABCDEFGHIJKLMNOPQRSTUVWXYZ")),"")</f>
        <v/>
      </c>
      <c r="J595">
        <f>IF($F595=1,INDEX({10,12,13,14,15,16,17,18,19,20,21,23,24,25,26,27,28,29,30,31,32,34,35,36,37,38},1,FIND(MID($B595,4,1),"ABCDEFGHIJKLMNOPQRSTUVWXYZ")),"")</f>
        <v/>
      </c>
      <c r="K595">
        <f>IF($F595=1,FIND(MID($B595,5,1),"0123456789")-1,"")</f>
        <v/>
      </c>
      <c r="L595">
        <f>IF($F595=1,FIND(MID($B595,6,1),"0123456789")-1,"")</f>
        <v/>
      </c>
      <c r="M595">
        <f>IF($F595=1,FIND(MID($B595,7,1),"0123456789")-1,"")</f>
        <v/>
      </c>
      <c r="N595">
        <f>IF($F595=1,FIND(MID($B595,8,1),"0123456789")-1,"")</f>
        <v/>
      </c>
      <c r="O595">
        <f>IF($F595=1,FIND(MID($B595,9,1),"0123456789")-1,"")</f>
        <v/>
      </c>
      <c r="P595">
        <f>IF($F595=1,FIND(MID($B595,10,1),"0123456789")-1,"")</f>
        <v/>
      </c>
      <c r="Q595">
        <f>IF($F595=1,SUMPRODUCT($G595:$P595,{1,2,4,8,16,32,64,128,256,512}),"")</f>
        <v/>
      </c>
      <c r="R595">
        <f>IF($F595=1,MOD(MOD($Q595,11),10),"")</f>
        <v/>
      </c>
    </row>
    <row r="596">
      <c r="A596" s="6" t="n"/>
      <c r="B596" s="7">
        <f>IF($A596="","",UPPER(SUBSTITUTE(SUBSTITUTE(SUBSTITUTE(SUBSTITUTE(SUBSTITUTE(SUBSTITUTE($A596," ",""),"-",""),".",""),"/",""),"i","I"),"ı","?")))</f>
        <v/>
      </c>
      <c r="C596" s="8">
        <f>IF($F596=1,$R596,"")</f>
        <v/>
      </c>
      <c r="D596" s="7">
        <f>IF($A596="","",IF($F596=0,"Biçim hatalı",IF(FIND(MID($B596,11,1),"0123456789")-1=$R596,"Geçerli","Kontrol hanesi hatalı (doğrusu: "&amp;$R596&amp;")")))</f>
        <v/>
      </c>
      <c r="F596">
        <f>IF($A596="","",IF(AND(LEN($B596)=11,SUMPRODUCT(--ISNUMBER(FIND(MID($B596,{1,2,3},1),"ABCDEFGHIJKLMNOPQRSTUVWXYZ")))=3,ISNUMBER(FIND(MID($B596,4,1),"UJZ")),SUMPRODUCT(--ISNUMBER(FIND(MID($B596,{5,6,7,8,9,10,11},1),"0123456789")))=7),1,0))</f>
        <v/>
      </c>
      <c r="G596">
        <f>IF($F596=1,INDEX({10,12,13,14,15,16,17,18,19,20,21,23,24,25,26,27,28,29,30,31,32,34,35,36,37,38},1,FIND(MID($B596,1,1),"ABCDEFGHIJKLMNOPQRSTUVWXYZ")),"")</f>
        <v/>
      </c>
      <c r="H596">
        <f>IF($F596=1,INDEX({10,12,13,14,15,16,17,18,19,20,21,23,24,25,26,27,28,29,30,31,32,34,35,36,37,38},1,FIND(MID($B596,2,1),"ABCDEFGHIJKLMNOPQRSTUVWXYZ")),"")</f>
        <v/>
      </c>
      <c r="I596">
        <f>IF($F596=1,INDEX({10,12,13,14,15,16,17,18,19,20,21,23,24,25,26,27,28,29,30,31,32,34,35,36,37,38},1,FIND(MID($B596,3,1),"ABCDEFGHIJKLMNOPQRSTUVWXYZ")),"")</f>
        <v/>
      </c>
      <c r="J596">
        <f>IF($F596=1,INDEX({10,12,13,14,15,16,17,18,19,20,21,23,24,25,26,27,28,29,30,31,32,34,35,36,37,38},1,FIND(MID($B596,4,1),"ABCDEFGHIJKLMNOPQRSTUVWXYZ")),"")</f>
        <v/>
      </c>
      <c r="K596">
        <f>IF($F596=1,FIND(MID($B596,5,1),"0123456789")-1,"")</f>
        <v/>
      </c>
      <c r="L596">
        <f>IF($F596=1,FIND(MID($B596,6,1),"0123456789")-1,"")</f>
        <v/>
      </c>
      <c r="M596">
        <f>IF($F596=1,FIND(MID($B596,7,1),"0123456789")-1,"")</f>
        <v/>
      </c>
      <c r="N596">
        <f>IF($F596=1,FIND(MID($B596,8,1),"0123456789")-1,"")</f>
        <v/>
      </c>
      <c r="O596">
        <f>IF($F596=1,FIND(MID($B596,9,1),"0123456789")-1,"")</f>
        <v/>
      </c>
      <c r="P596">
        <f>IF($F596=1,FIND(MID($B596,10,1),"0123456789")-1,"")</f>
        <v/>
      </c>
      <c r="Q596">
        <f>IF($F596=1,SUMPRODUCT($G596:$P596,{1,2,4,8,16,32,64,128,256,512}),"")</f>
        <v/>
      </c>
      <c r="R596">
        <f>IF($F596=1,MOD(MOD($Q596,11),10),"")</f>
        <v/>
      </c>
    </row>
    <row r="597">
      <c r="A597" s="6" t="n"/>
      <c r="B597" s="7">
        <f>IF($A597="","",UPPER(SUBSTITUTE(SUBSTITUTE(SUBSTITUTE(SUBSTITUTE(SUBSTITUTE(SUBSTITUTE($A597," ",""),"-",""),".",""),"/",""),"i","I"),"ı","?")))</f>
        <v/>
      </c>
      <c r="C597" s="8">
        <f>IF($F597=1,$R597,"")</f>
        <v/>
      </c>
      <c r="D597" s="7">
        <f>IF($A597="","",IF($F597=0,"Biçim hatalı",IF(FIND(MID($B597,11,1),"0123456789")-1=$R597,"Geçerli","Kontrol hanesi hatalı (doğrusu: "&amp;$R597&amp;")")))</f>
        <v/>
      </c>
      <c r="F597">
        <f>IF($A597="","",IF(AND(LEN($B597)=11,SUMPRODUCT(--ISNUMBER(FIND(MID($B597,{1,2,3},1),"ABCDEFGHIJKLMNOPQRSTUVWXYZ")))=3,ISNUMBER(FIND(MID($B597,4,1),"UJZ")),SUMPRODUCT(--ISNUMBER(FIND(MID($B597,{5,6,7,8,9,10,11},1),"0123456789")))=7),1,0))</f>
        <v/>
      </c>
      <c r="G597">
        <f>IF($F597=1,INDEX({10,12,13,14,15,16,17,18,19,20,21,23,24,25,26,27,28,29,30,31,32,34,35,36,37,38},1,FIND(MID($B597,1,1),"ABCDEFGHIJKLMNOPQRSTUVWXYZ")),"")</f>
        <v/>
      </c>
      <c r="H597">
        <f>IF($F597=1,INDEX({10,12,13,14,15,16,17,18,19,20,21,23,24,25,26,27,28,29,30,31,32,34,35,36,37,38},1,FIND(MID($B597,2,1),"ABCDEFGHIJKLMNOPQRSTUVWXYZ")),"")</f>
        <v/>
      </c>
      <c r="I597">
        <f>IF($F597=1,INDEX({10,12,13,14,15,16,17,18,19,20,21,23,24,25,26,27,28,29,30,31,32,34,35,36,37,38},1,FIND(MID($B597,3,1),"ABCDEFGHIJKLMNOPQRSTUVWXYZ")),"")</f>
        <v/>
      </c>
      <c r="J597">
        <f>IF($F597=1,INDEX({10,12,13,14,15,16,17,18,19,20,21,23,24,25,26,27,28,29,30,31,32,34,35,36,37,38},1,FIND(MID($B597,4,1),"ABCDEFGHIJKLMNOPQRSTUVWXYZ")),"")</f>
        <v/>
      </c>
      <c r="K597">
        <f>IF($F597=1,FIND(MID($B597,5,1),"0123456789")-1,"")</f>
        <v/>
      </c>
      <c r="L597">
        <f>IF($F597=1,FIND(MID($B597,6,1),"0123456789")-1,"")</f>
        <v/>
      </c>
      <c r="M597">
        <f>IF($F597=1,FIND(MID($B597,7,1),"0123456789")-1,"")</f>
        <v/>
      </c>
      <c r="N597">
        <f>IF($F597=1,FIND(MID($B597,8,1),"0123456789")-1,"")</f>
        <v/>
      </c>
      <c r="O597">
        <f>IF($F597=1,FIND(MID($B597,9,1),"0123456789")-1,"")</f>
        <v/>
      </c>
      <c r="P597">
        <f>IF($F597=1,FIND(MID($B597,10,1),"0123456789")-1,"")</f>
        <v/>
      </c>
      <c r="Q597">
        <f>IF($F597=1,SUMPRODUCT($G597:$P597,{1,2,4,8,16,32,64,128,256,512}),"")</f>
        <v/>
      </c>
      <c r="R597">
        <f>IF($F597=1,MOD(MOD($Q597,11),10),"")</f>
        <v/>
      </c>
    </row>
    <row r="598">
      <c r="A598" s="6" t="n"/>
      <c r="B598" s="7">
        <f>IF($A598="","",UPPER(SUBSTITUTE(SUBSTITUTE(SUBSTITUTE(SUBSTITUTE(SUBSTITUTE(SUBSTITUTE($A598," ",""),"-",""),".",""),"/",""),"i","I"),"ı","?")))</f>
        <v/>
      </c>
      <c r="C598" s="8">
        <f>IF($F598=1,$R598,"")</f>
        <v/>
      </c>
      <c r="D598" s="7">
        <f>IF($A598="","",IF($F598=0,"Biçim hatalı",IF(FIND(MID($B598,11,1),"0123456789")-1=$R598,"Geçerli","Kontrol hanesi hatalı (doğrusu: "&amp;$R598&amp;")")))</f>
        <v/>
      </c>
      <c r="F598">
        <f>IF($A598="","",IF(AND(LEN($B598)=11,SUMPRODUCT(--ISNUMBER(FIND(MID($B598,{1,2,3},1),"ABCDEFGHIJKLMNOPQRSTUVWXYZ")))=3,ISNUMBER(FIND(MID($B598,4,1),"UJZ")),SUMPRODUCT(--ISNUMBER(FIND(MID($B598,{5,6,7,8,9,10,11},1),"0123456789")))=7),1,0))</f>
        <v/>
      </c>
      <c r="G598">
        <f>IF($F598=1,INDEX({10,12,13,14,15,16,17,18,19,20,21,23,24,25,26,27,28,29,30,31,32,34,35,36,37,38},1,FIND(MID($B598,1,1),"ABCDEFGHIJKLMNOPQRSTUVWXYZ")),"")</f>
        <v/>
      </c>
      <c r="H598">
        <f>IF($F598=1,INDEX({10,12,13,14,15,16,17,18,19,20,21,23,24,25,26,27,28,29,30,31,32,34,35,36,37,38},1,FIND(MID($B598,2,1),"ABCDEFGHIJKLMNOPQRSTUVWXYZ")),"")</f>
        <v/>
      </c>
      <c r="I598">
        <f>IF($F598=1,INDEX({10,12,13,14,15,16,17,18,19,20,21,23,24,25,26,27,28,29,30,31,32,34,35,36,37,38},1,FIND(MID($B598,3,1),"ABCDEFGHIJKLMNOPQRSTUVWXYZ")),"")</f>
        <v/>
      </c>
      <c r="J598">
        <f>IF($F598=1,INDEX({10,12,13,14,15,16,17,18,19,20,21,23,24,25,26,27,28,29,30,31,32,34,35,36,37,38},1,FIND(MID($B598,4,1),"ABCDEFGHIJKLMNOPQRSTUVWXYZ")),"")</f>
        <v/>
      </c>
      <c r="K598">
        <f>IF($F598=1,FIND(MID($B598,5,1),"0123456789")-1,"")</f>
        <v/>
      </c>
      <c r="L598">
        <f>IF($F598=1,FIND(MID($B598,6,1),"0123456789")-1,"")</f>
        <v/>
      </c>
      <c r="M598">
        <f>IF($F598=1,FIND(MID($B598,7,1),"0123456789")-1,"")</f>
        <v/>
      </c>
      <c r="N598">
        <f>IF($F598=1,FIND(MID($B598,8,1),"0123456789")-1,"")</f>
        <v/>
      </c>
      <c r="O598">
        <f>IF($F598=1,FIND(MID($B598,9,1),"0123456789")-1,"")</f>
        <v/>
      </c>
      <c r="P598">
        <f>IF($F598=1,FIND(MID($B598,10,1),"0123456789")-1,"")</f>
        <v/>
      </c>
      <c r="Q598">
        <f>IF($F598=1,SUMPRODUCT($G598:$P598,{1,2,4,8,16,32,64,128,256,512}),"")</f>
        <v/>
      </c>
      <c r="R598">
        <f>IF($F598=1,MOD(MOD($Q598,11),10),"")</f>
        <v/>
      </c>
    </row>
    <row r="599">
      <c r="A599" s="6" t="n"/>
      <c r="B599" s="7">
        <f>IF($A599="","",UPPER(SUBSTITUTE(SUBSTITUTE(SUBSTITUTE(SUBSTITUTE(SUBSTITUTE(SUBSTITUTE($A599," ",""),"-",""),".",""),"/",""),"i","I"),"ı","?")))</f>
        <v/>
      </c>
      <c r="C599" s="8">
        <f>IF($F599=1,$R599,"")</f>
        <v/>
      </c>
      <c r="D599" s="7">
        <f>IF($A599="","",IF($F599=0,"Biçim hatalı",IF(FIND(MID($B599,11,1),"0123456789")-1=$R599,"Geçerli","Kontrol hanesi hatalı (doğrusu: "&amp;$R599&amp;")")))</f>
        <v/>
      </c>
      <c r="F599">
        <f>IF($A599="","",IF(AND(LEN($B599)=11,SUMPRODUCT(--ISNUMBER(FIND(MID($B599,{1,2,3},1),"ABCDEFGHIJKLMNOPQRSTUVWXYZ")))=3,ISNUMBER(FIND(MID($B599,4,1),"UJZ")),SUMPRODUCT(--ISNUMBER(FIND(MID($B599,{5,6,7,8,9,10,11},1),"0123456789")))=7),1,0))</f>
        <v/>
      </c>
      <c r="G599">
        <f>IF($F599=1,INDEX({10,12,13,14,15,16,17,18,19,20,21,23,24,25,26,27,28,29,30,31,32,34,35,36,37,38},1,FIND(MID($B599,1,1),"ABCDEFGHIJKLMNOPQRSTUVWXYZ")),"")</f>
        <v/>
      </c>
      <c r="H599">
        <f>IF($F599=1,INDEX({10,12,13,14,15,16,17,18,19,20,21,23,24,25,26,27,28,29,30,31,32,34,35,36,37,38},1,FIND(MID($B599,2,1),"ABCDEFGHIJKLMNOPQRSTUVWXYZ")),"")</f>
        <v/>
      </c>
      <c r="I599">
        <f>IF($F599=1,INDEX({10,12,13,14,15,16,17,18,19,20,21,23,24,25,26,27,28,29,30,31,32,34,35,36,37,38},1,FIND(MID($B599,3,1),"ABCDEFGHIJKLMNOPQRSTUVWXYZ")),"")</f>
        <v/>
      </c>
      <c r="J599">
        <f>IF($F599=1,INDEX({10,12,13,14,15,16,17,18,19,20,21,23,24,25,26,27,28,29,30,31,32,34,35,36,37,38},1,FIND(MID($B599,4,1),"ABCDEFGHIJKLMNOPQRSTUVWXYZ")),"")</f>
        <v/>
      </c>
      <c r="K599">
        <f>IF($F599=1,FIND(MID($B599,5,1),"0123456789")-1,"")</f>
        <v/>
      </c>
      <c r="L599">
        <f>IF($F599=1,FIND(MID($B599,6,1),"0123456789")-1,"")</f>
        <v/>
      </c>
      <c r="M599">
        <f>IF($F599=1,FIND(MID($B599,7,1),"0123456789")-1,"")</f>
        <v/>
      </c>
      <c r="N599">
        <f>IF($F599=1,FIND(MID($B599,8,1),"0123456789")-1,"")</f>
        <v/>
      </c>
      <c r="O599">
        <f>IF($F599=1,FIND(MID($B599,9,1),"0123456789")-1,"")</f>
        <v/>
      </c>
      <c r="P599">
        <f>IF($F599=1,FIND(MID($B599,10,1),"0123456789")-1,"")</f>
        <v/>
      </c>
      <c r="Q599">
        <f>IF($F599=1,SUMPRODUCT($G599:$P599,{1,2,4,8,16,32,64,128,256,512}),"")</f>
        <v/>
      </c>
      <c r="R599">
        <f>IF($F599=1,MOD(MOD($Q599,11),10),"")</f>
        <v/>
      </c>
    </row>
    <row r="600">
      <c r="A600" s="6" t="n"/>
      <c r="B600" s="7">
        <f>IF($A600="","",UPPER(SUBSTITUTE(SUBSTITUTE(SUBSTITUTE(SUBSTITUTE(SUBSTITUTE(SUBSTITUTE($A600," ",""),"-",""),".",""),"/",""),"i","I"),"ı","?")))</f>
        <v/>
      </c>
      <c r="C600" s="8">
        <f>IF($F600=1,$R600,"")</f>
        <v/>
      </c>
      <c r="D600" s="7">
        <f>IF($A600="","",IF($F600=0,"Biçim hatalı",IF(FIND(MID($B600,11,1),"0123456789")-1=$R600,"Geçerli","Kontrol hanesi hatalı (doğrusu: "&amp;$R600&amp;")")))</f>
        <v/>
      </c>
      <c r="F600">
        <f>IF($A600="","",IF(AND(LEN($B600)=11,SUMPRODUCT(--ISNUMBER(FIND(MID($B600,{1,2,3},1),"ABCDEFGHIJKLMNOPQRSTUVWXYZ")))=3,ISNUMBER(FIND(MID($B600,4,1),"UJZ")),SUMPRODUCT(--ISNUMBER(FIND(MID($B600,{5,6,7,8,9,10,11},1),"0123456789")))=7),1,0))</f>
        <v/>
      </c>
      <c r="G600">
        <f>IF($F600=1,INDEX({10,12,13,14,15,16,17,18,19,20,21,23,24,25,26,27,28,29,30,31,32,34,35,36,37,38},1,FIND(MID($B600,1,1),"ABCDEFGHIJKLMNOPQRSTUVWXYZ")),"")</f>
        <v/>
      </c>
      <c r="H600">
        <f>IF($F600=1,INDEX({10,12,13,14,15,16,17,18,19,20,21,23,24,25,26,27,28,29,30,31,32,34,35,36,37,38},1,FIND(MID($B600,2,1),"ABCDEFGHIJKLMNOPQRSTUVWXYZ")),"")</f>
        <v/>
      </c>
      <c r="I600">
        <f>IF($F600=1,INDEX({10,12,13,14,15,16,17,18,19,20,21,23,24,25,26,27,28,29,30,31,32,34,35,36,37,38},1,FIND(MID($B600,3,1),"ABCDEFGHIJKLMNOPQRSTUVWXYZ")),"")</f>
        <v/>
      </c>
      <c r="J600">
        <f>IF($F600=1,INDEX({10,12,13,14,15,16,17,18,19,20,21,23,24,25,26,27,28,29,30,31,32,34,35,36,37,38},1,FIND(MID($B600,4,1),"ABCDEFGHIJKLMNOPQRSTUVWXYZ")),"")</f>
        <v/>
      </c>
      <c r="K600">
        <f>IF($F600=1,FIND(MID($B600,5,1),"0123456789")-1,"")</f>
        <v/>
      </c>
      <c r="L600">
        <f>IF($F600=1,FIND(MID($B600,6,1),"0123456789")-1,"")</f>
        <v/>
      </c>
      <c r="M600">
        <f>IF($F600=1,FIND(MID($B600,7,1),"0123456789")-1,"")</f>
        <v/>
      </c>
      <c r="N600">
        <f>IF($F600=1,FIND(MID($B600,8,1),"0123456789")-1,"")</f>
        <v/>
      </c>
      <c r="O600">
        <f>IF($F600=1,FIND(MID($B600,9,1),"0123456789")-1,"")</f>
        <v/>
      </c>
      <c r="P600">
        <f>IF($F600=1,FIND(MID($B600,10,1),"0123456789")-1,"")</f>
        <v/>
      </c>
      <c r="Q600">
        <f>IF($F600=1,SUMPRODUCT($G600:$P600,{1,2,4,8,16,32,64,128,256,512}),"")</f>
        <v/>
      </c>
      <c r="R600">
        <f>IF($F600=1,MOD(MOD($Q600,11),10),"")</f>
        <v/>
      </c>
    </row>
    <row r="601">
      <c r="A601" s="6" t="n"/>
      <c r="B601" s="7">
        <f>IF($A601="","",UPPER(SUBSTITUTE(SUBSTITUTE(SUBSTITUTE(SUBSTITUTE(SUBSTITUTE(SUBSTITUTE($A601," ",""),"-",""),".",""),"/",""),"i","I"),"ı","?")))</f>
        <v/>
      </c>
      <c r="C601" s="8">
        <f>IF($F601=1,$R601,"")</f>
        <v/>
      </c>
      <c r="D601" s="7">
        <f>IF($A601="","",IF($F601=0,"Biçim hatalı",IF(FIND(MID($B601,11,1),"0123456789")-1=$R601,"Geçerli","Kontrol hanesi hatalı (doğrusu: "&amp;$R601&amp;")")))</f>
        <v/>
      </c>
      <c r="F601">
        <f>IF($A601="","",IF(AND(LEN($B601)=11,SUMPRODUCT(--ISNUMBER(FIND(MID($B601,{1,2,3},1),"ABCDEFGHIJKLMNOPQRSTUVWXYZ")))=3,ISNUMBER(FIND(MID($B601,4,1),"UJZ")),SUMPRODUCT(--ISNUMBER(FIND(MID($B601,{5,6,7,8,9,10,11},1),"0123456789")))=7),1,0))</f>
        <v/>
      </c>
      <c r="G601">
        <f>IF($F601=1,INDEX({10,12,13,14,15,16,17,18,19,20,21,23,24,25,26,27,28,29,30,31,32,34,35,36,37,38},1,FIND(MID($B601,1,1),"ABCDEFGHIJKLMNOPQRSTUVWXYZ")),"")</f>
        <v/>
      </c>
      <c r="H601">
        <f>IF($F601=1,INDEX({10,12,13,14,15,16,17,18,19,20,21,23,24,25,26,27,28,29,30,31,32,34,35,36,37,38},1,FIND(MID($B601,2,1),"ABCDEFGHIJKLMNOPQRSTUVWXYZ")),"")</f>
        <v/>
      </c>
      <c r="I601">
        <f>IF($F601=1,INDEX({10,12,13,14,15,16,17,18,19,20,21,23,24,25,26,27,28,29,30,31,32,34,35,36,37,38},1,FIND(MID($B601,3,1),"ABCDEFGHIJKLMNOPQRSTUVWXYZ")),"")</f>
        <v/>
      </c>
      <c r="J601">
        <f>IF($F601=1,INDEX({10,12,13,14,15,16,17,18,19,20,21,23,24,25,26,27,28,29,30,31,32,34,35,36,37,38},1,FIND(MID($B601,4,1),"ABCDEFGHIJKLMNOPQRSTUVWXYZ")),"")</f>
        <v/>
      </c>
      <c r="K601">
        <f>IF($F601=1,FIND(MID($B601,5,1),"0123456789")-1,"")</f>
        <v/>
      </c>
      <c r="L601">
        <f>IF($F601=1,FIND(MID($B601,6,1),"0123456789")-1,"")</f>
        <v/>
      </c>
      <c r="M601">
        <f>IF($F601=1,FIND(MID($B601,7,1),"0123456789")-1,"")</f>
        <v/>
      </c>
      <c r="N601">
        <f>IF($F601=1,FIND(MID($B601,8,1),"0123456789")-1,"")</f>
        <v/>
      </c>
      <c r="O601">
        <f>IF($F601=1,FIND(MID($B601,9,1),"0123456789")-1,"")</f>
        <v/>
      </c>
      <c r="P601">
        <f>IF($F601=1,FIND(MID($B601,10,1),"0123456789")-1,"")</f>
        <v/>
      </c>
      <c r="Q601">
        <f>IF($F601=1,SUMPRODUCT($G601:$P601,{1,2,4,8,16,32,64,128,256,512}),"")</f>
        <v/>
      </c>
      <c r="R601">
        <f>IF($F601=1,MOD(MOD($Q601,11),10),"")</f>
        <v/>
      </c>
    </row>
    <row r="602">
      <c r="A602" s="6" t="n"/>
      <c r="B602" s="7">
        <f>IF($A602="","",UPPER(SUBSTITUTE(SUBSTITUTE(SUBSTITUTE(SUBSTITUTE(SUBSTITUTE(SUBSTITUTE($A602," ",""),"-",""),".",""),"/",""),"i","I"),"ı","?")))</f>
        <v/>
      </c>
      <c r="C602" s="8">
        <f>IF($F602=1,$R602,"")</f>
        <v/>
      </c>
      <c r="D602" s="7">
        <f>IF($A602="","",IF($F602=0,"Biçim hatalı",IF(FIND(MID($B602,11,1),"0123456789")-1=$R602,"Geçerli","Kontrol hanesi hatalı (doğrusu: "&amp;$R602&amp;")")))</f>
        <v/>
      </c>
      <c r="F602">
        <f>IF($A602="","",IF(AND(LEN($B602)=11,SUMPRODUCT(--ISNUMBER(FIND(MID($B602,{1,2,3},1),"ABCDEFGHIJKLMNOPQRSTUVWXYZ")))=3,ISNUMBER(FIND(MID($B602,4,1),"UJZ")),SUMPRODUCT(--ISNUMBER(FIND(MID($B602,{5,6,7,8,9,10,11},1),"0123456789")))=7),1,0))</f>
        <v/>
      </c>
      <c r="G602">
        <f>IF($F602=1,INDEX({10,12,13,14,15,16,17,18,19,20,21,23,24,25,26,27,28,29,30,31,32,34,35,36,37,38},1,FIND(MID($B602,1,1),"ABCDEFGHIJKLMNOPQRSTUVWXYZ")),"")</f>
        <v/>
      </c>
      <c r="H602">
        <f>IF($F602=1,INDEX({10,12,13,14,15,16,17,18,19,20,21,23,24,25,26,27,28,29,30,31,32,34,35,36,37,38},1,FIND(MID($B602,2,1),"ABCDEFGHIJKLMNOPQRSTUVWXYZ")),"")</f>
        <v/>
      </c>
      <c r="I602">
        <f>IF($F602=1,INDEX({10,12,13,14,15,16,17,18,19,20,21,23,24,25,26,27,28,29,30,31,32,34,35,36,37,38},1,FIND(MID($B602,3,1),"ABCDEFGHIJKLMNOPQRSTUVWXYZ")),"")</f>
        <v/>
      </c>
      <c r="J602">
        <f>IF($F602=1,INDEX({10,12,13,14,15,16,17,18,19,20,21,23,24,25,26,27,28,29,30,31,32,34,35,36,37,38},1,FIND(MID($B602,4,1),"ABCDEFGHIJKLMNOPQRSTUVWXYZ")),"")</f>
        <v/>
      </c>
      <c r="K602">
        <f>IF($F602=1,FIND(MID($B602,5,1),"0123456789")-1,"")</f>
        <v/>
      </c>
      <c r="L602">
        <f>IF($F602=1,FIND(MID($B602,6,1),"0123456789")-1,"")</f>
        <v/>
      </c>
      <c r="M602">
        <f>IF($F602=1,FIND(MID($B602,7,1),"0123456789")-1,"")</f>
        <v/>
      </c>
      <c r="N602">
        <f>IF($F602=1,FIND(MID($B602,8,1),"0123456789")-1,"")</f>
        <v/>
      </c>
      <c r="O602">
        <f>IF($F602=1,FIND(MID($B602,9,1),"0123456789")-1,"")</f>
        <v/>
      </c>
      <c r="P602">
        <f>IF($F602=1,FIND(MID($B602,10,1),"0123456789")-1,"")</f>
        <v/>
      </c>
      <c r="Q602">
        <f>IF($F602=1,SUMPRODUCT($G602:$P602,{1,2,4,8,16,32,64,128,256,512}),"")</f>
        <v/>
      </c>
      <c r="R602">
        <f>IF($F602=1,MOD(MOD($Q602,11),10),"")</f>
        <v/>
      </c>
    </row>
    <row r="603">
      <c r="A603" s="6" t="n"/>
      <c r="B603" s="7">
        <f>IF($A603="","",UPPER(SUBSTITUTE(SUBSTITUTE(SUBSTITUTE(SUBSTITUTE(SUBSTITUTE(SUBSTITUTE($A603," ",""),"-",""),".",""),"/",""),"i","I"),"ı","?")))</f>
        <v/>
      </c>
      <c r="C603" s="8">
        <f>IF($F603=1,$R603,"")</f>
        <v/>
      </c>
      <c r="D603" s="7">
        <f>IF($A603="","",IF($F603=0,"Biçim hatalı",IF(FIND(MID($B603,11,1),"0123456789")-1=$R603,"Geçerli","Kontrol hanesi hatalı (doğrusu: "&amp;$R603&amp;")")))</f>
        <v/>
      </c>
      <c r="F603">
        <f>IF($A603="","",IF(AND(LEN($B603)=11,SUMPRODUCT(--ISNUMBER(FIND(MID($B603,{1,2,3},1),"ABCDEFGHIJKLMNOPQRSTUVWXYZ")))=3,ISNUMBER(FIND(MID($B603,4,1),"UJZ")),SUMPRODUCT(--ISNUMBER(FIND(MID($B603,{5,6,7,8,9,10,11},1),"0123456789")))=7),1,0))</f>
        <v/>
      </c>
      <c r="G603">
        <f>IF($F603=1,INDEX({10,12,13,14,15,16,17,18,19,20,21,23,24,25,26,27,28,29,30,31,32,34,35,36,37,38},1,FIND(MID($B603,1,1),"ABCDEFGHIJKLMNOPQRSTUVWXYZ")),"")</f>
        <v/>
      </c>
      <c r="H603">
        <f>IF($F603=1,INDEX({10,12,13,14,15,16,17,18,19,20,21,23,24,25,26,27,28,29,30,31,32,34,35,36,37,38},1,FIND(MID($B603,2,1),"ABCDEFGHIJKLMNOPQRSTUVWXYZ")),"")</f>
        <v/>
      </c>
      <c r="I603">
        <f>IF($F603=1,INDEX({10,12,13,14,15,16,17,18,19,20,21,23,24,25,26,27,28,29,30,31,32,34,35,36,37,38},1,FIND(MID($B603,3,1),"ABCDEFGHIJKLMNOPQRSTUVWXYZ")),"")</f>
        <v/>
      </c>
      <c r="J603">
        <f>IF($F603=1,INDEX({10,12,13,14,15,16,17,18,19,20,21,23,24,25,26,27,28,29,30,31,32,34,35,36,37,38},1,FIND(MID($B603,4,1),"ABCDEFGHIJKLMNOPQRSTUVWXYZ")),"")</f>
        <v/>
      </c>
      <c r="K603">
        <f>IF($F603=1,FIND(MID($B603,5,1),"0123456789")-1,"")</f>
        <v/>
      </c>
      <c r="L603">
        <f>IF($F603=1,FIND(MID($B603,6,1),"0123456789")-1,"")</f>
        <v/>
      </c>
      <c r="M603">
        <f>IF($F603=1,FIND(MID($B603,7,1),"0123456789")-1,"")</f>
        <v/>
      </c>
      <c r="N603">
        <f>IF($F603=1,FIND(MID($B603,8,1),"0123456789")-1,"")</f>
        <v/>
      </c>
      <c r="O603">
        <f>IF($F603=1,FIND(MID($B603,9,1),"0123456789")-1,"")</f>
        <v/>
      </c>
      <c r="P603">
        <f>IF($F603=1,FIND(MID($B603,10,1),"0123456789")-1,"")</f>
        <v/>
      </c>
      <c r="Q603">
        <f>IF($F603=1,SUMPRODUCT($G603:$P603,{1,2,4,8,16,32,64,128,256,512}),"")</f>
        <v/>
      </c>
      <c r="R603">
        <f>IF($F603=1,MOD(MOD($Q603,11),10),"")</f>
        <v/>
      </c>
    </row>
    <row r="604">
      <c r="A604" s="6" t="n"/>
      <c r="B604" s="7">
        <f>IF($A604="","",UPPER(SUBSTITUTE(SUBSTITUTE(SUBSTITUTE(SUBSTITUTE(SUBSTITUTE(SUBSTITUTE($A604," ",""),"-",""),".",""),"/",""),"i","I"),"ı","?")))</f>
        <v/>
      </c>
      <c r="C604" s="8">
        <f>IF($F604=1,$R604,"")</f>
        <v/>
      </c>
      <c r="D604" s="7">
        <f>IF($A604="","",IF($F604=0,"Biçim hatalı",IF(FIND(MID($B604,11,1),"0123456789")-1=$R604,"Geçerli","Kontrol hanesi hatalı (doğrusu: "&amp;$R604&amp;")")))</f>
        <v/>
      </c>
      <c r="F604">
        <f>IF($A604="","",IF(AND(LEN($B604)=11,SUMPRODUCT(--ISNUMBER(FIND(MID($B604,{1,2,3},1),"ABCDEFGHIJKLMNOPQRSTUVWXYZ")))=3,ISNUMBER(FIND(MID($B604,4,1),"UJZ")),SUMPRODUCT(--ISNUMBER(FIND(MID($B604,{5,6,7,8,9,10,11},1),"0123456789")))=7),1,0))</f>
        <v/>
      </c>
      <c r="G604">
        <f>IF($F604=1,INDEX({10,12,13,14,15,16,17,18,19,20,21,23,24,25,26,27,28,29,30,31,32,34,35,36,37,38},1,FIND(MID($B604,1,1),"ABCDEFGHIJKLMNOPQRSTUVWXYZ")),"")</f>
        <v/>
      </c>
      <c r="H604">
        <f>IF($F604=1,INDEX({10,12,13,14,15,16,17,18,19,20,21,23,24,25,26,27,28,29,30,31,32,34,35,36,37,38},1,FIND(MID($B604,2,1),"ABCDEFGHIJKLMNOPQRSTUVWXYZ")),"")</f>
        <v/>
      </c>
      <c r="I604">
        <f>IF($F604=1,INDEX({10,12,13,14,15,16,17,18,19,20,21,23,24,25,26,27,28,29,30,31,32,34,35,36,37,38},1,FIND(MID($B604,3,1),"ABCDEFGHIJKLMNOPQRSTUVWXYZ")),"")</f>
        <v/>
      </c>
      <c r="J604">
        <f>IF($F604=1,INDEX({10,12,13,14,15,16,17,18,19,20,21,23,24,25,26,27,28,29,30,31,32,34,35,36,37,38},1,FIND(MID($B604,4,1),"ABCDEFGHIJKLMNOPQRSTUVWXYZ")),"")</f>
        <v/>
      </c>
      <c r="K604">
        <f>IF($F604=1,FIND(MID($B604,5,1),"0123456789")-1,"")</f>
        <v/>
      </c>
      <c r="L604">
        <f>IF($F604=1,FIND(MID($B604,6,1),"0123456789")-1,"")</f>
        <v/>
      </c>
      <c r="M604">
        <f>IF($F604=1,FIND(MID($B604,7,1),"0123456789")-1,"")</f>
        <v/>
      </c>
      <c r="N604">
        <f>IF($F604=1,FIND(MID($B604,8,1),"0123456789")-1,"")</f>
        <v/>
      </c>
      <c r="O604">
        <f>IF($F604=1,FIND(MID($B604,9,1),"0123456789")-1,"")</f>
        <v/>
      </c>
      <c r="P604">
        <f>IF($F604=1,FIND(MID($B604,10,1),"0123456789")-1,"")</f>
        <v/>
      </c>
      <c r="Q604">
        <f>IF($F604=1,SUMPRODUCT($G604:$P604,{1,2,4,8,16,32,64,128,256,512}),"")</f>
        <v/>
      </c>
      <c r="R604">
        <f>IF($F604=1,MOD(MOD($Q604,11),10),"")</f>
        <v/>
      </c>
    </row>
    <row r="605">
      <c r="A605" s="6" t="n"/>
      <c r="B605" s="7">
        <f>IF($A605="","",UPPER(SUBSTITUTE(SUBSTITUTE(SUBSTITUTE(SUBSTITUTE(SUBSTITUTE(SUBSTITUTE($A605," ",""),"-",""),".",""),"/",""),"i","I"),"ı","?")))</f>
        <v/>
      </c>
      <c r="C605" s="8">
        <f>IF($F605=1,$R605,"")</f>
        <v/>
      </c>
      <c r="D605" s="7">
        <f>IF($A605="","",IF($F605=0,"Biçim hatalı",IF(FIND(MID($B605,11,1),"0123456789")-1=$R605,"Geçerli","Kontrol hanesi hatalı (doğrusu: "&amp;$R605&amp;")")))</f>
        <v/>
      </c>
      <c r="F605">
        <f>IF($A605="","",IF(AND(LEN($B605)=11,SUMPRODUCT(--ISNUMBER(FIND(MID($B605,{1,2,3},1),"ABCDEFGHIJKLMNOPQRSTUVWXYZ")))=3,ISNUMBER(FIND(MID($B605,4,1),"UJZ")),SUMPRODUCT(--ISNUMBER(FIND(MID($B605,{5,6,7,8,9,10,11},1),"0123456789")))=7),1,0))</f>
        <v/>
      </c>
      <c r="G605">
        <f>IF($F605=1,INDEX({10,12,13,14,15,16,17,18,19,20,21,23,24,25,26,27,28,29,30,31,32,34,35,36,37,38},1,FIND(MID($B605,1,1),"ABCDEFGHIJKLMNOPQRSTUVWXYZ")),"")</f>
        <v/>
      </c>
      <c r="H605">
        <f>IF($F605=1,INDEX({10,12,13,14,15,16,17,18,19,20,21,23,24,25,26,27,28,29,30,31,32,34,35,36,37,38},1,FIND(MID($B605,2,1),"ABCDEFGHIJKLMNOPQRSTUVWXYZ")),"")</f>
        <v/>
      </c>
      <c r="I605">
        <f>IF($F605=1,INDEX({10,12,13,14,15,16,17,18,19,20,21,23,24,25,26,27,28,29,30,31,32,34,35,36,37,38},1,FIND(MID($B605,3,1),"ABCDEFGHIJKLMNOPQRSTUVWXYZ")),"")</f>
        <v/>
      </c>
      <c r="J605">
        <f>IF($F605=1,INDEX({10,12,13,14,15,16,17,18,19,20,21,23,24,25,26,27,28,29,30,31,32,34,35,36,37,38},1,FIND(MID($B605,4,1),"ABCDEFGHIJKLMNOPQRSTUVWXYZ")),"")</f>
        <v/>
      </c>
      <c r="K605">
        <f>IF($F605=1,FIND(MID($B605,5,1),"0123456789")-1,"")</f>
        <v/>
      </c>
      <c r="L605">
        <f>IF($F605=1,FIND(MID($B605,6,1),"0123456789")-1,"")</f>
        <v/>
      </c>
      <c r="M605">
        <f>IF($F605=1,FIND(MID($B605,7,1),"0123456789")-1,"")</f>
        <v/>
      </c>
      <c r="N605">
        <f>IF($F605=1,FIND(MID($B605,8,1),"0123456789")-1,"")</f>
        <v/>
      </c>
      <c r="O605">
        <f>IF($F605=1,FIND(MID($B605,9,1),"0123456789")-1,"")</f>
        <v/>
      </c>
      <c r="P605">
        <f>IF($F605=1,FIND(MID($B605,10,1),"0123456789")-1,"")</f>
        <v/>
      </c>
      <c r="Q605">
        <f>IF($F605=1,SUMPRODUCT($G605:$P605,{1,2,4,8,16,32,64,128,256,512}),"")</f>
        <v/>
      </c>
      <c r="R605">
        <f>IF($F605=1,MOD(MOD($Q605,11),10),"")</f>
        <v/>
      </c>
    </row>
    <row r="606">
      <c r="A606" s="6" t="n"/>
      <c r="B606" s="7">
        <f>IF($A606="","",UPPER(SUBSTITUTE(SUBSTITUTE(SUBSTITUTE(SUBSTITUTE(SUBSTITUTE(SUBSTITUTE($A606," ",""),"-",""),".",""),"/",""),"i","I"),"ı","?")))</f>
        <v/>
      </c>
      <c r="C606" s="8">
        <f>IF($F606=1,$R606,"")</f>
        <v/>
      </c>
      <c r="D606" s="7">
        <f>IF($A606="","",IF($F606=0,"Biçim hatalı",IF(FIND(MID($B606,11,1),"0123456789")-1=$R606,"Geçerli","Kontrol hanesi hatalı (doğrusu: "&amp;$R606&amp;")")))</f>
        <v/>
      </c>
      <c r="F606">
        <f>IF($A606="","",IF(AND(LEN($B606)=11,SUMPRODUCT(--ISNUMBER(FIND(MID($B606,{1,2,3},1),"ABCDEFGHIJKLMNOPQRSTUVWXYZ")))=3,ISNUMBER(FIND(MID($B606,4,1),"UJZ")),SUMPRODUCT(--ISNUMBER(FIND(MID($B606,{5,6,7,8,9,10,11},1),"0123456789")))=7),1,0))</f>
        <v/>
      </c>
      <c r="G606">
        <f>IF($F606=1,INDEX({10,12,13,14,15,16,17,18,19,20,21,23,24,25,26,27,28,29,30,31,32,34,35,36,37,38},1,FIND(MID($B606,1,1),"ABCDEFGHIJKLMNOPQRSTUVWXYZ")),"")</f>
        <v/>
      </c>
      <c r="H606">
        <f>IF($F606=1,INDEX({10,12,13,14,15,16,17,18,19,20,21,23,24,25,26,27,28,29,30,31,32,34,35,36,37,38},1,FIND(MID($B606,2,1),"ABCDEFGHIJKLMNOPQRSTUVWXYZ")),"")</f>
        <v/>
      </c>
      <c r="I606">
        <f>IF($F606=1,INDEX({10,12,13,14,15,16,17,18,19,20,21,23,24,25,26,27,28,29,30,31,32,34,35,36,37,38},1,FIND(MID($B606,3,1),"ABCDEFGHIJKLMNOPQRSTUVWXYZ")),"")</f>
        <v/>
      </c>
      <c r="J606">
        <f>IF($F606=1,INDEX({10,12,13,14,15,16,17,18,19,20,21,23,24,25,26,27,28,29,30,31,32,34,35,36,37,38},1,FIND(MID($B606,4,1),"ABCDEFGHIJKLMNOPQRSTUVWXYZ")),"")</f>
        <v/>
      </c>
      <c r="K606">
        <f>IF($F606=1,FIND(MID($B606,5,1),"0123456789")-1,"")</f>
        <v/>
      </c>
      <c r="L606">
        <f>IF($F606=1,FIND(MID($B606,6,1),"0123456789")-1,"")</f>
        <v/>
      </c>
      <c r="M606">
        <f>IF($F606=1,FIND(MID($B606,7,1),"0123456789")-1,"")</f>
        <v/>
      </c>
      <c r="N606">
        <f>IF($F606=1,FIND(MID($B606,8,1),"0123456789")-1,"")</f>
        <v/>
      </c>
      <c r="O606">
        <f>IF($F606=1,FIND(MID($B606,9,1),"0123456789")-1,"")</f>
        <v/>
      </c>
      <c r="P606">
        <f>IF($F606=1,FIND(MID($B606,10,1),"0123456789")-1,"")</f>
        <v/>
      </c>
      <c r="Q606">
        <f>IF($F606=1,SUMPRODUCT($G606:$P606,{1,2,4,8,16,32,64,128,256,512}),"")</f>
        <v/>
      </c>
      <c r="R606">
        <f>IF($F606=1,MOD(MOD($Q606,11),10),"")</f>
        <v/>
      </c>
    </row>
    <row r="607">
      <c r="A607" s="6" t="n"/>
      <c r="B607" s="7">
        <f>IF($A607="","",UPPER(SUBSTITUTE(SUBSTITUTE(SUBSTITUTE(SUBSTITUTE(SUBSTITUTE(SUBSTITUTE($A607," ",""),"-",""),".",""),"/",""),"i","I"),"ı","?")))</f>
        <v/>
      </c>
      <c r="C607" s="8">
        <f>IF($F607=1,$R607,"")</f>
        <v/>
      </c>
      <c r="D607" s="7">
        <f>IF($A607="","",IF($F607=0,"Biçim hatalı",IF(FIND(MID($B607,11,1),"0123456789")-1=$R607,"Geçerli","Kontrol hanesi hatalı (doğrusu: "&amp;$R607&amp;")")))</f>
        <v/>
      </c>
      <c r="F607">
        <f>IF($A607="","",IF(AND(LEN($B607)=11,SUMPRODUCT(--ISNUMBER(FIND(MID($B607,{1,2,3},1),"ABCDEFGHIJKLMNOPQRSTUVWXYZ")))=3,ISNUMBER(FIND(MID($B607,4,1),"UJZ")),SUMPRODUCT(--ISNUMBER(FIND(MID($B607,{5,6,7,8,9,10,11},1),"0123456789")))=7),1,0))</f>
        <v/>
      </c>
      <c r="G607">
        <f>IF($F607=1,INDEX({10,12,13,14,15,16,17,18,19,20,21,23,24,25,26,27,28,29,30,31,32,34,35,36,37,38},1,FIND(MID($B607,1,1),"ABCDEFGHIJKLMNOPQRSTUVWXYZ")),"")</f>
        <v/>
      </c>
      <c r="H607">
        <f>IF($F607=1,INDEX({10,12,13,14,15,16,17,18,19,20,21,23,24,25,26,27,28,29,30,31,32,34,35,36,37,38},1,FIND(MID($B607,2,1),"ABCDEFGHIJKLMNOPQRSTUVWXYZ")),"")</f>
        <v/>
      </c>
      <c r="I607">
        <f>IF($F607=1,INDEX({10,12,13,14,15,16,17,18,19,20,21,23,24,25,26,27,28,29,30,31,32,34,35,36,37,38},1,FIND(MID($B607,3,1),"ABCDEFGHIJKLMNOPQRSTUVWXYZ")),"")</f>
        <v/>
      </c>
      <c r="J607">
        <f>IF($F607=1,INDEX({10,12,13,14,15,16,17,18,19,20,21,23,24,25,26,27,28,29,30,31,32,34,35,36,37,38},1,FIND(MID($B607,4,1),"ABCDEFGHIJKLMNOPQRSTUVWXYZ")),"")</f>
        <v/>
      </c>
      <c r="K607">
        <f>IF($F607=1,FIND(MID($B607,5,1),"0123456789")-1,"")</f>
        <v/>
      </c>
      <c r="L607">
        <f>IF($F607=1,FIND(MID($B607,6,1),"0123456789")-1,"")</f>
        <v/>
      </c>
      <c r="M607">
        <f>IF($F607=1,FIND(MID($B607,7,1),"0123456789")-1,"")</f>
        <v/>
      </c>
      <c r="N607">
        <f>IF($F607=1,FIND(MID($B607,8,1),"0123456789")-1,"")</f>
        <v/>
      </c>
      <c r="O607">
        <f>IF($F607=1,FIND(MID($B607,9,1),"0123456789")-1,"")</f>
        <v/>
      </c>
      <c r="P607">
        <f>IF($F607=1,FIND(MID($B607,10,1),"0123456789")-1,"")</f>
        <v/>
      </c>
      <c r="Q607">
        <f>IF($F607=1,SUMPRODUCT($G607:$P607,{1,2,4,8,16,32,64,128,256,512}),"")</f>
        <v/>
      </c>
      <c r="R607">
        <f>IF($F607=1,MOD(MOD($Q607,11),10),"")</f>
        <v/>
      </c>
    </row>
    <row r="608">
      <c r="A608" s="6" t="n"/>
      <c r="B608" s="7">
        <f>IF($A608="","",UPPER(SUBSTITUTE(SUBSTITUTE(SUBSTITUTE(SUBSTITUTE(SUBSTITUTE(SUBSTITUTE($A608," ",""),"-",""),".",""),"/",""),"i","I"),"ı","?")))</f>
        <v/>
      </c>
      <c r="C608" s="8">
        <f>IF($F608=1,$R608,"")</f>
        <v/>
      </c>
      <c r="D608" s="7">
        <f>IF($A608="","",IF($F608=0,"Biçim hatalı",IF(FIND(MID($B608,11,1),"0123456789")-1=$R608,"Geçerli","Kontrol hanesi hatalı (doğrusu: "&amp;$R608&amp;")")))</f>
        <v/>
      </c>
      <c r="F608">
        <f>IF($A608="","",IF(AND(LEN($B608)=11,SUMPRODUCT(--ISNUMBER(FIND(MID($B608,{1,2,3},1),"ABCDEFGHIJKLMNOPQRSTUVWXYZ")))=3,ISNUMBER(FIND(MID($B608,4,1),"UJZ")),SUMPRODUCT(--ISNUMBER(FIND(MID($B608,{5,6,7,8,9,10,11},1),"0123456789")))=7),1,0))</f>
        <v/>
      </c>
      <c r="G608">
        <f>IF($F608=1,INDEX({10,12,13,14,15,16,17,18,19,20,21,23,24,25,26,27,28,29,30,31,32,34,35,36,37,38},1,FIND(MID($B608,1,1),"ABCDEFGHIJKLMNOPQRSTUVWXYZ")),"")</f>
        <v/>
      </c>
      <c r="H608">
        <f>IF($F608=1,INDEX({10,12,13,14,15,16,17,18,19,20,21,23,24,25,26,27,28,29,30,31,32,34,35,36,37,38},1,FIND(MID($B608,2,1),"ABCDEFGHIJKLMNOPQRSTUVWXYZ")),"")</f>
        <v/>
      </c>
      <c r="I608">
        <f>IF($F608=1,INDEX({10,12,13,14,15,16,17,18,19,20,21,23,24,25,26,27,28,29,30,31,32,34,35,36,37,38},1,FIND(MID($B608,3,1),"ABCDEFGHIJKLMNOPQRSTUVWXYZ")),"")</f>
        <v/>
      </c>
      <c r="J608">
        <f>IF($F608=1,INDEX({10,12,13,14,15,16,17,18,19,20,21,23,24,25,26,27,28,29,30,31,32,34,35,36,37,38},1,FIND(MID($B608,4,1),"ABCDEFGHIJKLMNOPQRSTUVWXYZ")),"")</f>
        <v/>
      </c>
      <c r="K608">
        <f>IF($F608=1,FIND(MID($B608,5,1),"0123456789")-1,"")</f>
        <v/>
      </c>
      <c r="L608">
        <f>IF($F608=1,FIND(MID($B608,6,1),"0123456789")-1,"")</f>
        <v/>
      </c>
      <c r="M608">
        <f>IF($F608=1,FIND(MID($B608,7,1),"0123456789")-1,"")</f>
        <v/>
      </c>
      <c r="N608">
        <f>IF($F608=1,FIND(MID($B608,8,1),"0123456789")-1,"")</f>
        <v/>
      </c>
      <c r="O608">
        <f>IF($F608=1,FIND(MID($B608,9,1),"0123456789")-1,"")</f>
        <v/>
      </c>
      <c r="P608">
        <f>IF($F608=1,FIND(MID($B608,10,1),"0123456789")-1,"")</f>
        <v/>
      </c>
      <c r="Q608">
        <f>IF($F608=1,SUMPRODUCT($G608:$P608,{1,2,4,8,16,32,64,128,256,512}),"")</f>
        <v/>
      </c>
      <c r="R608">
        <f>IF($F608=1,MOD(MOD($Q608,11),10),"")</f>
        <v/>
      </c>
    </row>
    <row r="609">
      <c r="A609" s="6" t="n"/>
      <c r="B609" s="7">
        <f>IF($A609="","",UPPER(SUBSTITUTE(SUBSTITUTE(SUBSTITUTE(SUBSTITUTE(SUBSTITUTE(SUBSTITUTE($A609," ",""),"-",""),".",""),"/",""),"i","I"),"ı","?")))</f>
        <v/>
      </c>
      <c r="C609" s="8">
        <f>IF($F609=1,$R609,"")</f>
        <v/>
      </c>
      <c r="D609" s="7">
        <f>IF($A609="","",IF($F609=0,"Biçim hatalı",IF(FIND(MID($B609,11,1),"0123456789")-1=$R609,"Geçerli","Kontrol hanesi hatalı (doğrusu: "&amp;$R609&amp;")")))</f>
        <v/>
      </c>
      <c r="F609">
        <f>IF($A609="","",IF(AND(LEN($B609)=11,SUMPRODUCT(--ISNUMBER(FIND(MID($B609,{1,2,3},1),"ABCDEFGHIJKLMNOPQRSTUVWXYZ")))=3,ISNUMBER(FIND(MID($B609,4,1),"UJZ")),SUMPRODUCT(--ISNUMBER(FIND(MID($B609,{5,6,7,8,9,10,11},1),"0123456789")))=7),1,0))</f>
        <v/>
      </c>
      <c r="G609">
        <f>IF($F609=1,INDEX({10,12,13,14,15,16,17,18,19,20,21,23,24,25,26,27,28,29,30,31,32,34,35,36,37,38},1,FIND(MID($B609,1,1),"ABCDEFGHIJKLMNOPQRSTUVWXYZ")),"")</f>
        <v/>
      </c>
      <c r="H609">
        <f>IF($F609=1,INDEX({10,12,13,14,15,16,17,18,19,20,21,23,24,25,26,27,28,29,30,31,32,34,35,36,37,38},1,FIND(MID($B609,2,1),"ABCDEFGHIJKLMNOPQRSTUVWXYZ")),"")</f>
        <v/>
      </c>
      <c r="I609">
        <f>IF($F609=1,INDEX({10,12,13,14,15,16,17,18,19,20,21,23,24,25,26,27,28,29,30,31,32,34,35,36,37,38},1,FIND(MID($B609,3,1),"ABCDEFGHIJKLMNOPQRSTUVWXYZ")),"")</f>
        <v/>
      </c>
      <c r="J609">
        <f>IF($F609=1,INDEX({10,12,13,14,15,16,17,18,19,20,21,23,24,25,26,27,28,29,30,31,32,34,35,36,37,38},1,FIND(MID($B609,4,1),"ABCDEFGHIJKLMNOPQRSTUVWXYZ")),"")</f>
        <v/>
      </c>
      <c r="K609">
        <f>IF($F609=1,FIND(MID($B609,5,1),"0123456789")-1,"")</f>
        <v/>
      </c>
      <c r="L609">
        <f>IF($F609=1,FIND(MID($B609,6,1),"0123456789")-1,"")</f>
        <v/>
      </c>
      <c r="M609">
        <f>IF($F609=1,FIND(MID($B609,7,1),"0123456789")-1,"")</f>
        <v/>
      </c>
      <c r="N609">
        <f>IF($F609=1,FIND(MID($B609,8,1),"0123456789")-1,"")</f>
        <v/>
      </c>
      <c r="O609">
        <f>IF($F609=1,FIND(MID($B609,9,1),"0123456789")-1,"")</f>
        <v/>
      </c>
      <c r="P609">
        <f>IF($F609=1,FIND(MID($B609,10,1),"0123456789")-1,"")</f>
        <v/>
      </c>
      <c r="Q609">
        <f>IF($F609=1,SUMPRODUCT($G609:$P609,{1,2,4,8,16,32,64,128,256,512}),"")</f>
        <v/>
      </c>
      <c r="R609">
        <f>IF($F609=1,MOD(MOD($Q609,11),10),"")</f>
        <v/>
      </c>
    </row>
    <row r="610">
      <c r="A610" s="6" t="n"/>
      <c r="B610" s="7">
        <f>IF($A610="","",UPPER(SUBSTITUTE(SUBSTITUTE(SUBSTITUTE(SUBSTITUTE(SUBSTITUTE(SUBSTITUTE($A610," ",""),"-",""),".",""),"/",""),"i","I"),"ı","?")))</f>
        <v/>
      </c>
      <c r="C610" s="8">
        <f>IF($F610=1,$R610,"")</f>
        <v/>
      </c>
      <c r="D610" s="7">
        <f>IF($A610="","",IF($F610=0,"Biçim hatalı",IF(FIND(MID($B610,11,1),"0123456789")-1=$R610,"Geçerli","Kontrol hanesi hatalı (doğrusu: "&amp;$R610&amp;")")))</f>
        <v/>
      </c>
      <c r="F610">
        <f>IF($A610="","",IF(AND(LEN($B610)=11,SUMPRODUCT(--ISNUMBER(FIND(MID($B610,{1,2,3},1),"ABCDEFGHIJKLMNOPQRSTUVWXYZ")))=3,ISNUMBER(FIND(MID($B610,4,1),"UJZ")),SUMPRODUCT(--ISNUMBER(FIND(MID($B610,{5,6,7,8,9,10,11},1),"0123456789")))=7),1,0))</f>
        <v/>
      </c>
      <c r="G610">
        <f>IF($F610=1,INDEX({10,12,13,14,15,16,17,18,19,20,21,23,24,25,26,27,28,29,30,31,32,34,35,36,37,38},1,FIND(MID($B610,1,1),"ABCDEFGHIJKLMNOPQRSTUVWXYZ")),"")</f>
        <v/>
      </c>
      <c r="H610">
        <f>IF($F610=1,INDEX({10,12,13,14,15,16,17,18,19,20,21,23,24,25,26,27,28,29,30,31,32,34,35,36,37,38},1,FIND(MID($B610,2,1),"ABCDEFGHIJKLMNOPQRSTUVWXYZ")),"")</f>
        <v/>
      </c>
      <c r="I610">
        <f>IF($F610=1,INDEX({10,12,13,14,15,16,17,18,19,20,21,23,24,25,26,27,28,29,30,31,32,34,35,36,37,38},1,FIND(MID($B610,3,1),"ABCDEFGHIJKLMNOPQRSTUVWXYZ")),"")</f>
        <v/>
      </c>
      <c r="J610">
        <f>IF($F610=1,INDEX({10,12,13,14,15,16,17,18,19,20,21,23,24,25,26,27,28,29,30,31,32,34,35,36,37,38},1,FIND(MID($B610,4,1),"ABCDEFGHIJKLMNOPQRSTUVWXYZ")),"")</f>
        <v/>
      </c>
      <c r="K610">
        <f>IF($F610=1,FIND(MID($B610,5,1),"0123456789")-1,"")</f>
        <v/>
      </c>
      <c r="L610">
        <f>IF($F610=1,FIND(MID($B610,6,1),"0123456789")-1,"")</f>
        <v/>
      </c>
      <c r="M610">
        <f>IF($F610=1,FIND(MID($B610,7,1),"0123456789")-1,"")</f>
        <v/>
      </c>
      <c r="N610">
        <f>IF($F610=1,FIND(MID($B610,8,1),"0123456789")-1,"")</f>
        <v/>
      </c>
      <c r="O610">
        <f>IF($F610=1,FIND(MID($B610,9,1),"0123456789")-1,"")</f>
        <v/>
      </c>
      <c r="P610">
        <f>IF($F610=1,FIND(MID($B610,10,1),"0123456789")-1,"")</f>
        <v/>
      </c>
      <c r="Q610">
        <f>IF($F610=1,SUMPRODUCT($G610:$P610,{1,2,4,8,16,32,64,128,256,512}),"")</f>
        <v/>
      </c>
      <c r="R610">
        <f>IF($F610=1,MOD(MOD($Q610,11),10),"")</f>
        <v/>
      </c>
    </row>
    <row r="611">
      <c r="A611" s="6" t="n"/>
      <c r="B611" s="7">
        <f>IF($A611="","",UPPER(SUBSTITUTE(SUBSTITUTE(SUBSTITUTE(SUBSTITUTE(SUBSTITUTE(SUBSTITUTE($A611," ",""),"-",""),".",""),"/",""),"i","I"),"ı","?")))</f>
        <v/>
      </c>
      <c r="C611" s="8">
        <f>IF($F611=1,$R611,"")</f>
        <v/>
      </c>
      <c r="D611" s="7">
        <f>IF($A611="","",IF($F611=0,"Biçim hatalı",IF(FIND(MID($B611,11,1),"0123456789")-1=$R611,"Geçerli","Kontrol hanesi hatalı (doğrusu: "&amp;$R611&amp;")")))</f>
        <v/>
      </c>
      <c r="F611">
        <f>IF($A611="","",IF(AND(LEN($B611)=11,SUMPRODUCT(--ISNUMBER(FIND(MID($B611,{1,2,3},1),"ABCDEFGHIJKLMNOPQRSTUVWXYZ")))=3,ISNUMBER(FIND(MID($B611,4,1),"UJZ")),SUMPRODUCT(--ISNUMBER(FIND(MID($B611,{5,6,7,8,9,10,11},1),"0123456789")))=7),1,0))</f>
        <v/>
      </c>
      <c r="G611">
        <f>IF($F611=1,INDEX({10,12,13,14,15,16,17,18,19,20,21,23,24,25,26,27,28,29,30,31,32,34,35,36,37,38},1,FIND(MID($B611,1,1),"ABCDEFGHIJKLMNOPQRSTUVWXYZ")),"")</f>
        <v/>
      </c>
      <c r="H611">
        <f>IF($F611=1,INDEX({10,12,13,14,15,16,17,18,19,20,21,23,24,25,26,27,28,29,30,31,32,34,35,36,37,38},1,FIND(MID($B611,2,1),"ABCDEFGHIJKLMNOPQRSTUVWXYZ")),"")</f>
        <v/>
      </c>
      <c r="I611">
        <f>IF($F611=1,INDEX({10,12,13,14,15,16,17,18,19,20,21,23,24,25,26,27,28,29,30,31,32,34,35,36,37,38},1,FIND(MID($B611,3,1),"ABCDEFGHIJKLMNOPQRSTUVWXYZ")),"")</f>
        <v/>
      </c>
      <c r="J611">
        <f>IF($F611=1,INDEX({10,12,13,14,15,16,17,18,19,20,21,23,24,25,26,27,28,29,30,31,32,34,35,36,37,38},1,FIND(MID($B611,4,1),"ABCDEFGHIJKLMNOPQRSTUVWXYZ")),"")</f>
        <v/>
      </c>
      <c r="K611">
        <f>IF($F611=1,FIND(MID($B611,5,1),"0123456789")-1,"")</f>
        <v/>
      </c>
      <c r="L611">
        <f>IF($F611=1,FIND(MID($B611,6,1),"0123456789")-1,"")</f>
        <v/>
      </c>
      <c r="M611">
        <f>IF($F611=1,FIND(MID($B611,7,1),"0123456789")-1,"")</f>
        <v/>
      </c>
      <c r="N611">
        <f>IF($F611=1,FIND(MID($B611,8,1),"0123456789")-1,"")</f>
        <v/>
      </c>
      <c r="O611">
        <f>IF($F611=1,FIND(MID($B611,9,1),"0123456789")-1,"")</f>
        <v/>
      </c>
      <c r="P611">
        <f>IF($F611=1,FIND(MID($B611,10,1),"0123456789")-1,"")</f>
        <v/>
      </c>
      <c r="Q611">
        <f>IF($F611=1,SUMPRODUCT($G611:$P611,{1,2,4,8,16,32,64,128,256,512}),"")</f>
        <v/>
      </c>
      <c r="R611">
        <f>IF($F611=1,MOD(MOD($Q611,11),10),"")</f>
        <v/>
      </c>
    </row>
    <row r="612">
      <c r="A612" s="6" t="n"/>
      <c r="B612" s="7">
        <f>IF($A612="","",UPPER(SUBSTITUTE(SUBSTITUTE(SUBSTITUTE(SUBSTITUTE(SUBSTITUTE(SUBSTITUTE($A612," ",""),"-",""),".",""),"/",""),"i","I"),"ı","?")))</f>
        <v/>
      </c>
      <c r="C612" s="8">
        <f>IF($F612=1,$R612,"")</f>
        <v/>
      </c>
      <c r="D612" s="7">
        <f>IF($A612="","",IF($F612=0,"Biçim hatalı",IF(FIND(MID($B612,11,1),"0123456789")-1=$R612,"Geçerli","Kontrol hanesi hatalı (doğrusu: "&amp;$R612&amp;")")))</f>
        <v/>
      </c>
      <c r="F612">
        <f>IF($A612="","",IF(AND(LEN($B612)=11,SUMPRODUCT(--ISNUMBER(FIND(MID($B612,{1,2,3},1),"ABCDEFGHIJKLMNOPQRSTUVWXYZ")))=3,ISNUMBER(FIND(MID($B612,4,1),"UJZ")),SUMPRODUCT(--ISNUMBER(FIND(MID($B612,{5,6,7,8,9,10,11},1),"0123456789")))=7),1,0))</f>
        <v/>
      </c>
      <c r="G612">
        <f>IF($F612=1,INDEX({10,12,13,14,15,16,17,18,19,20,21,23,24,25,26,27,28,29,30,31,32,34,35,36,37,38},1,FIND(MID($B612,1,1),"ABCDEFGHIJKLMNOPQRSTUVWXYZ")),"")</f>
        <v/>
      </c>
      <c r="H612">
        <f>IF($F612=1,INDEX({10,12,13,14,15,16,17,18,19,20,21,23,24,25,26,27,28,29,30,31,32,34,35,36,37,38},1,FIND(MID($B612,2,1),"ABCDEFGHIJKLMNOPQRSTUVWXYZ")),"")</f>
        <v/>
      </c>
      <c r="I612">
        <f>IF($F612=1,INDEX({10,12,13,14,15,16,17,18,19,20,21,23,24,25,26,27,28,29,30,31,32,34,35,36,37,38},1,FIND(MID($B612,3,1),"ABCDEFGHIJKLMNOPQRSTUVWXYZ")),"")</f>
        <v/>
      </c>
      <c r="J612">
        <f>IF($F612=1,INDEX({10,12,13,14,15,16,17,18,19,20,21,23,24,25,26,27,28,29,30,31,32,34,35,36,37,38},1,FIND(MID($B612,4,1),"ABCDEFGHIJKLMNOPQRSTUVWXYZ")),"")</f>
        <v/>
      </c>
      <c r="K612">
        <f>IF($F612=1,FIND(MID($B612,5,1),"0123456789")-1,"")</f>
        <v/>
      </c>
      <c r="L612">
        <f>IF($F612=1,FIND(MID($B612,6,1),"0123456789")-1,"")</f>
        <v/>
      </c>
      <c r="M612">
        <f>IF($F612=1,FIND(MID($B612,7,1),"0123456789")-1,"")</f>
        <v/>
      </c>
      <c r="N612">
        <f>IF($F612=1,FIND(MID($B612,8,1),"0123456789")-1,"")</f>
        <v/>
      </c>
      <c r="O612">
        <f>IF($F612=1,FIND(MID($B612,9,1),"0123456789")-1,"")</f>
        <v/>
      </c>
      <c r="P612">
        <f>IF($F612=1,FIND(MID($B612,10,1),"0123456789")-1,"")</f>
        <v/>
      </c>
      <c r="Q612">
        <f>IF($F612=1,SUMPRODUCT($G612:$P612,{1,2,4,8,16,32,64,128,256,512}),"")</f>
        <v/>
      </c>
      <c r="R612">
        <f>IF($F612=1,MOD(MOD($Q612,11),10),"")</f>
        <v/>
      </c>
    </row>
    <row r="613">
      <c r="A613" s="6" t="n"/>
      <c r="B613" s="7">
        <f>IF($A613="","",UPPER(SUBSTITUTE(SUBSTITUTE(SUBSTITUTE(SUBSTITUTE(SUBSTITUTE(SUBSTITUTE($A613," ",""),"-",""),".",""),"/",""),"i","I"),"ı","?")))</f>
        <v/>
      </c>
      <c r="C613" s="8">
        <f>IF($F613=1,$R613,"")</f>
        <v/>
      </c>
      <c r="D613" s="7">
        <f>IF($A613="","",IF($F613=0,"Biçim hatalı",IF(FIND(MID($B613,11,1),"0123456789")-1=$R613,"Geçerli","Kontrol hanesi hatalı (doğrusu: "&amp;$R613&amp;")")))</f>
        <v/>
      </c>
      <c r="F613">
        <f>IF($A613="","",IF(AND(LEN($B613)=11,SUMPRODUCT(--ISNUMBER(FIND(MID($B613,{1,2,3},1),"ABCDEFGHIJKLMNOPQRSTUVWXYZ")))=3,ISNUMBER(FIND(MID($B613,4,1),"UJZ")),SUMPRODUCT(--ISNUMBER(FIND(MID($B613,{5,6,7,8,9,10,11},1),"0123456789")))=7),1,0))</f>
        <v/>
      </c>
      <c r="G613">
        <f>IF($F613=1,INDEX({10,12,13,14,15,16,17,18,19,20,21,23,24,25,26,27,28,29,30,31,32,34,35,36,37,38},1,FIND(MID($B613,1,1),"ABCDEFGHIJKLMNOPQRSTUVWXYZ")),"")</f>
        <v/>
      </c>
      <c r="H613">
        <f>IF($F613=1,INDEX({10,12,13,14,15,16,17,18,19,20,21,23,24,25,26,27,28,29,30,31,32,34,35,36,37,38},1,FIND(MID($B613,2,1),"ABCDEFGHIJKLMNOPQRSTUVWXYZ")),"")</f>
        <v/>
      </c>
      <c r="I613">
        <f>IF($F613=1,INDEX({10,12,13,14,15,16,17,18,19,20,21,23,24,25,26,27,28,29,30,31,32,34,35,36,37,38},1,FIND(MID($B613,3,1),"ABCDEFGHIJKLMNOPQRSTUVWXYZ")),"")</f>
        <v/>
      </c>
      <c r="J613">
        <f>IF($F613=1,INDEX({10,12,13,14,15,16,17,18,19,20,21,23,24,25,26,27,28,29,30,31,32,34,35,36,37,38},1,FIND(MID($B613,4,1),"ABCDEFGHIJKLMNOPQRSTUVWXYZ")),"")</f>
        <v/>
      </c>
      <c r="K613">
        <f>IF($F613=1,FIND(MID($B613,5,1),"0123456789")-1,"")</f>
        <v/>
      </c>
      <c r="L613">
        <f>IF($F613=1,FIND(MID($B613,6,1),"0123456789")-1,"")</f>
        <v/>
      </c>
      <c r="M613">
        <f>IF($F613=1,FIND(MID($B613,7,1),"0123456789")-1,"")</f>
        <v/>
      </c>
      <c r="N613">
        <f>IF($F613=1,FIND(MID($B613,8,1),"0123456789")-1,"")</f>
        <v/>
      </c>
      <c r="O613">
        <f>IF($F613=1,FIND(MID($B613,9,1),"0123456789")-1,"")</f>
        <v/>
      </c>
      <c r="P613">
        <f>IF($F613=1,FIND(MID($B613,10,1),"0123456789")-1,"")</f>
        <v/>
      </c>
      <c r="Q613">
        <f>IF($F613=1,SUMPRODUCT($G613:$P613,{1,2,4,8,16,32,64,128,256,512}),"")</f>
        <v/>
      </c>
      <c r="R613">
        <f>IF($F613=1,MOD(MOD($Q613,11),10),"")</f>
        <v/>
      </c>
    </row>
    <row r="614">
      <c r="A614" s="6" t="n"/>
      <c r="B614" s="7">
        <f>IF($A614="","",UPPER(SUBSTITUTE(SUBSTITUTE(SUBSTITUTE(SUBSTITUTE(SUBSTITUTE(SUBSTITUTE($A614," ",""),"-",""),".",""),"/",""),"i","I"),"ı","?")))</f>
        <v/>
      </c>
      <c r="C614" s="8">
        <f>IF($F614=1,$R614,"")</f>
        <v/>
      </c>
      <c r="D614" s="7">
        <f>IF($A614="","",IF($F614=0,"Biçim hatalı",IF(FIND(MID($B614,11,1),"0123456789")-1=$R614,"Geçerli","Kontrol hanesi hatalı (doğrusu: "&amp;$R614&amp;")")))</f>
        <v/>
      </c>
      <c r="F614">
        <f>IF($A614="","",IF(AND(LEN($B614)=11,SUMPRODUCT(--ISNUMBER(FIND(MID($B614,{1,2,3},1),"ABCDEFGHIJKLMNOPQRSTUVWXYZ")))=3,ISNUMBER(FIND(MID($B614,4,1),"UJZ")),SUMPRODUCT(--ISNUMBER(FIND(MID($B614,{5,6,7,8,9,10,11},1),"0123456789")))=7),1,0))</f>
        <v/>
      </c>
      <c r="G614">
        <f>IF($F614=1,INDEX({10,12,13,14,15,16,17,18,19,20,21,23,24,25,26,27,28,29,30,31,32,34,35,36,37,38},1,FIND(MID($B614,1,1),"ABCDEFGHIJKLMNOPQRSTUVWXYZ")),"")</f>
        <v/>
      </c>
      <c r="H614">
        <f>IF($F614=1,INDEX({10,12,13,14,15,16,17,18,19,20,21,23,24,25,26,27,28,29,30,31,32,34,35,36,37,38},1,FIND(MID($B614,2,1),"ABCDEFGHIJKLMNOPQRSTUVWXYZ")),"")</f>
        <v/>
      </c>
      <c r="I614">
        <f>IF($F614=1,INDEX({10,12,13,14,15,16,17,18,19,20,21,23,24,25,26,27,28,29,30,31,32,34,35,36,37,38},1,FIND(MID($B614,3,1),"ABCDEFGHIJKLMNOPQRSTUVWXYZ")),"")</f>
        <v/>
      </c>
      <c r="J614">
        <f>IF($F614=1,INDEX({10,12,13,14,15,16,17,18,19,20,21,23,24,25,26,27,28,29,30,31,32,34,35,36,37,38},1,FIND(MID($B614,4,1),"ABCDEFGHIJKLMNOPQRSTUVWXYZ")),"")</f>
        <v/>
      </c>
      <c r="K614">
        <f>IF($F614=1,FIND(MID($B614,5,1),"0123456789")-1,"")</f>
        <v/>
      </c>
      <c r="L614">
        <f>IF($F614=1,FIND(MID($B614,6,1),"0123456789")-1,"")</f>
        <v/>
      </c>
      <c r="M614">
        <f>IF($F614=1,FIND(MID($B614,7,1),"0123456789")-1,"")</f>
        <v/>
      </c>
      <c r="N614">
        <f>IF($F614=1,FIND(MID($B614,8,1),"0123456789")-1,"")</f>
        <v/>
      </c>
      <c r="O614">
        <f>IF($F614=1,FIND(MID($B614,9,1),"0123456789")-1,"")</f>
        <v/>
      </c>
      <c r="P614">
        <f>IF($F614=1,FIND(MID($B614,10,1),"0123456789")-1,"")</f>
        <v/>
      </c>
      <c r="Q614">
        <f>IF($F614=1,SUMPRODUCT($G614:$P614,{1,2,4,8,16,32,64,128,256,512}),"")</f>
        <v/>
      </c>
      <c r="R614">
        <f>IF($F614=1,MOD(MOD($Q614,11),10),"")</f>
        <v/>
      </c>
    </row>
    <row r="615">
      <c r="A615" s="6" t="n"/>
      <c r="B615" s="7">
        <f>IF($A615="","",UPPER(SUBSTITUTE(SUBSTITUTE(SUBSTITUTE(SUBSTITUTE(SUBSTITUTE(SUBSTITUTE($A615," ",""),"-",""),".",""),"/",""),"i","I"),"ı","?")))</f>
        <v/>
      </c>
      <c r="C615" s="8">
        <f>IF($F615=1,$R615,"")</f>
        <v/>
      </c>
      <c r="D615" s="7">
        <f>IF($A615="","",IF($F615=0,"Biçim hatalı",IF(FIND(MID($B615,11,1),"0123456789")-1=$R615,"Geçerli","Kontrol hanesi hatalı (doğrusu: "&amp;$R615&amp;")")))</f>
        <v/>
      </c>
      <c r="F615">
        <f>IF($A615="","",IF(AND(LEN($B615)=11,SUMPRODUCT(--ISNUMBER(FIND(MID($B615,{1,2,3},1),"ABCDEFGHIJKLMNOPQRSTUVWXYZ")))=3,ISNUMBER(FIND(MID($B615,4,1),"UJZ")),SUMPRODUCT(--ISNUMBER(FIND(MID($B615,{5,6,7,8,9,10,11},1),"0123456789")))=7),1,0))</f>
        <v/>
      </c>
      <c r="G615">
        <f>IF($F615=1,INDEX({10,12,13,14,15,16,17,18,19,20,21,23,24,25,26,27,28,29,30,31,32,34,35,36,37,38},1,FIND(MID($B615,1,1),"ABCDEFGHIJKLMNOPQRSTUVWXYZ")),"")</f>
        <v/>
      </c>
      <c r="H615">
        <f>IF($F615=1,INDEX({10,12,13,14,15,16,17,18,19,20,21,23,24,25,26,27,28,29,30,31,32,34,35,36,37,38},1,FIND(MID($B615,2,1),"ABCDEFGHIJKLMNOPQRSTUVWXYZ")),"")</f>
        <v/>
      </c>
      <c r="I615">
        <f>IF($F615=1,INDEX({10,12,13,14,15,16,17,18,19,20,21,23,24,25,26,27,28,29,30,31,32,34,35,36,37,38},1,FIND(MID($B615,3,1),"ABCDEFGHIJKLMNOPQRSTUVWXYZ")),"")</f>
        <v/>
      </c>
      <c r="J615">
        <f>IF($F615=1,INDEX({10,12,13,14,15,16,17,18,19,20,21,23,24,25,26,27,28,29,30,31,32,34,35,36,37,38},1,FIND(MID($B615,4,1),"ABCDEFGHIJKLMNOPQRSTUVWXYZ")),"")</f>
        <v/>
      </c>
      <c r="K615">
        <f>IF($F615=1,FIND(MID($B615,5,1),"0123456789")-1,"")</f>
        <v/>
      </c>
      <c r="L615">
        <f>IF($F615=1,FIND(MID($B615,6,1),"0123456789")-1,"")</f>
        <v/>
      </c>
      <c r="M615">
        <f>IF($F615=1,FIND(MID($B615,7,1),"0123456789")-1,"")</f>
        <v/>
      </c>
      <c r="N615">
        <f>IF($F615=1,FIND(MID($B615,8,1),"0123456789")-1,"")</f>
        <v/>
      </c>
      <c r="O615">
        <f>IF($F615=1,FIND(MID($B615,9,1),"0123456789")-1,"")</f>
        <v/>
      </c>
      <c r="P615">
        <f>IF($F615=1,FIND(MID($B615,10,1),"0123456789")-1,"")</f>
        <v/>
      </c>
      <c r="Q615">
        <f>IF($F615=1,SUMPRODUCT($G615:$P615,{1,2,4,8,16,32,64,128,256,512}),"")</f>
        <v/>
      </c>
      <c r="R615">
        <f>IF($F615=1,MOD(MOD($Q615,11),10),"")</f>
        <v/>
      </c>
    </row>
    <row r="616">
      <c r="A616" s="6" t="n"/>
      <c r="B616" s="7">
        <f>IF($A616="","",UPPER(SUBSTITUTE(SUBSTITUTE(SUBSTITUTE(SUBSTITUTE(SUBSTITUTE(SUBSTITUTE($A616," ",""),"-",""),".",""),"/",""),"i","I"),"ı","?")))</f>
        <v/>
      </c>
      <c r="C616" s="8">
        <f>IF($F616=1,$R616,"")</f>
        <v/>
      </c>
      <c r="D616" s="7">
        <f>IF($A616="","",IF($F616=0,"Biçim hatalı",IF(FIND(MID($B616,11,1),"0123456789")-1=$R616,"Geçerli","Kontrol hanesi hatalı (doğrusu: "&amp;$R616&amp;")")))</f>
        <v/>
      </c>
      <c r="F616">
        <f>IF($A616="","",IF(AND(LEN($B616)=11,SUMPRODUCT(--ISNUMBER(FIND(MID($B616,{1,2,3},1),"ABCDEFGHIJKLMNOPQRSTUVWXYZ")))=3,ISNUMBER(FIND(MID($B616,4,1),"UJZ")),SUMPRODUCT(--ISNUMBER(FIND(MID($B616,{5,6,7,8,9,10,11},1),"0123456789")))=7),1,0))</f>
        <v/>
      </c>
      <c r="G616">
        <f>IF($F616=1,INDEX({10,12,13,14,15,16,17,18,19,20,21,23,24,25,26,27,28,29,30,31,32,34,35,36,37,38},1,FIND(MID($B616,1,1),"ABCDEFGHIJKLMNOPQRSTUVWXYZ")),"")</f>
        <v/>
      </c>
      <c r="H616">
        <f>IF($F616=1,INDEX({10,12,13,14,15,16,17,18,19,20,21,23,24,25,26,27,28,29,30,31,32,34,35,36,37,38},1,FIND(MID($B616,2,1),"ABCDEFGHIJKLMNOPQRSTUVWXYZ")),"")</f>
        <v/>
      </c>
      <c r="I616">
        <f>IF($F616=1,INDEX({10,12,13,14,15,16,17,18,19,20,21,23,24,25,26,27,28,29,30,31,32,34,35,36,37,38},1,FIND(MID($B616,3,1),"ABCDEFGHIJKLMNOPQRSTUVWXYZ")),"")</f>
        <v/>
      </c>
      <c r="J616">
        <f>IF($F616=1,INDEX({10,12,13,14,15,16,17,18,19,20,21,23,24,25,26,27,28,29,30,31,32,34,35,36,37,38},1,FIND(MID($B616,4,1),"ABCDEFGHIJKLMNOPQRSTUVWXYZ")),"")</f>
        <v/>
      </c>
      <c r="K616">
        <f>IF($F616=1,FIND(MID($B616,5,1),"0123456789")-1,"")</f>
        <v/>
      </c>
      <c r="L616">
        <f>IF($F616=1,FIND(MID($B616,6,1),"0123456789")-1,"")</f>
        <v/>
      </c>
      <c r="M616">
        <f>IF($F616=1,FIND(MID($B616,7,1),"0123456789")-1,"")</f>
        <v/>
      </c>
      <c r="N616">
        <f>IF($F616=1,FIND(MID($B616,8,1),"0123456789")-1,"")</f>
        <v/>
      </c>
      <c r="O616">
        <f>IF($F616=1,FIND(MID($B616,9,1),"0123456789")-1,"")</f>
        <v/>
      </c>
      <c r="P616">
        <f>IF($F616=1,FIND(MID($B616,10,1),"0123456789")-1,"")</f>
        <v/>
      </c>
      <c r="Q616">
        <f>IF($F616=1,SUMPRODUCT($G616:$P616,{1,2,4,8,16,32,64,128,256,512}),"")</f>
        <v/>
      </c>
      <c r="R616">
        <f>IF($F616=1,MOD(MOD($Q616,11),10),"")</f>
        <v/>
      </c>
    </row>
    <row r="617">
      <c r="A617" s="6" t="n"/>
      <c r="B617" s="7">
        <f>IF($A617="","",UPPER(SUBSTITUTE(SUBSTITUTE(SUBSTITUTE(SUBSTITUTE(SUBSTITUTE(SUBSTITUTE($A617," ",""),"-",""),".",""),"/",""),"i","I"),"ı","?")))</f>
        <v/>
      </c>
      <c r="C617" s="8">
        <f>IF($F617=1,$R617,"")</f>
        <v/>
      </c>
      <c r="D617" s="7">
        <f>IF($A617="","",IF($F617=0,"Biçim hatalı",IF(FIND(MID($B617,11,1),"0123456789")-1=$R617,"Geçerli","Kontrol hanesi hatalı (doğrusu: "&amp;$R617&amp;")")))</f>
        <v/>
      </c>
      <c r="F617">
        <f>IF($A617="","",IF(AND(LEN($B617)=11,SUMPRODUCT(--ISNUMBER(FIND(MID($B617,{1,2,3},1),"ABCDEFGHIJKLMNOPQRSTUVWXYZ")))=3,ISNUMBER(FIND(MID($B617,4,1),"UJZ")),SUMPRODUCT(--ISNUMBER(FIND(MID($B617,{5,6,7,8,9,10,11},1),"0123456789")))=7),1,0))</f>
        <v/>
      </c>
      <c r="G617">
        <f>IF($F617=1,INDEX({10,12,13,14,15,16,17,18,19,20,21,23,24,25,26,27,28,29,30,31,32,34,35,36,37,38},1,FIND(MID($B617,1,1),"ABCDEFGHIJKLMNOPQRSTUVWXYZ")),"")</f>
        <v/>
      </c>
      <c r="H617">
        <f>IF($F617=1,INDEX({10,12,13,14,15,16,17,18,19,20,21,23,24,25,26,27,28,29,30,31,32,34,35,36,37,38},1,FIND(MID($B617,2,1),"ABCDEFGHIJKLMNOPQRSTUVWXYZ")),"")</f>
        <v/>
      </c>
      <c r="I617">
        <f>IF($F617=1,INDEX({10,12,13,14,15,16,17,18,19,20,21,23,24,25,26,27,28,29,30,31,32,34,35,36,37,38},1,FIND(MID($B617,3,1),"ABCDEFGHIJKLMNOPQRSTUVWXYZ")),"")</f>
        <v/>
      </c>
      <c r="J617">
        <f>IF($F617=1,INDEX({10,12,13,14,15,16,17,18,19,20,21,23,24,25,26,27,28,29,30,31,32,34,35,36,37,38},1,FIND(MID($B617,4,1),"ABCDEFGHIJKLMNOPQRSTUVWXYZ")),"")</f>
        <v/>
      </c>
      <c r="K617">
        <f>IF($F617=1,FIND(MID($B617,5,1),"0123456789")-1,"")</f>
        <v/>
      </c>
      <c r="L617">
        <f>IF($F617=1,FIND(MID($B617,6,1),"0123456789")-1,"")</f>
        <v/>
      </c>
      <c r="M617">
        <f>IF($F617=1,FIND(MID($B617,7,1),"0123456789")-1,"")</f>
        <v/>
      </c>
      <c r="N617">
        <f>IF($F617=1,FIND(MID($B617,8,1),"0123456789")-1,"")</f>
        <v/>
      </c>
      <c r="O617">
        <f>IF($F617=1,FIND(MID($B617,9,1),"0123456789")-1,"")</f>
        <v/>
      </c>
      <c r="P617">
        <f>IF($F617=1,FIND(MID($B617,10,1),"0123456789")-1,"")</f>
        <v/>
      </c>
      <c r="Q617">
        <f>IF($F617=1,SUMPRODUCT($G617:$P617,{1,2,4,8,16,32,64,128,256,512}),"")</f>
        <v/>
      </c>
      <c r="R617">
        <f>IF($F617=1,MOD(MOD($Q617,11),10),"")</f>
        <v/>
      </c>
    </row>
    <row r="618">
      <c r="A618" s="6" t="n"/>
      <c r="B618" s="7">
        <f>IF($A618="","",UPPER(SUBSTITUTE(SUBSTITUTE(SUBSTITUTE(SUBSTITUTE(SUBSTITUTE(SUBSTITUTE($A618," ",""),"-",""),".",""),"/",""),"i","I"),"ı","?")))</f>
        <v/>
      </c>
      <c r="C618" s="8">
        <f>IF($F618=1,$R618,"")</f>
        <v/>
      </c>
      <c r="D618" s="7">
        <f>IF($A618="","",IF($F618=0,"Biçim hatalı",IF(FIND(MID($B618,11,1),"0123456789")-1=$R618,"Geçerli","Kontrol hanesi hatalı (doğrusu: "&amp;$R618&amp;")")))</f>
        <v/>
      </c>
      <c r="F618">
        <f>IF($A618="","",IF(AND(LEN($B618)=11,SUMPRODUCT(--ISNUMBER(FIND(MID($B618,{1,2,3},1),"ABCDEFGHIJKLMNOPQRSTUVWXYZ")))=3,ISNUMBER(FIND(MID($B618,4,1),"UJZ")),SUMPRODUCT(--ISNUMBER(FIND(MID($B618,{5,6,7,8,9,10,11},1),"0123456789")))=7),1,0))</f>
        <v/>
      </c>
      <c r="G618">
        <f>IF($F618=1,INDEX({10,12,13,14,15,16,17,18,19,20,21,23,24,25,26,27,28,29,30,31,32,34,35,36,37,38},1,FIND(MID($B618,1,1),"ABCDEFGHIJKLMNOPQRSTUVWXYZ")),"")</f>
        <v/>
      </c>
      <c r="H618">
        <f>IF($F618=1,INDEX({10,12,13,14,15,16,17,18,19,20,21,23,24,25,26,27,28,29,30,31,32,34,35,36,37,38},1,FIND(MID($B618,2,1),"ABCDEFGHIJKLMNOPQRSTUVWXYZ")),"")</f>
        <v/>
      </c>
      <c r="I618">
        <f>IF($F618=1,INDEX({10,12,13,14,15,16,17,18,19,20,21,23,24,25,26,27,28,29,30,31,32,34,35,36,37,38},1,FIND(MID($B618,3,1),"ABCDEFGHIJKLMNOPQRSTUVWXYZ")),"")</f>
        <v/>
      </c>
      <c r="J618">
        <f>IF($F618=1,INDEX({10,12,13,14,15,16,17,18,19,20,21,23,24,25,26,27,28,29,30,31,32,34,35,36,37,38},1,FIND(MID($B618,4,1),"ABCDEFGHIJKLMNOPQRSTUVWXYZ")),"")</f>
        <v/>
      </c>
      <c r="K618">
        <f>IF($F618=1,FIND(MID($B618,5,1),"0123456789")-1,"")</f>
        <v/>
      </c>
      <c r="L618">
        <f>IF($F618=1,FIND(MID($B618,6,1),"0123456789")-1,"")</f>
        <v/>
      </c>
      <c r="M618">
        <f>IF($F618=1,FIND(MID($B618,7,1),"0123456789")-1,"")</f>
        <v/>
      </c>
      <c r="N618">
        <f>IF($F618=1,FIND(MID($B618,8,1),"0123456789")-1,"")</f>
        <v/>
      </c>
      <c r="O618">
        <f>IF($F618=1,FIND(MID($B618,9,1),"0123456789")-1,"")</f>
        <v/>
      </c>
      <c r="P618">
        <f>IF($F618=1,FIND(MID($B618,10,1),"0123456789")-1,"")</f>
        <v/>
      </c>
      <c r="Q618">
        <f>IF($F618=1,SUMPRODUCT($G618:$P618,{1,2,4,8,16,32,64,128,256,512}),"")</f>
        <v/>
      </c>
      <c r="R618">
        <f>IF($F618=1,MOD(MOD($Q618,11),10),"")</f>
        <v/>
      </c>
    </row>
    <row r="619">
      <c r="A619" s="6" t="n"/>
      <c r="B619" s="7">
        <f>IF($A619="","",UPPER(SUBSTITUTE(SUBSTITUTE(SUBSTITUTE(SUBSTITUTE(SUBSTITUTE(SUBSTITUTE($A619," ",""),"-",""),".",""),"/",""),"i","I"),"ı","?")))</f>
        <v/>
      </c>
      <c r="C619" s="8">
        <f>IF($F619=1,$R619,"")</f>
        <v/>
      </c>
      <c r="D619" s="7">
        <f>IF($A619="","",IF($F619=0,"Biçim hatalı",IF(FIND(MID($B619,11,1),"0123456789")-1=$R619,"Geçerli","Kontrol hanesi hatalı (doğrusu: "&amp;$R619&amp;")")))</f>
        <v/>
      </c>
      <c r="F619">
        <f>IF($A619="","",IF(AND(LEN($B619)=11,SUMPRODUCT(--ISNUMBER(FIND(MID($B619,{1,2,3},1),"ABCDEFGHIJKLMNOPQRSTUVWXYZ")))=3,ISNUMBER(FIND(MID($B619,4,1),"UJZ")),SUMPRODUCT(--ISNUMBER(FIND(MID($B619,{5,6,7,8,9,10,11},1),"0123456789")))=7),1,0))</f>
        <v/>
      </c>
      <c r="G619">
        <f>IF($F619=1,INDEX({10,12,13,14,15,16,17,18,19,20,21,23,24,25,26,27,28,29,30,31,32,34,35,36,37,38},1,FIND(MID($B619,1,1),"ABCDEFGHIJKLMNOPQRSTUVWXYZ")),"")</f>
        <v/>
      </c>
      <c r="H619">
        <f>IF($F619=1,INDEX({10,12,13,14,15,16,17,18,19,20,21,23,24,25,26,27,28,29,30,31,32,34,35,36,37,38},1,FIND(MID($B619,2,1),"ABCDEFGHIJKLMNOPQRSTUVWXYZ")),"")</f>
        <v/>
      </c>
      <c r="I619">
        <f>IF($F619=1,INDEX({10,12,13,14,15,16,17,18,19,20,21,23,24,25,26,27,28,29,30,31,32,34,35,36,37,38},1,FIND(MID($B619,3,1),"ABCDEFGHIJKLMNOPQRSTUVWXYZ")),"")</f>
        <v/>
      </c>
      <c r="J619">
        <f>IF($F619=1,INDEX({10,12,13,14,15,16,17,18,19,20,21,23,24,25,26,27,28,29,30,31,32,34,35,36,37,38},1,FIND(MID($B619,4,1),"ABCDEFGHIJKLMNOPQRSTUVWXYZ")),"")</f>
        <v/>
      </c>
      <c r="K619">
        <f>IF($F619=1,FIND(MID($B619,5,1),"0123456789")-1,"")</f>
        <v/>
      </c>
      <c r="L619">
        <f>IF($F619=1,FIND(MID($B619,6,1),"0123456789")-1,"")</f>
        <v/>
      </c>
      <c r="M619">
        <f>IF($F619=1,FIND(MID($B619,7,1),"0123456789")-1,"")</f>
        <v/>
      </c>
      <c r="N619">
        <f>IF($F619=1,FIND(MID($B619,8,1),"0123456789")-1,"")</f>
        <v/>
      </c>
      <c r="O619">
        <f>IF($F619=1,FIND(MID($B619,9,1),"0123456789")-1,"")</f>
        <v/>
      </c>
      <c r="P619">
        <f>IF($F619=1,FIND(MID($B619,10,1),"0123456789")-1,"")</f>
        <v/>
      </c>
      <c r="Q619">
        <f>IF($F619=1,SUMPRODUCT($G619:$P619,{1,2,4,8,16,32,64,128,256,512}),"")</f>
        <v/>
      </c>
      <c r="R619">
        <f>IF($F619=1,MOD(MOD($Q619,11),10),"")</f>
        <v/>
      </c>
    </row>
    <row r="620">
      <c r="A620" s="6" t="n"/>
      <c r="B620" s="7">
        <f>IF($A620="","",UPPER(SUBSTITUTE(SUBSTITUTE(SUBSTITUTE(SUBSTITUTE(SUBSTITUTE(SUBSTITUTE($A620," ",""),"-",""),".",""),"/",""),"i","I"),"ı","?")))</f>
        <v/>
      </c>
      <c r="C620" s="8">
        <f>IF($F620=1,$R620,"")</f>
        <v/>
      </c>
      <c r="D620" s="7">
        <f>IF($A620="","",IF($F620=0,"Biçim hatalı",IF(FIND(MID($B620,11,1),"0123456789")-1=$R620,"Geçerli","Kontrol hanesi hatalı (doğrusu: "&amp;$R620&amp;")")))</f>
        <v/>
      </c>
      <c r="F620">
        <f>IF($A620="","",IF(AND(LEN($B620)=11,SUMPRODUCT(--ISNUMBER(FIND(MID($B620,{1,2,3},1),"ABCDEFGHIJKLMNOPQRSTUVWXYZ")))=3,ISNUMBER(FIND(MID($B620,4,1),"UJZ")),SUMPRODUCT(--ISNUMBER(FIND(MID($B620,{5,6,7,8,9,10,11},1),"0123456789")))=7),1,0))</f>
        <v/>
      </c>
      <c r="G620">
        <f>IF($F620=1,INDEX({10,12,13,14,15,16,17,18,19,20,21,23,24,25,26,27,28,29,30,31,32,34,35,36,37,38},1,FIND(MID($B620,1,1),"ABCDEFGHIJKLMNOPQRSTUVWXYZ")),"")</f>
        <v/>
      </c>
      <c r="H620">
        <f>IF($F620=1,INDEX({10,12,13,14,15,16,17,18,19,20,21,23,24,25,26,27,28,29,30,31,32,34,35,36,37,38},1,FIND(MID($B620,2,1),"ABCDEFGHIJKLMNOPQRSTUVWXYZ")),"")</f>
        <v/>
      </c>
      <c r="I620">
        <f>IF($F620=1,INDEX({10,12,13,14,15,16,17,18,19,20,21,23,24,25,26,27,28,29,30,31,32,34,35,36,37,38},1,FIND(MID($B620,3,1),"ABCDEFGHIJKLMNOPQRSTUVWXYZ")),"")</f>
        <v/>
      </c>
      <c r="J620">
        <f>IF($F620=1,INDEX({10,12,13,14,15,16,17,18,19,20,21,23,24,25,26,27,28,29,30,31,32,34,35,36,37,38},1,FIND(MID($B620,4,1),"ABCDEFGHIJKLMNOPQRSTUVWXYZ")),"")</f>
        <v/>
      </c>
      <c r="K620">
        <f>IF($F620=1,FIND(MID($B620,5,1),"0123456789")-1,"")</f>
        <v/>
      </c>
      <c r="L620">
        <f>IF($F620=1,FIND(MID($B620,6,1),"0123456789")-1,"")</f>
        <v/>
      </c>
      <c r="M620">
        <f>IF($F620=1,FIND(MID($B620,7,1),"0123456789")-1,"")</f>
        <v/>
      </c>
      <c r="N620">
        <f>IF($F620=1,FIND(MID($B620,8,1),"0123456789")-1,"")</f>
        <v/>
      </c>
      <c r="O620">
        <f>IF($F620=1,FIND(MID($B620,9,1),"0123456789")-1,"")</f>
        <v/>
      </c>
      <c r="P620">
        <f>IF($F620=1,FIND(MID($B620,10,1),"0123456789")-1,"")</f>
        <v/>
      </c>
      <c r="Q620">
        <f>IF($F620=1,SUMPRODUCT($G620:$P620,{1,2,4,8,16,32,64,128,256,512}),"")</f>
        <v/>
      </c>
      <c r="R620">
        <f>IF($F620=1,MOD(MOD($Q620,11),10),"")</f>
        <v/>
      </c>
    </row>
    <row r="621">
      <c r="A621" s="6" t="n"/>
      <c r="B621" s="7">
        <f>IF($A621="","",UPPER(SUBSTITUTE(SUBSTITUTE(SUBSTITUTE(SUBSTITUTE(SUBSTITUTE(SUBSTITUTE($A621," ",""),"-",""),".",""),"/",""),"i","I"),"ı","?")))</f>
        <v/>
      </c>
      <c r="C621" s="8">
        <f>IF($F621=1,$R621,"")</f>
        <v/>
      </c>
      <c r="D621" s="7">
        <f>IF($A621="","",IF($F621=0,"Biçim hatalı",IF(FIND(MID($B621,11,1),"0123456789")-1=$R621,"Geçerli","Kontrol hanesi hatalı (doğrusu: "&amp;$R621&amp;")")))</f>
        <v/>
      </c>
      <c r="F621">
        <f>IF($A621="","",IF(AND(LEN($B621)=11,SUMPRODUCT(--ISNUMBER(FIND(MID($B621,{1,2,3},1),"ABCDEFGHIJKLMNOPQRSTUVWXYZ")))=3,ISNUMBER(FIND(MID($B621,4,1),"UJZ")),SUMPRODUCT(--ISNUMBER(FIND(MID($B621,{5,6,7,8,9,10,11},1),"0123456789")))=7),1,0))</f>
        <v/>
      </c>
      <c r="G621">
        <f>IF($F621=1,INDEX({10,12,13,14,15,16,17,18,19,20,21,23,24,25,26,27,28,29,30,31,32,34,35,36,37,38},1,FIND(MID($B621,1,1),"ABCDEFGHIJKLMNOPQRSTUVWXYZ")),"")</f>
        <v/>
      </c>
      <c r="H621">
        <f>IF($F621=1,INDEX({10,12,13,14,15,16,17,18,19,20,21,23,24,25,26,27,28,29,30,31,32,34,35,36,37,38},1,FIND(MID($B621,2,1),"ABCDEFGHIJKLMNOPQRSTUVWXYZ")),"")</f>
        <v/>
      </c>
      <c r="I621">
        <f>IF($F621=1,INDEX({10,12,13,14,15,16,17,18,19,20,21,23,24,25,26,27,28,29,30,31,32,34,35,36,37,38},1,FIND(MID($B621,3,1),"ABCDEFGHIJKLMNOPQRSTUVWXYZ")),"")</f>
        <v/>
      </c>
      <c r="J621">
        <f>IF($F621=1,INDEX({10,12,13,14,15,16,17,18,19,20,21,23,24,25,26,27,28,29,30,31,32,34,35,36,37,38},1,FIND(MID($B621,4,1),"ABCDEFGHIJKLMNOPQRSTUVWXYZ")),"")</f>
        <v/>
      </c>
      <c r="K621">
        <f>IF($F621=1,FIND(MID($B621,5,1),"0123456789")-1,"")</f>
        <v/>
      </c>
      <c r="L621">
        <f>IF($F621=1,FIND(MID($B621,6,1),"0123456789")-1,"")</f>
        <v/>
      </c>
      <c r="M621">
        <f>IF($F621=1,FIND(MID($B621,7,1),"0123456789")-1,"")</f>
        <v/>
      </c>
      <c r="N621">
        <f>IF($F621=1,FIND(MID($B621,8,1),"0123456789")-1,"")</f>
        <v/>
      </c>
      <c r="O621">
        <f>IF($F621=1,FIND(MID($B621,9,1),"0123456789")-1,"")</f>
        <v/>
      </c>
      <c r="P621">
        <f>IF($F621=1,FIND(MID($B621,10,1),"0123456789")-1,"")</f>
        <v/>
      </c>
      <c r="Q621">
        <f>IF($F621=1,SUMPRODUCT($G621:$P621,{1,2,4,8,16,32,64,128,256,512}),"")</f>
        <v/>
      </c>
      <c r="R621">
        <f>IF($F621=1,MOD(MOD($Q621,11),10),"")</f>
        <v/>
      </c>
    </row>
    <row r="622">
      <c r="A622" s="6" t="n"/>
      <c r="B622" s="7">
        <f>IF($A622="","",UPPER(SUBSTITUTE(SUBSTITUTE(SUBSTITUTE(SUBSTITUTE(SUBSTITUTE(SUBSTITUTE($A622," ",""),"-",""),".",""),"/",""),"i","I"),"ı","?")))</f>
        <v/>
      </c>
      <c r="C622" s="8">
        <f>IF($F622=1,$R622,"")</f>
        <v/>
      </c>
      <c r="D622" s="7">
        <f>IF($A622="","",IF($F622=0,"Biçim hatalı",IF(FIND(MID($B622,11,1),"0123456789")-1=$R622,"Geçerli","Kontrol hanesi hatalı (doğrusu: "&amp;$R622&amp;")")))</f>
        <v/>
      </c>
      <c r="F622">
        <f>IF($A622="","",IF(AND(LEN($B622)=11,SUMPRODUCT(--ISNUMBER(FIND(MID($B622,{1,2,3},1),"ABCDEFGHIJKLMNOPQRSTUVWXYZ")))=3,ISNUMBER(FIND(MID($B622,4,1),"UJZ")),SUMPRODUCT(--ISNUMBER(FIND(MID($B622,{5,6,7,8,9,10,11},1),"0123456789")))=7),1,0))</f>
        <v/>
      </c>
      <c r="G622">
        <f>IF($F622=1,INDEX({10,12,13,14,15,16,17,18,19,20,21,23,24,25,26,27,28,29,30,31,32,34,35,36,37,38},1,FIND(MID($B622,1,1),"ABCDEFGHIJKLMNOPQRSTUVWXYZ")),"")</f>
        <v/>
      </c>
      <c r="H622">
        <f>IF($F622=1,INDEX({10,12,13,14,15,16,17,18,19,20,21,23,24,25,26,27,28,29,30,31,32,34,35,36,37,38},1,FIND(MID($B622,2,1),"ABCDEFGHIJKLMNOPQRSTUVWXYZ")),"")</f>
        <v/>
      </c>
      <c r="I622">
        <f>IF($F622=1,INDEX({10,12,13,14,15,16,17,18,19,20,21,23,24,25,26,27,28,29,30,31,32,34,35,36,37,38},1,FIND(MID($B622,3,1),"ABCDEFGHIJKLMNOPQRSTUVWXYZ")),"")</f>
        <v/>
      </c>
      <c r="J622">
        <f>IF($F622=1,INDEX({10,12,13,14,15,16,17,18,19,20,21,23,24,25,26,27,28,29,30,31,32,34,35,36,37,38},1,FIND(MID($B622,4,1),"ABCDEFGHIJKLMNOPQRSTUVWXYZ")),"")</f>
        <v/>
      </c>
      <c r="K622">
        <f>IF($F622=1,FIND(MID($B622,5,1),"0123456789")-1,"")</f>
        <v/>
      </c>
      <c r="L622">
        <f>IF($F622=1,FIND(MID($B622,6,1),"0123456789")-1,"")</f>
        <v/>
      </c>
      <c r="M622">
        <f>IF($F622=1,FIND(MID($B622,7,1),"0123456789")-1,"")</f>
        <v/>
      </c>
      <c r="N622">
        <f>IF($F622=1,FIND(MID($B622,8,1),"0123456789")-1,"")</f>
        <v/>
      </c>
      <c r="O622">
        <f>IF($F622=1,FIND(MID($B622,9,1),"0123456789")-1,"")</f>
        <v/>
      </c>
      <c r="P622">
        <f>IF($F622=1,FIND(MID($B622,10,1),"0123456789")-1,"")</f>
        <v/>
      </c>
      <c r="Q622">
        <f>IF($F622=1,SUMPRODUCT($G622:$P622,{1,2,4,8,16,32,64,128,256,512}),"")</f>
        <v/>
      </c>
      <c r="R622">
        <f>IF($F622=1,MOD(MOD($Q622,11),10),"")</f>
        <v/>
      </c>
    </row>
    <row r="623">
      <c r="A623" s="6" t="n"/>
      <c r="B623" s="7">
        <f>IF($A623="","",UPPER(SUBSTITUTE(SUBSTITUTE(SUBSTITUTE(SUBSTITUTE(SUBSTITUTE(SUBSTITUTE($A623," ",""),"-",""),".",""),"/",""),"i","I"),"ı","?")))</f>
        <v/>
      </c>
      <c r="C623" s="8">
        <f>IF($F623=1,$R623,"")</f>
        <v/>
      </c>
      <c r="D623" s="7">
        <f>IF($A623="","",IF($F623=0,"Biçim hatalı",IF(FIND(MID($B623,11,1),"0123456789")-1=$R623,"Geçerli","Kontrol hanesi hatalı (doğrusu: "&amp;$R623&amp;")")))</f>
        <v/>
      </c>
      <c r="F623">
        <f>IF($A623="","",IF(AND(LEN($B623)=11,SUMPRODUCT(--ISNUMBER(FIND(MID($B623,{1,2,3},1),"ABCDEFGHIJKLMNOPQRSTUVWXYZ")))=3,ISNUMBER(FIND(MID($B623,4,1),"UJZ")),SUMPRODUCT(--ISNUMBER(FIND(MID($B623,{5,6,7,8,9,10,11},1),"0123456789")))=7),1,0))</f>
        <v/>
      </c>
      <c r="G623">
        <f>IF($F623=1,INDEX({10,12,13,14,15,16,17,18,19,20,21,23,24,25,26,27,28,29,30,31,32,34,35,36,37,38},1,FIND(MID($B623,1,1),"ABCDEFGHIJKLMNOPQRSTUVWXYZ")),"")</f>
        <v/>
      </c>
      <c r="H623">
        <f>IF($F623=1,INDEX({10,12,13,14,15,16,17,18,19,20,21,23,24,25,26,27,28,29,30,31,32,34,35,36,37,38},1,FIND(MID($B623,2,1),"ABCDEFGHIJKLMNOPQRSTUVWXYZ")),"")</f>
        <v/>
      </c>
      <c r="I623">
        <f>IF($F623=1,INDEX({10,12,13,14,15,16,17,18,19,20,21,23,24,25,26,27,28,29,30,31,32,34,35,36,37,38},1,FIND(MID($B623,3,1),"ABCDEFGHIJKLMNOPQRSTUVWXYZ")),"")</f>
        <v/>
      </c>
      <c r="J623">
        <f>IF($F623=1,INDEX({10,12,13,14,15,16,17,18,19,20,21,23,24,25,26,27,28,29,30,31,32,34,35,36,37,38},1,FIND(MID($B623,4,1),"ABCDEFGHIJKLMNOPQRSTUVWXYZ")),"")</f>
        <v/>
      </c>
      <c r="K623">
        <f>IF($F623=1,FIND(MID($B623,5,1),"0123456789")-1,"")</f>
        <v/>
      </c>
      <c r="L623">
        <f>IF($F623=1,FIND(MID($B623,6,1),"0123456789")-1,"")</f>
        <v/>
      </c>
      <c r="M623">
        <f>IF($F623=1,FIND(MID($B623,7,1),"0123456789")-1,"")</f>
        <v/>
      </c>
      <c r="N623">
        <f>IF($F623=1,FIND(MID($B623,8,1),"0123456789")-1,"")</f>
        <v/>
      </c>
      <c r="O623">
        <f>IF($F623=1,FIND(MID($B623,9,1),"0123456789")-1,"")</f>
        <v/>
      </c>
      <c r="P623">
        <f>IF($F623=1,FIND(MID($B623,10,1),"0123456789")-1,"")</f>
        <v/>
      </c>
      <c r="Q623">
        <f>IF($F623=1,SUMPRODUCT($G623:$P623,{1,2,4,8,16,32,64,128,256,512}),"")</f>
        <v/>
      </c>
      <c r="R623">
        <f>IF($F623=1,MOD(MOD($Q623,11),10),"")</f>
        <v/>
      </c>
    </row>
    <row r="624">
      <c r="A624" s="6" t="n"/>
      <c r="B624" s="7">
        <f>IF($A624="","",UPPER(SUBSTITUTE(SUBSTITUTE(SUBSTITUTE(SUBSTITUTE(SUBSTITUTE(SUBSTITUTE($A624," ",""),"-",""),".",""),"/",""),"i","I"),"ı","?")))</f>
        <v/>
      </c>
      <c r="C624" s="8">
        <f>IF($F624=1,$R624,"")</f>
        <v/>
      </c>
      <c r="D624" s="7">
        <f>IF($A624="","",IF($F624=0,"Biçim hatalı",IF(FIND(MID($B624,11,1),"0123456789")-1=$R624,"Geçerli","Kontrol hanesi hatalı (doğrusu: "&amp;$R624&amp;")")))</f>
        <v/>
      </c>
      <c r="F624">
        <f>IF($A624="","",IF(AND(LEN($B624)=11,SUMPRODUCT(--ISNUMBER(FIND(MID($B624,{1,2,3},1),"ABCDEFGHIJKLMNOPQRSTUVWXYZ")))=3,ISNUMBER(FIND(MID($B624,4,1),"UJZ")),SUMPRODUCT(--ISNUMBER(FIND(MID($B624,{5,6,7,8,9,10,11},1),"0123456789")))=7),1,0))</f>
        <v/>
      </c>
      <c r="G624">
        <f>IF($F624=1,INDEX({10,12,13,14,15,16,17,18,19,20,21,23,24,25,26,27,28,29,30,31,32,34,35,36,37,38},1,FIND(MID($B624,1,1),"ABCDEFGHIJKLMNOPQRSTUVWXYZ")),"")</f>
        <v/>
      </c>
      <c r="H624">
        <f>IF($F624=1,INDEX({10,12,13,14,15,16,17,18,19,20,21,23,24,25,26,27,28,29,30,31,32,34,35,36,37,38},1,FIND(MID($B624,2,1),"ABCDEFGHIJKLMNOPQRSTUVWXYZ")),"")</f>
        <v/>
      </c>
      <c r="I624">
        <f>IF($F624=1,INDEX({10,12,13,14,15,16,17,18,19,20,21,23,24,25,26,27,28,29,30,31,32,34,35,36,37,38},1,FIND(MID($B624,3,1),"ABCDEFGHIJKLMNOPQRSTUVWXYZ")),"")</f>
        <v/>
      </c>
      <c r="J624">
        <f>IF($F624=1,INDEX({10,12,13,14,15,16,17,18,19,20,21,23,24,25,26,27,28,29,30,31,32,34,35,36,37,38},1,FIND(MID($B624,4,1),"ABCDEFGHIJKLMNOPQRSTUVWXYZ")),"")</f>
        <v/>
      </c>
      <c r="K624">
        <f>IF($F624=1,FIND(MID($B624,5,1),"0123456789")-1,"")</f>
        <v/>
      </c>
      <c r="L624">
        <f>IF($F624=1,FIND(MID($B624,6,1),"0123456789")-1,"")</f>
        <v/>
      </c>
      <c r="M624">
        <f>IF($F624=1,FIND(MID($B624,7,1),"0123456789")-1,"")</f>
        <v/>
      </c>
      <c r="N624">
        <f>IF($F624=1,FIND(MID($B624,8,1),"0123456789")-1,"")</f>
        <v/>
      </c>
      <c r="O624">
        <f>IF($F624=1,FIND(MID($B624,9,1),"0123456789")-1,"")</f>
        <v/>
      </c>
      <c r="P624">
        <f>IF($F624=1,FIND(MID($B624,10,1),"0123456789")-1,"")</f>
        <v/>
      </c>
      <c r="Q624">
        <f>IF($F624=1,SUMPRODUCT($G624:$P624,{1,2,4,8,16,32,64,128,256,512}),"")</f>
        <v/>
      </c>
      <c r="R624">
        <f>IF($F624=1,MOD(MOD($Q624,11),10),"")</f>
        <v/>
      </c>
    </row>
    <row r="625">
      <c r="A625" s="6" t="n"/>
      <c r="B625" s="7">
        <f>IF($A625="","",UPPER(SUBSTITUTE(SUBSTITUTE(SUBSTITUTE(SUBSTITUTE(SUBSTITUTE(SUBSTITUTE($A625," ",""),"-",""),".",""),"/",""),"i","I"),"ı","?")))</f>
        <v/>
      </c>
      <c r="C625" s="8">
        <f>IF($F625=1,$R625,"")</f>
        <v/>
      </c>
      <c r="D625" s="7">
        <f>IF($A625="","",IF($F625=0,"Biçim hatalı",IF(FIND(MID($B625,11,1),"0123456789")-1=$R625,"Geçerli","Kontrol hanesi hatalı (doğrusu: "&amp;$R625&amp;")")))</f>
        <v/>
      </c>
      <c r="F625">
        <f>IF($A625="","",IF(AND(LEN($B625)=11,SUMPRODUCT(--ISNUMBER(FIND(MID($B625,{1,2,3},1),"ABCDEFGHIJKLMNOPQRSTUVWXYZ")))=3,ISNUMBER(FIND(MID($B625,4,1),"UJZ")),SUMPRODUCT(--ISNUMBER(FIND(MID($B625,{5,6,7,8,9,10,11},1),"0123456789")))=7),1,0))</f>
        <v/>
      </c>
      <c r="G625">
        <f>IF($F625=1,INDEX({10,12,13,14,15,16,17,18,19,20,21,23,24,25,26,27,28,29,30,31,32,34,35,36,37,38},1,FIND(MID($B625,1,1),"ABCDEFGHIJKLMNOPQRSTUVWXYZ")),"")</f>
        <v/>
      </c>
      <c r="H625">
        <f>IF($F625=1,INDEX({10,12,13,14,15,16,17,18,19,20,21,23,24,25,26,27,28,29,30,31,32,34,35,36,37,38},1,FIND(MID($B625,2,1),"ABCDEFGHIJKLMNOPQRSTUVWXYZ")),"")</f>
        <v/>
      </c>
      <c r="I625">
        <f>IF($F625=1,INDEX({10,12,13,14,15,16,17,18,19,20,21,23,24,25,26,27,28,29,30,31,32,34,35,36,37,38},1,FIND(MID($B625,3,1),"ABCDEFGHIJKLMNOPQRSTUVWXYZ")),"")</f>
        <v/>
      </c>
      <c r="J625">
        <f>IF($F625=1,INDEX({10,12,13,14,15,16,17,18,19,20,21,23,24,25,26,27,28,29,30,31,32,34,35,36,37,38},1,FIND(MID($B625,4,1),"ABCDEFGHIJKLMNOPQRSTUVWXYZ")),"")</f>
        <v/>
      </c>
      <c r="K625">
        <f>IF($F625=1,FIND(MID($B625,5,1),"0123456789")-1,"")</f>
        <v/>
      </c>
      <c r="L625">
        <f>IF($F625=1,FIND(MID($B625,6,1),"0123456789")-1,"")</f>
        <v/>
      </c>
      <c r="M625">
        <f>IF($F625=1,FIND(MID($B625,7,1),"0123456789")-1,"")</f>
        <v/>
      </c>
      <c r="N625">
        <f>IF($F625=1,FIND(MID($B625,8,1),"0123456789")-1,"")</f>
        <v/>
      </c>
      <c r="O625">
        <f>IF($F625=1,FIND(MID($B625,9,1),"0123456789")-1,"")</f>
        <v/>
      </c>
      <c r="P625">
        <f>IF($F625=1,FIND(MID($B625,10,1),"0123456789")-1,"")</f>
        <v/>
      </c>
      <c r="Q625">
        <f>IF($F625=1,SUMPRODUCT($G625:$P625,{1,2,4,8,16,32,64,128,256,512}),"")</f>
        <v/>
      </c>
      <c r="R625">
        <f>IF($F625=1,MOD(MOD($Q625,11),10),"")</f>
        <v/>
      </c>
    </row>
    <row r="626">
      <c r="A626" s="6" t="n"/>
      <c r="B626" s="7">
        <f>IF($A626="","",UPPER(SUBSTITUTE(SUBSTITUTE(SUBSTITUTE(SUBSTITUTE(SUBSTITUTE(SUBSTITUTE($A626," ",""),"-",""),".",""),"/",""),"i","I"),"ı","?")))</f>
        <v/>
      </c>
      <c r="C626" s="8">
        <f>IF($F626=1,$R626,"")</f>
        <v/>
      </c>
      <c r="D626" s="7">
        <f>IF($A626="","",IF($F626=0,"Biçim hatalı",IF(FIND(MID($B626,11,1),"0123456789")-1=$R626,"Geçerli","Kontrol hanesi hatalı (doğrusu: "&amp;$R626&amp;")")))</f>
        <v/>
      </c>
      <c r="F626">
        <f>IF($A626="","",IF(AND(LEN($B626)=11,SUMPRODUCT(--ISNUMBER(FIND(MID($B626,{1,2,3},1),"ABCDEFGHIJKLMNOPQRSTUVWXYZ")))=3,ISNUMBER(FIND(MID($B626,4,1),"UJZ")),SUMPRODUCT(--ISNUMBER(FIND(MID($B626,{5,6,7,8,9,10,11},1),"0123456789")))=7),1,0))</f>
        <v/>
      </c>
      <c r="G626">
        <f>IF($F626=1,INDEX({10,12,13,14,15,16,17,18,19,20,21,23,24,25,26,27,28,29,30,31,32,34,35,36,37,38},1,FIND(MID($B626,1,1),"ABCDEFGHIJKLMNOPQRSTUVWXYZ")),"")</f>
        <v/>
      </c>
      <c r="H626">
        <f>IF($F626=1,INDEX({10,12,13,14,15,16,17,18,19,20,21,23,24,25,26,27,28,29,30,31,32,34,35,36,37,38},1,FIND(MID($B626,2,1),"ABCDEFGHIJKLMNOPQRSTUVWXYZ")),"")</f>
        <v/>
      </c>
      <c r="I626">
        <f>IF($F626=1,INDEX({10,12,13,14,15,16,17,18,19,20,21,23,24,25,26,27,28,29,30,31,32,34,35,36,37,38},1,FIND(MID($B626,3,1),"ABCDEFGHIJKLMNOPQRSTUVWXYZ")),"")</f>
        <v/>
      </c>
      <c r="J626">
        <f>IF($F626=1,INDEX({10,12,13,14,15,16,17,18,19,20,21,23,24,25,26,27,28,29,30,31,32,34,35,36,37,38},1,FIND(MID($B626,4,1),"ABCDEFGHIJKLMNOPQRSTUVWXYZ")),"")</f>
        <v/>
      </c>
      <c r="K626">
        <f>IF($F626=1,FIND(MID($B626,5,1),"0123456789")-1,"")</f>
        <v/>
      </c>
      <c r="L626">
        <f>IF($F626=1,FIND(MID($B626,6,1),"0123456789")-1,"")</f>
        <v/>
      </c>
      <c r="M626">
        <f>IF($F626=1,FIND(MID($B626,7,1),"0123456789")-1,"")</f>
        <v/>
      </c>
      <c r="N626">
        <f>IF($F626=1,FIND(MID($B626,8,1),"0123456789")-1,"")</f>
        <v/>
      </c>
      <c r="O626">
        <f>IF($F626=1,FIND(MID($B626,9,1),"0123456789")-1,"")</f>
        <v/>
      </c>
      <c r="P626">
        <f>IF($F626=1,FIND(MID($B626,10,1),"0123456789")-1,"")</f>
        <v/>
      </c>
      <c r="Q626">
        <f>IF($F626=1,SUMPRODUCT($G626:$P626,{1,2,4,8,16,32,64,128,256,512}),"")</f>
        <v/>
      </c>
      <c r="R626">
        <f>IF($F626=1,MOD(MOD($Q626,11),10),"")</f>
        <v/>
      </c>
    </row>
    <row r="627">
      <c r="A627" s="6" t="n"/>
      <c r="B627" s="7">
        <f>IF($A627="","",UPPER(SUBSTITUTE(SUBSTITUTE(SUBSTITUTE(SUBSTITUTE(SUBSTITUTE(SUBSTITUTE($A627," ",""),"-",""),".",""),"/",""),"i","I"),"ı","?")))</f>
        <v/>
      </c>
      <c r="C627" s="8">
        <f>IF($F627=1,$R627,"")</f>
        <v/>
      </c>
      <c r="D627" s="7">
        <f>IF($A627="","",IF($F627=0,"Biçim hatalı",IF(FIND(MID($B627,11,1),"0123456789")-1=$R627,"Geçerli","Kontrol hanesi hatalı (doğrusu: "&amp;$R627&amp;")")))</f>
        <v/>
      </c>
      <c r="F627">
        <f>IF($A627="","",IF(AND(LEN($B627)=11,SUMPRODUCT(--ISNUMBER(FIND(MID($B627,{1,2,3},1),"ABCDEFGHIJKLMNOPQRSTUVWXYZ")))=3,ISNUMBER(FIND(MID($B627,4,1),"UJZ")),SUMPRODUCT(--ISNUMBER(FIND(MID($B627,{5,6,7,8,9,10,11},1),"0123456789")))=7),1,0))</f>
        <v/>
      </c>
      <c r="G627">
        <f>IF($F627=1,INDEX({10,12,13,14,15,16,17,18,19,20,21,23,24,25,26,27,28,29,30,31,32,34,35,36,37,38},1,FIND(MID($B627,1,1),"ABCDEFGHIJKLMNOPQRSTUVWXYZ")),"")</f>
        <v/>
      </c>
      <c r="H627">
        <f>IF($F627=1,INDEX({10,12,13,14,15,16,17,18,19,20,21,23,24,25,26,27,28,29,30,31,32,34,35,36,37,38},1,FIND(MID($B627,2,1),"ABCDEFGHIJKLMNOPQRSTUVWXYZ")),"")</f>
        <v/>
      </c>
      <c r="I627">
        <f>IF($F627=1,INDEX({10,12,13,14,15,16,17,18,19,20,21,23,24,25,26,27,28,29,30,31,32,34,35,36,37,38},1,FIND(MID($B627,3,1),"ABCDEFGHIJKLMNOPQRSTUVWXYZ")),"")</f>
        <v/>
      </c>
      <c r="J627">
        <f>IF($F627=1,INDEX({10,12,13,14,15,16,17,18,19,20,21,23,24,25,26,27,28,29,30,31,32,34,35,36,37,38},1,FIND(MID($B627,4,1),"ABCDEFGHIJKLMNOPQRSTUVWXYZ")),"")</f>
        <v/>
      </c>
      <c r="K627">
        <f>IF($F627=1,FIND(MID($B627,5,1),"0123456789")-1,"")</f>
        <v/>
      </c>
      <c r="L627">
        <f>IF($F627=1,FIND(MID($B627,6,1),"0123456789")-1,"")</f>
        <v/>
      </c>
      <c r="M627">
        <f>IF($F627=1,FIND(MID($B627,7,1),"0123456789")-1,"")</f>
        <v/>
      </c>
      <c r="N627">
        <f>IF($F627=1,FIND(MID($B627,8,1),"0123456789")-1,"")</f>
        <v/>
      </c>
      <c r="O627">
        <f>IF($F627=1,FIND(MID($B627,9,1),"0123456789")-1,"")</f>
        <v/>
      </c>
      <c r="P627">
        <f>IF($F627=1,FIND(MID($B627,10,1),"0123456789")-1,"")</f>
        <v/>
      </c>
      <c r="Q627">
        <f>IF($F627=1,SUMPRODUCT($G627:$P627,{1,2,4,8,16,32,64,128,256,512}),"")</f>
        <v/>
      </c>
      <c r="R627">
        <f>IF($F627=1,MOD(MOD($Q627,11),10),"")</f>
        <v/>
      </c>
    </row>
    <row r="628">
      <c r="A628" s="6" t="n"/>
      <c r="B628" s="7">
        <f>IF($A628="","",UPPER(SUBSTITUTE(SUBSTITUTE(SUBSTITUTE(SUBSTITUTE(SUBSTITUTE(SUBSTITUTE($A628," ",""),"-",""),".",""),"/",""),"i","I"),"ı","?")))</f>
        <v/>
      </c>
      <c r="C628" s="8">
        <f>IF($F628=1,$R628,"")</f>
        <v/>
      </c>
      <c r="D628" s="7">
        <f>IF($A628="","",IF($F628=0,"Biçim hatalı",IF(FIND(MID($B628,11,1),"0123456789")-1=$R628,"Geçerli","Kontrol hanesi hatalı (doğrusu: "&amp;$R628&amp;")")))</f>
        <v/>
      </c>
      <c r="F628">
        <f>IF($A628="","",IF(AND(LEN($B628)=11,SUMPRODUCT(--ISNUMBER(FIND(MID($B628,{1,2,3},1),"ABCDEFGHIJKLMNOPQRSTUVWXYZ")))=3,ISNUMBER(FIND(MID($B628,4,1),"UJZ")),SUMPRODUCT(--ISNUMBER(FIND(MID($B628,{5,6,7,8,9,10,11},1),"0123456789")))=7),1,0))</f>
        <v/>
      </c>
      <c r="G628">
        <f>IF($F628=1,INDEX({10,12,13,14,15,16,17,18,19,20,21,23,24,25,26,27,28,29,30,31,32,34,35,36,37,38},1,FIND(MID($B628,1,1),"ABCDEFGHIJKLMNOPQRSTUVWXYZ")),"")</f>
        <v/>
      </c>
      <c r="H628">
        <f>IF($F628=1,INDEX({10,12,13,14,15,16,17,18,19,20,21,23,24,25,26,27,28,29,30,31,32,34,35,36,37,38},1,FIND(MID($B628,2,1),"ABCDEFGHIJKLMNOPQRSTUVWXYZ")),"")</f>
        <v/>
      </c>
      <c r="I628">
        <f>IF($F628=1,INDEX({10,12,13,14,15,16,17,18,19,20,21,23,24,25,26,27,28,29,30,31,32,34,35,36,37,38},1,FIND(MID($B628,3,1),"ABCDEFGHIJKLMNOPQRSTUVWXYZ")),"")</f>
        <v/>
      </c>
      <c r="J628">
        <f>IF($F628=1,INDEX({10,12,13,14,15,16,17,18,19,20,21,23,24,25,26,27,28,29,30,31,32,34,35,36,37,38},1,FIND(MID($B628,4,1),"ABCDEFGHIJKLMNOPQRSTUVWXYZ")),"")</f>
        <v/>
      </c>
      <c r="K628">
        <f>IF($F628=1,FIND(MID($B628,5,1),"0123456789")-1,"")</f>
        <v/>
      </c>
      <c r="L628">
        <f>IF($F628=1,FIND(MID($B628,6,1),"0123456789")-1,"")</f>
        <v/>
      </c>
      <c r="M628">
        <f>IF($F628=1,FIND(MID($B628,7,1),"0123456789")-1,"")</f>
        <v/>
      </c>
      <c r="N628">
        <f>IF($F628=1,FIND(MID($B628,8,1),"0123456789")-1,"")</f>
        <v/>
      </c>
      <c r="O628">
        <f>IF($F628=1,FIND(MID($B628,9,1),"0123456789")-1,"")</f>
        <v/>
      </c>
      <c r="P628">
        <f>IF($F628=1,FIND(MID($B628,10,1),"0123456789")-1,"")</f>
        <v/>
      </c>
      <c r="Q628">
        <f>IF($F628=1,SUMPRODUCT($G628:$P628,{1,2,4,8,16,32,64,128,256,512}),"")</f>
        <v/>
      </c>
      <c r="R628">
        <f>IF($F628=1,MOD(MOD($Q628,11),10),"")</f>
        <v/>
      </c>
    </row>
    <row r="629">
      <c r="A629" s="6" t="n"/>
      <c r="B629" s="7">
        <f>IF($A629="","",UPPER(SUBSTITUTE(SUBSTITUTE(SUBSTITUTE(SUBSTITUTE(SUBSTITUTE(SUBSTITUTE($A629," ",""),"-",""),".",""),"/",""),"i","I"),"ı","?")))</f>
        <v/>
      </c>
      <c r="C629" s="8">
        <f>IF($F629=1,$R629,"")</f>
        <v/>
      </c>
      <c r="D629" s="7">
        <f>IF($A629="","",IF($F629=0,"Biçim hatalı",IF(FIND(MID($B629,11,1),"0123456789")-1=$R629,"Geçerli","Kontrol hanesi hatalı (doğrusu: "&amp;$R629&amp;")")))</f>
        <v/>
      </c>
      <c r="F629">
        <f>IF($A629="","",IF(AND(LEN($B629)=11,SUMPRODUCT(--ISNUMBER(FIND(MID($B629,{1,2,3},1),"ABCDEFGHIJKLMNOPQRSTUVWXYZ")))=3,ISNUMBER(FIND(MID($B629,4,1),"UJZ")),SUMPRODUCT(--ISNUMBER(FIND(MID($B629,{5,6,7,8,9,10,11},1),"0123456789")))=7),1,0))</f>
        <v/>
      </c>
      <c r="G629">
        <f>IF($F629=1,INDEX({10,12,13,14,15,16,17,18,19,20,21,23,24,25,26,27,28,29,30,31,32,34,35,36,37,38},1,FIND(MID($B629,1,1),"ABCDEFGHIJKLMNOPQRSTUVWXYZ")),"")</f>
        <v/>
      </c>
      <c r="H629">
        <f>IF($F629=1,INDEX({10,12,13,14,15,16,17,18,19,20,21,23,24,25,26,27,28,29,30,31,32,34,35,36,37,38},1,FIND(MID($B629,2,1),"ABCDEFGHIJKLMNOPQRSTUVWXYZ")),"")</f>
        <v/>
      </c>
      <c r="I629">
        <f>IF($F629=1,INDEX({10,12,13,14,15,16,17,18,19,20,21,23,24,25,26,27,28,29,30,31,32,34,35,36,37,38},1,FIND(MID($B629,3,1),"ABCDEFGHIJKLMNOPQRSTUVWXYZ")),"")</f>
        <v/>
      </c>
      <c r="J629">
        <f>IF($F629=1,INDEX({10,12,13,14,15,16,17,18,19,20,21,23,24,25,26,27,28,29,30,31,32,34,35,36,37,38},1,FIND(MID($B629,4,1),"ABCDEFGHIJKLMNOPQRSTUVWXYZ")),"")</f>
        <v/>
      </c>
      <c r="K629">
        <f>IF($F629=1,FIND(MID($B629,5,1),"0123456789")-1,"")</f>
        <v/>
      </c>
      <c r="L629">
        <f>IF($F629=1,FIND(MID($B629,6,1),"0123456789")-1,"")</f>
        <v/>
      </c>
      <c r="M629">
        <f>IF($F629=1,FIND(MID($B629,7,1),"0123456789")-1,"")</f>
        <v/>
      </c>
      <c r="N629">
        <f>IF($F629=1,FIND(MID($B629,8,1),"0123456789")-1,"")</f>
        <v/>
      </c>
      <c r="O629">
        <f>IF($F629=1,FIND(MID($B629,9,1),"0123456789")-1,"")</f>
        <v/>
      </c>
      <c r="P629">
        <f>IF($F629=1,FIND(MID($B629,10,1),"0123456789")-1,"")</f>
        <v/>
      </c>
      <c r="Q629">
        <f>IF($F629=1,SUMPRODUCT($G629:$P629,{1,2,4,8,16,32,64,128,256,512}),"")</f>
        <v/>
      </c>
      <c r="R629">
        <f>IF($F629=1,MOD(MOD($Q629,11),10),"")</f>
        <v/>
      </c>
    </row>
    <row r="630">
      <c r="A630" s="6" t="n"/>
      <c r="B630" s="7">
        <f>IF($A630="","",UPPER(SUBSTITUTE(SUBSTITUTE(SUBSTITUTE(SUBSTITUTE(SUBSTITUTE(SUBSTITUTE($A630," ",""),"-",""),".",""),"/",""),"i","I"),"ı","?")))</f>
        <v/>
      </c>
      <c r="C630" s="8">
        <f>IF($F630=1,$R630,"")</f>
        <v/>
      </c>
      <c r="D630" s="7">
        <f>IF($A630="","",IF($F630=0,"Biçim hatalı",IF(FIND(MID($B630,11,1),"0123456789")-1=$R630,"Geçerli","Kontrol hanesi hatalı (doğrusu: "&amp;$R630&amp;")")))</f>
        <v/>
      </c>
      <c r="F630">
        <f>IF($A630="","",IF(AND(LEN($B630)=11,SUMPRODUCT(--ISNUMBER(FIND(MID($B630,{1,2,3},1),"ABCDEFGHIJKLMNOPQRSTUVWXYZ")))=3,ISNUMBER(FIND(MID($B630,4,1),"UJZ")),SUMPRODUCT(--ISNUMBER(FIND(MID($B630,{5,6,7,8,9,10,11},1),"0123456789")))=7),1,0))</f>
        <v/>
      </c>
      <c r="G630">
        <f>IF($F630=1,INDEX({10,12,13,14,15,16,17,18,19,20,21,23,24,25,26,27,28,29,30,31,32,34,35,36,37,38},1,FIND(MID($B630,1,1),"ABCDEFGHIJKLMNOPQRSTUVWXYZ")),"")</f>
        <v/>
      </c>
      <c r="H630">
        <f>IF($F630=1,INDEX({10,12,13,14,15,16,17,18,19,20,21,23,24,25,26,27,28,29,30,31,32,34,35,36,37,38},1,FIND(MID($B630,2,1),"ABCDEFGHIJKLMNOPQRSTUVWXYZ")),"")</f>
        <v/>
      </c>
      <c r="I630">
        <f>IF($F630=1,INDEX({10,12,13,14,15,16,17,18,19,20,21,23,24,25,26,27,28,29,30,31,32,34,35,36,37,38},1,FIND(MID($B630,3,1),"ABCDEFGHIJKLMNOPQRSTUVWXYZ")),"")</f>
        <v/>
      </c>
      <c r="J630">
        <f>IF($F630=1,INDEX({10,12,13,14,15,16,17,18,19,20,21,23,24,25,26,27,28,29,30,31,32,34,35,36,37,38},1,FIND(MID($B630,4,1),"ABCDEFGHIJKLMNOPQRSTUVWXYZ")),"")</f>
        <v/>
      </c>
      <c r="K630">
        <f>IF($F630=1,FIND(MID($B630,5,1),"0123456789")-1,"")</f>
        <v/>
      </c>
      <c r="L630">
        <f>IF($F630=1,FIND(MID($B630,6,1),"0123456789")-1,"")</f>
        <v/>
      </c>
      <c r="M630">
        <f>IF($F630=1,FIND(MID($B630,7,1),"0123456789")-1,"")</f>
        <v/>
      </c>
      <c r="N630">
        <f>IF($F630=1,FIND(MID($B630,8,1),"0123456789")-1,"")</f>
        <v/>
      </c>
      <c r="O630">
        <f>IF($F630=1,FIND(MID($B630,9,1),"0123456789")-1,"")</f>
        <v/>
      </c>
      <c r="P630">
        <f>IF($F630=1,FIND(MID($B630,10,1),"0123456789")-1,"")</f>
        <v/>
      </c>
      <c r="Q630">
        <f>IF($F630=1,SUMPRODUCT($G630:$P630,{1,2,4,8,16,32,64,128,256,512}),"")</f>
        <v/>
      </c>
      <c r="R630">
        <f>IF($F630=1,MOD(MOD($Q630,11),10),"")</f>
        <v/>
      </c>
    </row>
    <row r="631">
      <c r="A631" s="6" t="n"/>
      <c r="B631" s="7">
        <f>IF($A631="","",UPPER(SUBSTITUTE(SUBSTITUTE(SUBSTITUTE(SUBSTITUTE(SUBSTITUTE(SUBSTITUTE($A631," ",""),"-",""),".",""),"/",""),"i","I"),"ı","?")))</f>
        <v/>
      </c>
      <c r="C631" s="8">
        <f>IF($F631=1,$R631,"")</f>
        <v/>
      </c>
      <c r="D631" s="7">
        <f>IF($A631="","",IF($F631=0,"Biçim hatalı",IF(FIND(MID($B631,11,1),"0123456789")-1=$R631,"Geçerli","Kontrol hanesi hatalı (doğrusu: "&amp;$R631&amp;")")))</f>
        <v/>
      </c>
      <c r="F631">
        <f>IF($A631="","",IF(AND(LEN($B631)=11,SUMPRODUCT(--ISNUMBER(FIND(MID($B631,{1,2,3},1),"ABCDEFGHIJKLMNOPQRSTUVWXYZ")))=3,ISNUMBER(FIND(MID($B631,4,1),"UJZ")),SUMPRODUCT(--ISNUMBER(FIND(MID($B631,{5,6,7,8,9,10,11},1),"0123456789")))=7),1,0))</f>
        <v/>
      </c>
      <c r="G631">
        <f>IF($F631=1,INDEX({10,12,13,14,15,16,17,18,19,20,21,23,24,25,26,27,28,29,30,31,32,34,35,36,37,38},1,FIND(MID($B631,1,1),"ABCDEFGHIJKLMNOPQRSTUVWXYZ")),"")</f>
        <v/>
      </c>
      <c r="H631">
        <f>IF($F631=1,INDEX({10,12,13,14,15,16,17,18,19,20,21,23,24,25,26,27,28,29,30,31,32,34,35,36,37,38},1,FIND(MID($B631,2,1),"ABCDEFGHIJKLMNOPQRSTUVWXYZ")),"")</f>
        <v/>
      </c>
      <c r="I631">
        <f>IF($F631=1,INDEX({10,12,13,14,15,16,17,18,19,20,21,23,24,25,26,27,28,29,30,31,32,34,35,36,37,38},1,FIND(MID($B631,3,1),"ABCDEFGHIJKLMNOPQRSTUVWXYZ")),"")</f>
        <v/>
      </c>
      <c r="J631">
        <f>IF($F631=1,INDEX({10,12,13,14,15,16,17,18,19,20,21,23,24,25,26,27,28,29,30,31,32,34,35,36,37,38},1,FIND(MID($B631,4,1),"ABCDEFGHIJKLMNOPQRSTUVWXYZ")),"")</f>
        <v/>
      </c>
      <c r="K631">
        <f>IF($F631=1,FIND(MID($B631,5,1),"0123456789")-1,"")</f>
        <v/>
      </c>
      <c r="L631">
        <f>IF($F631=1,FIND(MID($B631,6,1),"0123456789")-1,"")</f>
        <v/>
      </c>
      <c r="M631">
        <f>IF($F631=1,FIND(MID($B631,7,1),"0123456789")-1,"")</f>
        <v/>
      </c>
      <c r="N631">
        <f>IF($F631=1,FIND(MID($B631,8,1),"0123456789")-1,"")</f>
        <v/>
      </c>
      <c r="O631">
        <f>IF($F631=1,FIND(MID($B631,9,1),"0123456789")-1,"")</f>
        <v/>
      </c>
      <c r="P631">
        <f>IF($F631=1,FIND(MID($B631,10,1),"0123456789")-1,"")</f>
        <v/>
      </c>
      <c r="Q631">
        <f>IF($F631=1,SUMPRODUCT($G631:$P631,{1,2,4,8,16,32,64,128,256,512}),"")</f>
        <v/>
      </c>
      <c r="R631">
        <f>IF($F631=1,MOD(MOD($Q631,11),10),"")</f>
        <v/>
      </c>
    </row>
    <row r="632">
      <c r="A632" s="6" t="n"/>
      <c r="B632" s="7">
        <f>IF($A632="","",UPPER(SUBSTITUTE(SUBSTITUTE(SUBSTITUTE(SUBSTITUTE(SUBSTITUTE(SUBSTITUTE($A632," ",""),"-",""),".",""),"/",""),"i","I"),"ı","?")))</f>
        <v/>
      </c>
      <c r="C632" s="8">
        <f>IF($F632=1,$R632,"")</f>
        <v/>
      </c>
      <c r="D632" s="7">
        <f>IF($A632="","",IF($F632=0,"Biçim hatalı",IF(FIND(MID($B632,11,1),"0123456789")-1=$R632,"Geçerli","Kontrol hanesi hatalı (doğrusu: "&amp;$R632&amp;")")))</f>
        <v/>
      </c>
      <c r="F632">
        <f>IF($A632="","",IF(AND(LEN($B632)=11,SUMPRODUCT(--ISNUMBER(FIND(MID($B632,{1,2,3},1),"ABCDEFGHIJKLMNOPQRSTUVWXYZ")))=3,ISNUMBER(FIND(MID($B632,4,1),"UJZ")),SUMPRODUCT(--ISNUMBER(FIND(MID($B632,{5,6,7,8,9,10,11},1),"0123456789")))=7),1,0))</f>
        <v/>
      </c>
      <c r="G632">
        <f>IF($F632=1,INDEX({10,12,13,14,15,16,17,18,19,20,21,23,24,25,26,27,28,29,30,31,32,34,35,36,37,38},1,FIND(MID($B632,1,1),"ABCDEFGHIJKLMNOPQRSTUVWXYZ")),"")</f>
        <v/>
      </c>
      <c r="H632">
        <f>IF($F632=1,INDEX({10,12,13,14,15,16,17,18,19,20,21,23,24,25,26,27,28,29,30,31,32,34,35,36,37,38},1,FIND(MID($B632,2,1),"ABCDEFGHIJKLMNOPQRSTUVWXYZ")),"")</f>
        <v/>
      </c>
      <c r="I632">
        <f>IF($F632=1,INDEX({10,12,13,14,15,16,17,18,19,20,21,23,24,25,26,27,28,29,30,31,32,34,35,36,37,38},1,FIND(MID($B632,3,1),"ABCDEFGHIJKLMNOPQRSTUVWXYZ")),"")</f>
        <v/>
      </c>
      <c r="J632">
        <f>IF($F632=1,INDEX({10,12,13,14,15,16,17,18,19,20,21,23,24,25,26,27,28,29,30,31,32,34,35,36,37,38},1,FIND(MID($B632,4,1),"ABCDEFGHIJKLMNOPQRSTUVWXYZ")),"")</f>
        <v/>
      </c>
      <c r="K632">
        <f>IF($F632=1,FIND(MID($B632,5,1),"0123456789")-1,"")</f>
        <v/>
      </c>
      <c r="L632">
        <f>IF($F632=1,FIND(MID($B632,6,1),"0123456789")-1,"")</f>
        <v/>
      </c>
      <c r="M632">
        <f>IF($F632=1,FIND(MID($B632,7,1),"0123456789")-1,"")</f>
        <v/>
      </c>
      <c r="N632">
        <f>IF($F632=1,FIND(MID($B632,8,1),"0123456789")-1,"")</f>
        <v/>
      </c>
      <c r="O632">
        <f>IF($F632=1,FIND(MID($B632,9,1),"0123456789")-1,"")</f>
        <v/>
      </c>
      <c r="P632">
        <f>IF($F632=1,FIND(MID($B632,10,1),"0123456789")-1,"")</f>
        <v/>
      </c>
      <c r="Q632">
        <f>IF($F632=1,SUMPRODUCT($G632:$P632,{1,2,4,8,16,32,64,128,256,512}),"")</f>
        <v/>
      </c>
      <c r="R632">
        <f>IF($F632=1,MOD(MOD($Q632,11),10),"")</f>
        <v/>
      </c>
    </row>
    <row r="633">
      <c r="A633" s="6" t="n"/>
      <c r="B633" s="7">
        <f>IF($A633="","",UPPER(SUBSTITUTE(SUBSTITUTE(SUBSTITUTE(SUBSTITUTE(SUBSTITUTE(SUBSTITUTE($A633," ",""),"-",""),".",""),"/",""),"i","I"),"ı","?")))</f>
        <v/>
      </c>
      <c r="C633" s="8">
        <f>IF($F633=1,$R633,"")</f>
        <v/>
      </c>
      <c r="D633" s="7">
        <f>IF($A633="","",IF($F633=0,"Biçim hatalı",IF(FIND(MID($B633,11,1),"0123456789")-1=$R633,"Geçerli","Kontrol hanesi hatalı (doğrusu: "&amp;$R633&amp;")")))</f>
        <v/>
      </c>
      <c r="F633">
        <f>IF($A633="","",IF(AND(LEN($B633)=11,SUMPRODUCT(--ISNUMBER(FIND(MID($B633,{1,2,3},1),"ABCDEFGHIJKLMNOPQRSTUVWXYZ")))=3,ISNUMBER(FIND(MID($B633,4,1),"UJZ")),SUMPRODUCT(--ISNUMBER(FIND(MID($B633,{5,6,7,8,9,10,11},1),"0123456789")))=7),1,0))</f>
        <v/>
      </c>
      <c r="G633">
        <f>IF($F633=1,INDEX({10,12,13,14,15,16,17,18,19,20,21,23,24,25,26,27,28,29,30,31,32,34,35,36,37,38},1,FIND(MID($B633,1,1),"ABCDEFGHIJKLMNOPQRSTUVWXYZ")),"")</f>
        <v/>
      </c>
      <c r="H633">
        <f>IF($F633=1,INDEX({10,12,13,14,15,16,17,18,19,20,21,23,24,25,26,27,28,29,30,31,32,34,35,36,37,38},1,FIND(MID($B633,2,1),"ABCDEFGHIJKLMNOPQRSTUVWXYZ")),"")</f>
        <v/>
      </c>
      <c r="I633">
        <f>IF($F633=1,INDEX({10,12,13,14,15,16,17,18,19,20,21,23,24,25,26,27,28,29,30,31,32,34,35,36,37,38},1,FIND(MID($B633,3,1),"ABCDEFGHIJKLMNOPQRSTUVWXYZ")),"")</f>
        <v/>
      </c>
      <c r="J633">
        <f>IF($F633=1,INDEX({10,12,13,14,15,16,17,18,19,20,21,23,24,25,26,27,28,29,30,31,32,34,35,36,37,38},1,FIND(MID($B633,4,1),"ABCDEFGHIJKLMNOPQRSTUVWXYZ")),"")</f>
        <v/>
      </c>
      <c r="K633">
        <f>IF($F633=1,FIND(MID($B633,5,1),"0123456789")-1,"")</f>
        <v/>
      </c>
      <c r="L633">
        <f>IF($F633=1,FIND(MID($B633,6,1),"0123456789")-1,"")</f>
        <v/>
      </c>
      <c r="M633">
        <f>IF($F633=1,FIND(MID($B633,7,1),"0123456789")-1,"")</f>
        <v/>
      </c>
      <c r="N633">
        <f>IF($F633=1,FIND(MID($B633,8,1),"0123456789")-1,"")</f>
        <v/>
      </c>
      <c r="O633">
        <f>IF($F633=1,FIND(MID($B633,9,1),"0123456789")-1,"")</f>
        <v/>
      </c>
      <c r="P633">
        <f>IF($F633=1,FIND(MID($B633,10,1),"0123456789")-1,"")</f>
        <v/>
      </c>
      <c r="Q633">
        <f>IF($F633=1,SUMPRODUCT($G633:$P633,{1,2,4,8,16,32,64,128,256,512}),"")</f>
        <v/>
      </c>
      <c r="R633">
        <f>IF($F633=1,MOD(MOD($Q633,11),10),"")</f>
        <v/>
      </c>
    </row>
    <row r="634">
      <c r="A634" s="6" t="n"/>
      <c r="B634" s="7">
        <f>IF($A634="","",UPPER(SUBSTITUTE(SUBSTITUTE(SUBSTITUTE(SUBSTITUTE(SUBSTITUTE(SUBSTITUTE($A634," ",""),"-",""),".",""),"/",""),"i","I"),"ı","?")))</f>
        <v/>
      </c>
      <c r="C634" s="8">
        <f>IF($F634=1,$R634,"")</f>
        <v/>
      </c>
      <c r="D634" s="7">
        <f>IF($A634="","",IF($F634=0,"Biçim hatalı",IF(FIND(MID($B634,11,1),"0123456789")-1=$R634,"Geçerli","Kontrol hanesi hatalı (doğrusu: "&amp;$R634&amp;")")))</f>
        <v/>
      </c>
      <c r="F634">
        <f>IF($A634="","",IF(AND(LEN($B634)=11,SUMPRODUCT(--ISNUMBER(FIND(MID($B634,{1,2,3},1),"ABCDEFGHIJKLMNOPQRSTUVWXYZ")))=3,ISNUMBER(FIND(MID($B634,4,1),"UJZ")),SUMPRODUCT(--ISNUMBER(FIND(MID($B634,{5,6,7,8,9,10,11},1),"0123456789")))=7),1,0))</f>
        <v/>
      </c>
      <c r="G634">
        <f>IF($F634=1,INDEX({10,12,13,14,15,16,17,18,19,20,21,23,24,25,26,27,28,29,30,31,32,34,35,36,37,38},1,FIND(MID($B634,1,1),"ABCDEFGHIJKLMNOPQRSTUVWXYZ")),"")</f>
        <v/>
      </c>
      <c r="H634">
        <f>IF($F634=1,INDEX({10,12,13,14,15,16,17,18,19,20,21,23,24,25,26,27,28,29,30,31,32,34,35,36,37,38},1,FIND(MID($B634,2,1),"ABCDEFGHIJKLMNOPQRSTUVWXYZ")),"")</f>
        <v/>
      </c>
      <c r="I634">
        <f>IF($F634=1,INDEX({10,12,13,14,15,16,17,18,19,20,21,23,24,25,26,27,28,29,30,31,32,34,35,36,37,38},1,FIND(MID($B634,3,1),"ABCDEFGHIJKLMNOPQRSTUVWXYZ")),"")</f>
        <v/>
      </c>
      <c r="J634">
        <f>IF($F634=1,INDEX({10,12,13,14,15,16,17,18,19,20,21,23,24,25,26,27,28,29,30,31,32,34,35,36,37,38},1,FIND(MID($B634,4,1),"ABCDEFGHIJKLMNOPQRSTUVWXYZ")),"")</f>
        <v/>
      </c>
      <c r="K634">
        <f>IF($F634=1,FIND(MID($B634,5,1),"0123456789")-1,"")</f>
        <v/>
      </c>
      <c r="L634">
        <f>IF($F634=1,FIND(MID($B634,6,1),"0123456789")-1,"")</f>
        <v/>
      </c>
      <c r="M634">
        <f>IF($F634=1,FIND(MID($B634,7,1),"0123456789")-1,"")</f>
        <v/>
      </c>
      <c r="N634">
        <f>IF($F634=1,FIND(MID($B634,8,1),"0123456789")-1,"")</f>
        <v/>
      </c>
      <c r="O634">
        <f>IF($F634=1,FIND(MID($B634,9,1),"0123456789")-1,"")</f>
        <v/>
      </c>
      <c r="P634">
        <f>IF($F634=1,FIND(MID($B634,10,1),"0123456789")-1,"")</f>
        <v/>
      </c>
      <c r="Q634">
        <f>IF($F634=1,SUMPRODUCT($G634:$P634,{1,2,4,8,16,32,64,128,256,512}),"")</f>
        <v/>
      </c>
      <c r="R634">
        <f>IF($F634=1,MOD(MOD($Q634,11),10),"")</f>
        <v/>
      </c>
    </row>
    <row r="635">
      <c r="A635" s="6" t="n"/>
      <c r="B635" s="7">
        <f>IF($A635="","",UPPER(SUBSTITUTE(SUBSTITUTE(SUBSTITUTE(SUBSTITUTE(SUBSTITUTE(SUBSTITUTE($A635," ",""),"-",""),".",""),"/",""),"i","I"),"ı","?")))</f>
        <v/>
      </c>
      <c r="C635" s="8">
        <f>IF($F635=1,$R635,"")</f>
        <v/>
      </c>
      <c r="D635" s="7">
        <f>IF($A635="","",IF($F635=0,"Biçim hatalı",IF(FIND(MID($B635,11,1),"0123456789")-1=$R635,"Geçerli","Kontrol hanesi hatalı (doğrusu: "&amp;$R635&amp;")")))</f>
        <v/>
      </c>
      <c r="F635">
        <f>IF($A635="","",IF(AND(LEN($B635)=11,SUMPRODUCT(--ISNUMBER(FIND(MID($B635,{1,2,3},1),"ABCDEFGHIJKLMNOPQRSTUVWXYZ")))=3,ISNUMBER(FIND(MID($B635,4,1),"UJZ")),SUMPRODUCT(--ISNUMBER(FIND(MID($B635,{5,6,7,8,9,10,11},1),"0123456789")))=7),1,0))</f>
        <v/>
      </c>
      <c r="G635">
        <f>IF($F635=1,INDEX({10,12,13,14,15,16,17,18,19,20,21,23,24,25,26,27,28,29,30,31,32,34,35,36,37,38},1,FIND(MID($B635,1,1),"ABCDEFGHIJKLMNOPQRSTUVWXYZ")),"")</f>
        <v/>
      </c>
      <c r="H635">
        <f>IF($F635=1,INDEX({10,12,13,14,15,16,17,18,19,20,21,23,24,25,26,27,28,29,30,31,32,34,35,36,37,38},1,FIND(MID($B635,2,1),"ABCDEFGHIJKLMNOPQRSTUVWXYZ")),"")</f>
        <v/>
      </c>
      <c r="I635">
        <f>IF($F635=1,INDEX({10,12,13,14,15,16,17,18,19,20,21,23,24,25,26,27,28,29,30,31,32,34,35,36,37,38},1,FIND(MID($B635,3,1),"ABCDEFGHIJKLMNOPQRSTUVWXYZ")),"")</f>
        <v/>
      </c>
      <c r="J635">
        <f>IF($F635=1,INDEX({10,12,13,14,15,16,17,18,19,20,21,23,24,25,26,27,28,29,30,31,32,34,35,36,37,38},1,FIND(MID($B635,4,1),"ABCDEFGHIJKLMNOPQRSTUVWXYZ")),"")</f>
        <v/>
      </c>
      <c r="K635">
        <f>IF($F635=1,FIND(MID($B635,5,1),"0123456789")-1,"")</f>
        <v/>
      </c>
      <c r="L635">
        <f>IF($F635=1,FIND(MID($B635,6,1),"0123456789")-1,"")</f>
        <v/>
      </c>
      <c r="M635">
        <f>IF($F635=1,FIND(MID($B635,7,1),"0123456789")-1,"")</f>
        <v/>
      </c>
      <c r="N635">
        <f>IF($F635=1,FIND(MID($B635,8,1),"0123456789")-1,"")</f>
        <v/>
      </c>
      <c r="O635">
        <f>IF($F635=1,FIND(MID($B635,9,1),"0123456789")-1,"")</f>
        <v/>
      </c>
      <c r="P635">
        <f>IF($F635=1,FIND(MID($B635,10,1),"0123456789")-1,"")</f>
        <v/>
      </c>
      <c r="Q635">
        <f>IF($F635=1,SUMPRODUCT($G635:$P635,{1,2,4,8,16,32,64,128,256,512}),"")</f>
        <v/>
      </c>
      <c r="R635">
        <f>IF($F635=1,MOD(MOD($Q635,11),10),"")</f>
        <v/>
      </c>
    </row>
    <row r="636">
      <c r="A636" s="6" t="n"/>
      <c r="B636" s="7">
        <f>IF($A636="","",UPPER(SUBSTITUTE(SUBSTITUTE(SUBSTITUTE(SUBSTITUTE(SUBSTITUTE(SUBSTITUTE($A636," ",""),"-",""),".",""),"/",""),"i","I"),"ı","?")))</f>
        <v/>
      </c>
      <c r="C636" s="8">
        <f>IF($F636=1,$R636,"")</f>
        <v/>
      </c>
      <c r="D636" s="7">
        <f>IF($A636="","",IF($F636=0,"Biçim hatalı",IF(FIND(MID($B636,11,1),"0123456789")-1=$R636,"Geçerli","Kontrol hanesi hatalı (doğrusu: "&amp;$R636&amp;")")))</f>
        <v/>
      </c>
      <c r="F636">
        <f>IF($A636="","",IF(AND(LEN($B636)=11,SUMPRODUCT(--ISNUMBER(FIND(MID($B636,{1,2,3},1),"ABCDEFGHIJKLMNOPQRSTUVWXYZ")))=3,ISNUMBER(FIND(MID($B636,4,1),"UJZ")),SUMPRODUCT(--ISNUMBER(FIND(MID($B636,{5,6,7,8,9,10,11},1),"0123456789")))=7),1,0))</f>
        <v/>
      </c>
      <c r="G636">
        <f>IF($F636=1,INDEX({10,12,13,14,15,16,17,18,19,20,21,23,24,25,26,27,28,29,30,31,32,34,35,36,37,38},1,FIND(MID($B636,1,1),"ABCDEFGHIJKLMNOPQRSTUVWXYZ")),"")</f>
        <v/>
      </c>
      <c r="H636">
        <f>IF($F636=1,INDEX({10,12,13,14,15,16,17,18,19,20,21,23,24,25,26,27,28,29,30,31,32,34,35,36,37,38},1,FIND(MID($B636,2,1),"ABCDEFGHIJKLMNOPQRSTUVWXYZ")),"")</f>
        <v/>
      </c>
      <c r="I636">
        <f>IF($F636=1,INDEX({10,12,13,14,15,16,17,18,19,20,21,23,24,25,26,27,28,29,30,31,32,34,35,36,37,38},1,FIND(MID($B636,3,1),"ABCDEFGHIJKLMNOPQRSTUVWXYZ")),"")</f>
        <v/>
      </c>
      <c r="J636">
        <f>IF($F636=1,INDEX({10,12,13,14,15,16,17,18,19,20,21,23,24,25,26,27,28,29,30,31,32,34,35,36,37,38},1,FIND(MID($B636,4,1),"ABCDEFGHIJKLMNOPQRSTUVWXYZ")),"")</f>
        <v/>
      </c>
      <c r="K636">
        <f>IF($F636=1,FIND(MID($B636,5,1),"0123456789")-1,"")</f>
        <v/>
      </c>
      <c r="L636">
        <f>IF($F636=1,FIND(MID($B636,6,1),"0123456789")-1,"")</f>
        <v/>
      </c>
      <c r="M636">
        <f>IF($F636=1,FIND(MID($B636,7,1),"0123456789")-1,"")</f>
        <v/>
      </c>
      <c r="N636">
        <f>IF($F636=1,FIND(MID($B636,8,1),"0123456789")-1,"")</f>
        <v/>
      </c>
      <c r="O636">
        <f>IF($F636=1,FIND(MID($B636,9,1),"0123456789")-1,"")</f>
        <v/>
      </c>
      <c r="P636">
        <f>IF($F636=1,FIND(MID($B636,10,1),"0123456789")-1,"")</f>
        <v/>
      </c>
      <c r="Q636">
        <f>IF($F636=1,SUMPRODUCT($G636:$P636,{1,2,4,8,16,32,64,128,256,512}),"")</f>
        <v/>
      </c>
      <c r="R636">
        <f>IF($F636=1,MOD(MOD($Q636,11),10),"")</f>
        <v/>
      </c>
    </row>
    <row r="637">
      <c r="A637" s="6" t="n"/>
      <c r="B637" s="7">
        <f>IF($A637="","",UPPER(SUBSTITUTE(SUBSTITUTE(SUBSTITUTE(SUBSTITUTE(SUBSTITUTE(SUBSTITUTE($A637," ",""),"-",""),".",""),"/",""),"i","I"),"ı","?")))</f>
        <v/>
      </c>
      <c r="C637" s="8">
        <f>IF($F637=1,$R637,"")</f>
        <v/>
      </c>
      <c r="D637" s="7">
        <f>IF($A637="","",IF($F637=0,"Biçim hatalı",IF(FIND(MID($B637,11,1),"0123456789")-1=$R637,"Geçerli","Kontrol hanesi hatalı (doğrusu: "&amp;$R637&amp;")")))</f>
        <v/>
      </c>
      <c r="F637">
        <f>IF($A637="","",IF(AND(LEN($B637)=11,SUMPRODUCT(--ISNUMBER(FIND(MID($B637,{1,2,3},1),"ABCDEFGHIJKLMNOPQRSTUVWXYZ")))=3,ISNUMBER(FIND(MID($B637,4,1),"UJZ")),SUMPRODUCT(--ISNUMBER(FIND(MID($B637,{5,6,7,8,9,10,11},1),"0123456789")))=7),1,0))</f>
        <v/>
      </c>
      <c r="G637">
        <f>IF($F637=1,INDEX({10,12,13,14,15,16,17,18,19,20,21,23,24,25,26,27,28,29,30,31,32,34,35,36,37,38},1,FIND(MID($B637,1,1),"ABCDEFGHIJKLMNOPQRSTUVWXYZ")),"")</f>
        <v/>
      </c>
      <c r="H637">
        <f>IF($F637=1,INDEX({10,12,13,14,15,16,17,18,19,20,21,23,24,25,26,27,28,29,30,31,32,34,35,36,37,38},1,FIND(MID($B637,2,1),"ABCDEFGHIJKLMNOPQRSTUVWXYZ")),"")</f>
        <v/>
      </c>
      <c r="I637">
        <f>IF($F637=1,INDEX({10,12,13,14,15,16,17,18,19,20,21,23,24,25,26,27,28,29,30,31,32,34,35,36,37,38},1,FIND(MID($B637,3,1),"ABCDEFGHIJKLMNOPQRSTUVWXYZ")),"")</f>
        <v/>
      </c>
      <c r="J637">
        <f>IF($F637=1,INDEX({10,12,13,14,15,16,17,18,19,20,21,23,24,25,26,27,28,29,30,31,32,34,35,36,37,38},1,FIND(MID($B637,4,1),"ABCDEFGHIJKLMNOPQRSTUVWXYZ")),"")</f>
        <v/>
      </c>
      <c r="K637">
        <f>IF($F637=1,FIND(MID($B637,5,1),"0123456789")-1,"")</f>
        <v/>
      </c>
      <c r="L637">
        <f>IF($F637=1,FIND(MID($B637,6,1),"0123456789")-1,"")</f>
        <v/>
      </c>
      <c r="M637">
        <f>IF($F637=1,FIND(MID($B637,7,1),"0123456789")-1,"")</f>
        <v/>
      </c>
      <c r="N637">
        <f>IF($F637=1,FIND(MID($B637,8,1),"0123456789")-1,"")</f>
        <v/>
      </c>
      <c r="O637">
        <f>IF($F637=1,FIND(MID($B637,9,1),"0123456789")-1,"")</f>
        <v/>
      </c>
      <c r="P637">
        <f>IF($F637=1,FIND(MID($B637,10,1),"0123456789")-1,"")</f>
        <v/>
      </c>
      <c r="Q637">
        <f>IF($F637=1,SUMPRODUCT($G637:$P637,{1,2,4,8,16,32,64,128,256,512}),"")</f>
        <v/>
      </c>
      <c r="R637">
        <f>IF($F637=1,MOD(MOD($Q637,11),10),"")</f>
        <v/>
      </c>
    </row>
    <row r="638">
      <c r="A638" s="6" t="n"/>
      <c r="B638" s="7">
        <f>IF($A638="","",UPPER(SUBSTITUTE(SUBSTITUTE(SUBSTITUTE(SUBSTITUTE(SUBSTITUTE(SUBSTITUTE($A638," ",""),"-",""),".",""),"/",""),"i","I"),"ı","?")))</f>
        <v/>
      </c>
      <c r="C638" s="8">
        <f>IF($F638=1,$R638,"")</f>
        <v/>
      </c>
      <c r="D638" s="7">
        <f>IF($A638="","",IF($F638=0,"Biçim hatalı",IF(FIND(MID($B638,11,1),"0123456789")-1=$R638,"Geçerli","Kontrol hanesi hatalı (doğrusu: "&amp;$R638&amp;")")))</f>
        <v/>
      </c>
      <c r="F638">
        <f>IF($A638="","",IF(AND(LEN($B638)=11,SUMPRODUCT(--ISNUMBER(FIND(MID($B638,{1,2,3},1),"ABCDEFGHIJKLMNOPQRSTUVWXYZ")))=3,ISNUMBER(FIND(MID($B638,4,1),"UJZ")),SUMPRODUCT(--ISNUMBER(FIND(MID($B638,{5,6,7,8,9,10,11},1),"0123456789")))=7),1,0))</f>
        <v/>
      </c>
      <c r="G638">
        <f>IF($F638=1,INDEX({10,12,13,14,15,16,17,18,19,20,21,23,24,25,26,27,28,29,30,31,32,34,35,36,37,38},1,FIND(MID($B638,1,1),"ABCDEFGHIJKLMNOPQRSTUVWXYZ")),"")</f>
        <v/>
      </c>
      <c r="H638">
        <f>IF($F638=1,INDEX({10,12,13,14,15,16,17,18,19,20,21,23,24,25,26,27,28,29,30,31,32,34,35,36,37,38},1,FIND(MID($B638,2,1),"ABCDEFGHIJKLMNOPQRSTUVWXYZ")),"")</f>
        <v/>
      </c>
      <c r="I638">
        <f>IF($F638=1,INDEX({10,12,13,14,15,16,17,18,19,20,21,23,24,25,26,27,28,29,30,31,32,34,35,36,37,38},1,FIND(MID($B638,3,1),"ABCDEFGHIJKLMNOPQRSTUVWXYZ")),"")</f>
        <v/>
      </c>
      <c r="J638">
        <f>IF($F638=1,INDEX({10,12,13,14,15,16,17,18,19,20,21,23,24,25,26,27,28,29,30,31,32,34,35,36,37,38},1,FIND(MID($B638,4,1),"ABCDEFGHIJKLMNOPQRSTUVWXYZ")),"")</f>
        <v/>
      </c>
      <c r="K638">
        <f>IF($F638=1,FIND(MID($B638,5,1),"0123456789")-1,"")</f>
        <v/>
      </c>
      <c r="L638">
        <f>IF($F638=1,FIND(MID($B638,6,1),"0123456789")-1,"")</f>
        <v/>
      </c>
      <c r="M638">
        <f>IF($F638=1,FIND(MID($B638,7,1),"0123456789")-1,"")</f>
        <v/>
      </c>
      <c r="N638">
        <f>IF($F638=1,FIND(MID($B638,8,1),"0123456789")-1,"")</f>
        <v/>
      </c>
      <c r="O638">
        <f>IF($F638=1,FIND(MID($B638,9,1),"0123456789")-1,"")</f>
        <v/>
      </c>
      <c r="P638">
        <f>IF($F638=1,FIND(MID($B638,10,1),"0123456789")-1,"")</f>
        <v/>
      </c>
      <c r="Q638">
        <f>IF($F638=1,SUMPRODUCT($G638:$P638,{1,2,4,8,16,32,64,128,256,512}),"")</f>
        <v/>
      </c>
      <c r="R638">
        <f>IF($F638=1,MOD(MOD($Q638,11),10),"")</f>
        <v/>
      </c>
    </row>
    <row r="639">
      <c r="A639" s="6" t="n"/>
      <c r="B639" s="7">
        <f>IF($A639="","",UPPER(SUBSTITUTE(SUBSTITUTE(SUBSTITUTE(SUBSTITUTE(SUBSTITUTE(SUBSTITUTE($A639," ",""),"-",""),".",""),"/",""),"i","I"),"ı","?")))</f>
        <v/>
      </c>
      <c r="C639" s="8">
        <f>IF($F639=1,$R639,"")</f>
        <v/>
      </c>
      <c r="D639" s="7">
        <f>IF($A639="","",IF($F639=0,"Biçim hatalı",IF(FIND(MID($B639,11,1),"0123456789")-1=$R639,"Geçerli","Kontrol hanesi hatalı (doğrusu: "&amp;$R639&amp;")")))</f>
        <v/>
      </c>
      <c r="F639">
        <f>IF($A639="","",IF(AND(LEN($B639)=11,SUMPRODUCT(--ISNUMBER(FIND(MID($B639,{1,2,3},1),"ABCDEFGHIJKLMNOPQRSTUVWXYZ")))=3,ISNUMBER(FIND(MID($B639,4,1),"UJZ")),SUMPRODUCT(--ISNUMBER(FIND(MID($B639,{5,6,7,8,9,10,11},1),"0123456789")))=7),1,0))</f>
        <v/>
      </c>
      <c r="G639">
        <f>IF($F639=1,INDEX({10,12,13,14,15,16,17,18,19,20,21,23,24,25,26,27,28,29,30,31,32,34,35,36,37,38},1,FIND(MID($B639,1,1),"ABCDEFGHIJKLMNOPQRSTUVWXYZ")),"")</f>
        <v/>
      </c>
      <c r="H639">
        <f>IF($F639=1,INDEX({10,12,13,14,15,16,17,18,19,20,21,23,24,25,26,27,28,29,30,31,32,34,35,36,37,38},1,FIND(MID($B639,2,1),"ABCDEFGHIJKLMNOPQRSTUVWXYZ")),"")</f>
        <v/>
      </c>
      <c r="I639">
        <f>IF($F639=1,INDEX({10,12,13,14,15,16,17,18,19,20,21,23,24,25,26,27,28,29,30,31,32,34,35,36,37,38},1,FIND(MID($B639,3,1),"ABCDEFGHIJKLMNOPQRSTUVWXYZ")),"")</f>
        <v/>
      </c>
      <c r="J639">
        <f>IF($F639=1,INDEX({10,12,13,14,15,16,17,18,19,20,21,23,24,25,26,27,28,29,30,31,32,34,35,36,37,38},1,FIND(MID($B639,4,1),"ABCDEFGHIJKLMNOPQRSTUVWXYZ")),"")</f>
        <v/>
      </c>
      <c r="K639">
        <f>IF($F639=1,FIND(MID($B639,5,1),"0123456789")-1,"")</f>
        <v/>
      </c>
      <c r="L639">
        <f>IF($F639=1,FIND(MID($B639,6,1),"0123456789")-1,"")</f>
        <v/>
      </c>
      <c r="M639">
        <f>IF($F639=1,FIND(MID($B639,7,1),"0123456789")-1,"")</f>
        <v/>
      </c>
      <c r="N639">
        <f>IF($F639=1,FIND(MID($B639,8,1),"0123456789")-1,"")</f>
        <v/>
      </c>
      <c r="O639">
        <f>IF($F639=1,FIND(MID($B639,9,1),"0123456789")-1,"")</f>
        <v/>
      </c>
      <c r="P639">
        <f>IF($F639=1,FIND(MID($B639,10,1),"0123456789")-1,"")</f>
        <v/>
      </c>
      <c r="Q639">
        <f>IF($F639=1,SUMPRODUCT($G639:$P639,{1,2,4,8,16,32,64,128,256,512}),"")</f>
        <v/>
      </c>
      <c r="R639">
        <f>IF($F639=1,MOD(MOD($Q639,11),10),"")</f>
        <v/>
      </c>
    </row>
    <row r="640">
      <c r="A640" s="6" t="n"/>
      <c r="B640" s="7">
        <f>IF($A640="","",UPPER(SUBSTITUTE(SUBSTITUTE(SUBSTITUTE(SUBSTITUTE(SUBSTITUTE(SUBSTITUTE($A640," ",""),"-",""),".",""),"/",""),"i","I"),"ı","?")))</f>
        <v/>
      </c>
      <c r="C640" s="8">
        <f>IF($F640=1,$R640,"")</f>
        <v/>
      </c>
      <c r="D640" s="7">
        <f>IF($A640="","",IF($F640=0,"Biçim hatalı",IF(FIND(MID($B640,11,1),"0123456789")-1=$R640,"Geçerli","Kontrol hanesi hatalı (doğrusu: "&amp;$R640&amp;")")))</f>
        <v/>
      </c>
      <c r="F640">
        <f>IF($A640="","",IF(AND(LEN($B640)=11,SUMPRODUCT(--ISNUMBER(FIND(MID($B640,{1,2,3},1),"ABCDEFGHIJKLMNOPQRSTUVWXYZ")))=3,ISNUMBER(FIND(MID($B640,4,1),"UJZ")),SUMPRODUCT(--ISNUMBER(FIND(MID($B640,{5,6,7,8,9,10,11},1),"0123456789")))=7),1,0))</f>
        <v/>
      </c>
      <c r="G640">
        <f>IF($F640=1,INDEX({10,12,13,14,15,16,17,18,19,20,21,23,24,25,26,27,28,29,30,31,32,34,35,36,37,38},1,FIND(MID($B640,1,1),"ABCDEFGHIJKLMNOPQRSTUVWXYZ")),"")</f>
        <v/>
      </c>
      <c r="H640">
        <f>IF($F640=1,INDEX({10,12,13,14,15,16,17,18,19,20,21,23,24,25,26,27,28,29,30,31,32,34,35,36,37,38},1,FIND(MID($B640,2,1),"ABCDEFGHIJKLMNOPQRSTUVWXYZ")),"")</f>
        <v/>
      </c>
      <c r="I640">
        <f>IF($F640=1,INDEX({10,12,13,14,15,16,17,18,19,20,21,23,24,25,26,27,28,29,30,31,32,34,35,36,37,38},1,FIND(MID($B640,3,1),"ABCDEFGHIJKLMNOPQRSTUVWXYZ")),"")</f>
        <v/>
      </c>
      <c r="J640">
        <f>IF($F640=1,INDEX({10,12,13,14,15,16,17,18,19,20,21,23,24,25,26,27,28,29,30,31,32,34,35,36,37,38},1,FIND(MID($B640,4,1),"ABCDEFGHIJKLMNOPQRSTUVWXYZ")),"")</f>
        <v/>
      </c>
      <c r="K640">
        <f>IF($F640=1,FIND(MID($B640,5,1),"0123456789")-1,"")</f>
        <v/>
      </c>
      <c r="L640">
        <f>IF($F640=1,FIND(MID($B640,6,1),"0123456789")-1,"")</f>
        <v/>
      </c>
      <c r="M640">
        <f>IF($F640=1,FIND(MID($B640,7,1),"0123456789")-1,"")</f>
        <v/>
      </c>
      <c r="N640">
        <f>IF($F640=1,FIND(MID($B640,8,1),"0123456789")-1,"")</f>
        <v/>
      </c>
      <c r="O640">
        <f>IF($F640=1,FIND(MID($B640,9,1),"0123456789")-1,"")</f>
        <v/>
      </c>
      <c r="P640">
        <f>IF($F640=1,FIND(MID($B640,10,1),"0123456789")-1,"")</f>
        <v/>
      </c>
      <c r="Q640">
        <f>IF($F640=1,SUMPRODUCT($G640:$P640,{1,2,4,8,16,32,64,128,256,512}),"")</f>
        <v/>
      </c>
      <c r="R640">
        <f>IF($F640=1,MOD(MOD($Q640,11),10),"")</f>
        <v/>
      </c>
    </row>
    <row r="641">
      <c r="A641" s="6" t="n"/>
      <c r="B641" s="7">
        <f>IF($A641="","",UPPER(SUBSTITUTE(SUBSTITUTE(SUBSTITUTE(SUBSTITUTE(SUBSTITUTE(SUBSTITUTE($A641," ",""),"-",""),".",""),"/",""),"i","I"),"ı","?")))</f>
        <v/>
      </c>
      <c r="C641" s="8">
        <f>IF($F641=1,$R641,"")</f>
        <v/>
      </c>
      <c r="D641" s="7">
        <f>IF($A641="","",IF($F641=0,"Biçim hatalı",IF(FIND(MID($B641,11,1),"0123456789")-1=$R641,"Geçerli","Kontrol hanesi hatalı (doğrusu: "&amp;$R641&amp;")")))</f>
        <v/>
      </c>
      <c r="F641">
        <f>IF($A641="","",IF(AND(LEN($B641)=11,SUMPRODUCT(--ISNUMBER(FIND(MID($B641,{1,2,3},1),"ABCDEFGHIJKLMNOPQRSTUVWXYZ")))=3,ISNUMBER(FIND(MID($B641,4,1),"UJZ")),SUMPRODUCT(--ISNUMBER(FIND(MID($B641,{5,6,7,8,9,10,11},1),"0123456789")))=7),1,0))</f>
        <v/>
      </c>
      <c r="G641">
        <f>IF($F641=1,INDEX({10,12,13,14,15,16,17,18,19,20,21,23,24,25,26,27,28,29,30,31,32,34,35,36,37,38},1,FIND(MID($B641,1,1),"ABCDEFGHIJKLMNOPQRSTUVWXYZ")),"")</f>
        <v/>
      </c>
      <c r="H641">
        <f>IF($F641=1,INDEX({10,12,13,14,15,16,17,18,19,20,21,23,24,25,26,27,28,29,30,31,32,34,35,36,37,38},1,FIND(MID($B641,2,1),"ABCDEFGHIJKLMNOPQRSTUVWXYZ")),"")</f>
        <v/>
      </c>
      <c r="I641">
        <f>IF($F641=1,INDEX({10,12,13,14,15,16,17,18,19,20,21,23,24,25,26,27,28,29,30,31,32,34,35,36,37,38},1,FIND(MID($B641,3,1),"ABCDEFGHIJKLMNOPQRSTUVWXYZ")),"")</f>
        <v/>
      </c>
      <c r="J641">
        <f>IF($F641=1,INDEX({10,12,13,14,15,16,17,18,19,20,21,23,24,25,26,27,28,29,30,31,32,34,35,36,37,38},1,FIND(MID($B641,4,1),"ABCDEFGHIJKLMNOPQRSTUVWXYZ")),"")</f>
        <v/>
      </c>
      <c r="K641">
        <f>IF($F641=1,FIND(MID($B641,5,1),"0123456789")-1,"")</f>
        <v/>
      </c>
      <c r="L641">
        <f>IF($F641=1,FIND(MID($B641,6,1),"0123456789")-1,"")</f>
        <v/>
      </c>
      <c r="M641">
        <f>IF($F641=1,FIND(MID($B641,7,1),"0123456789")-1,"")</f>
        <v/>
      </c>
      <c r="N641">
        <f>IF($F641=1,FIND(MID($B641,8,1),"0123456789")-1,"")</f>
        <v/>
      </c>
      <c r="O641">
        <f>IF($F641=1,FIND(MID($B641,9,1),"0123456789")-1,"")</f>
        <v/>
      </c>
      <c r="P641">
        <f>IF($F641=1,FIND(MID($B641,10,1),"0123456789")-1,"")</f>
        <v/>
      </c>
      <c r="Q641">
        <f>IF($F641=1,SUMPRODUCT($G641:$P641,{1,2,4,8,16,32,64,128,256,512}),"")</f>
        <v/>
      </c>
      <c r="R641">
        <f>IF($F641=1,MOD(MOD($Q641,11),10),"")</f>
        <v/>
      </c>
    </row>
    <row r="642">
      <c r="A642" s="6" t="n"/>
      <c r="B642" s="7">
        <f>IF($A642="","",UPPER(SUBSTITUTE(SUBSTITUTE(SUBSTITUTE(SUBSTITUTE(SUBSTITUTE(SUBSTITUTE($A642," ",""),"-",""),".",""),"/",""),"i","I"),"ı","?")))</f>
        <v/>
      </c>
      <c r="C642" s="8">
        <f>IF($F642=1,$R642,"")</f>
        <v/>
      </c>
      <c r="D642" s="7">
        <f>IF($A642="","",IF($F642=0,"Biçim hatalı",IF(FIND(MID($B642,11,1),"0123456789")-1=$R642,"Geçerli","Kontrol hanesi hatalı (doğrusu: "&amp;$R642&amp;")")))</f>
        <v/>
      </c>
      <c r="F642">
        <f>IF($A642="","",IF(AND(LEN($B642)=11,SUMPRODUCT(--ISNUMBER(FIND(MID($B642,{1,2,3},1),"ABCDEFGHIJKLMNOPQRSTUVWXYZ")))=3,ISNUMBER(FIND(MID($B642,4,1),"UJZ")),SUMPRODUCT(--ISNUMBER(FIND(MID($B642,{5,6,7,8,9,10,11},1),"0123456789")))=7),1,0))</f>
        <v/>
      </c>
      <c r="G642">
        <f>IF($F642=1,INDEX({10,12,13,14,15,16,17,18,19,20,21,23,24,25,26,27,28,29,30,31,32,34,35,36,37,38},1,FIND(MID($B642,1,1),"ABCDEFGHIJKLMNOPQRSTUVWXYZ")),"")</f>
        <v/>
      </c>
      <c r="H642">
        <f>IF($F642=1,INDEX({10,12,13,14,15,16,17,18,19,20,21,23,24,25,26,27,28,29,30,31,32,34,35,36,37,38},1,FIND(MID($B642,2,1),"ABCDEFGHIJKLMNOPQRSTUVWXYZ")),"")</f>
        <v/>
      </c>
      <c r="I642">
        <f>IF($F642=1,INDEX({10,12,13,14,15,16,17,18,19,20,21,23,24,25,26,27,28,29,30,31,32,34,35,36,37,38},1,FIND(MID($B642,3,1),"ABCDEFGHIJKLMNOPQRSTUVWXYZ")),"")</f>
        <v/>
      </c>
      <c r="J642">
        <f>IF($F642=1,INDEX({10,12,13,14,15,16,17,18,19,20,21,23,24,25,26,27,28,29,30,31,32,34,35,36,37,38},1,FIND(MID($B642,4,1),"ABCDEFGHIJKLMNOPQRSTUVWXYZ")),"")</f>
        <v/>
      </c>
      <c r="K642">
        <f>IF($F642=1,FIND(MID($B642,5,1),"0123456789")-1,"")</f>
        <v/>
      </c>
      <c r="L642">
        <f>IF($F642=1,FIND(MID($B642,6,1),"0123456789")-1,"")</f>
        <v/>
      </c>
      <c r="M642">
        <f>IF($F642=1,FIND(MID($B642,7,1),"0123456789")-1,"")</f>
        <v/>
      </c>
      <c r="N642">
        <f>IF($F642=1,FIND(MID($B642,8,1),"0123456789")-1,"")</f>
        <v/>
      </c>
      <c r="O642">
        <f>IF($F642=1,FIND(MID($B642,9,1),"0123456789")-1,"")</f>
        <v/>
      </c>
      <c r="P642">
        <f>IF($F642=1,FIND(MID($B642,10,1),"0123456789")-1,"")</f>
        <v/>
      </c>
      <c r="Q642">
        <f>IF($F642=1,SUMPRODUCT($G642:$P642,{1,2,4,8,16,32,64,128,256,512}),"")</f>
        <v/>
      </c>
      <c r="R642">
        <f>IF($F642=1,MOD(MOD($Q642,11),10),"")</f>
        <v/>
      </c>
    </row>
    <row r="643">
      <c r="A643" s="6" t="n"/>
      <c r="B643" s="7">
        <f>IF($A643="","",UPPER(SUBSTITUTE(SUBSTITUTE(SUBSTITUTE(SUBSTITUTE(SUBSTITUTE(SUBSTITUTE($A643," ",""),"-",""),".",""),"/",""),"i","I"),"ı","?")))</f>
        <v/>
      </c>
      <c r="C643" s="8">
        <f>IF($F643=1,$R643,"")</f>
        <v/>
      </c>
      <c r="D643" s="7">
        <f>IF($A643="","",IF($F643=0,"Biçim hatalı",IF(FIND(MID($B643,11,1),"0123456789")-1=$R643,"Geçerli","Kontrol hanesi hatalı (doğrusu: "&amp;$R643&amp;")")))</f>
        <v/>
      </c>
      <c r="F643">
        <f>IF($A643="","",IF(AND(LEN($B643)=11,SUMPRODUCT(--ISNUMBER(FIND(MID($B643,{1,2,3},1),"ABCDEFGHIJKLMNOPQRSTUVWXYZ")))=3,ISNUMBER(FIND(MID($B643,4,1),"UJZ")),SUMPRODUCT(--ISNUMBER(FIND(MID($B643,{5,6,7,8,9,10,11},1),"0123456789")))=7),1,0))</f>
        <v/>
      </c>
      <c r="G643">
        <f>IF($F643=1,INDEX({10,12,13,14,15,16,17,18,19,20,21,23,24,25,26,27,28,29,30,31,32,34,35,36,37,38},1,FIND(MID($B643,1,1),"ABCDEFGHIJKLMNOPQRSTUVWXYZ")),"")</f>
        <v/>
      </c>
      <c r="H643">
        <f>IF($F643=1,INDEX({10,12,13,14,15,16,17,18,19,20,21,23,24,25,26,27,28,29,30,31,32,34,35,36,37,38},1,FIND(MID($B643,2,1),"ABCDEFGHIJKLMNOPQRSTUVWXYZ")),"")</f>
        <v/>
      </c>
      <c r="I643">
        <f>IF($F643=1,INDEX({10,12,13,14,15,16,17,18,19,20,21,23,24,25,26,27,28,29,30,31,32,34,35,36,37,38},1,FIND(MID($B643,3,1),"ABCDEFGHIJKLMNOPQRSTUVWXYZ")),"")</f>
        <v/>
      </c>
      <c r="J643">
        <f>IF($F643=1,INDEX({10,12,13,14,15,16,17,18,19,20,21,23,24,25,26,27,28,29,30,31,32,34,35,36,37,38},1,FIND(MID($B643,4,1),"ABCDEFGHIJKLMNOPQRSTUVWXYZ")),"")</f>
        <v/>
      </c>
      <c r="K643">
        <f>IF($F643=1,FIND(MID($B643,5,1),"0123456789")-1,"")</f>
        <v/>
      </c>
      <c r="L643">
        <f>IF($F643=1,FIND(MID($B643,6,1),"0123456789")-1,"")</f>
        <v/>
      </c>
      <c r="M643">
        <f>IF($F643=1,FIND(MID($B643,7,1),"0123456789")-1,"")</f>
        <v/>
      </c>
      <c r="N643">
        <f>IF($F643=1,FIND(MID($B643,8,1),"0123456789")-1,"")</f>
        <v/>
      </c>
      <c r="O643">
        <f>IF($F643=1,FIND(MID($B643,9,1),"0123456789")-1,"")</f>
        <v/>
      </c>
      <c r="P643">
        <f>IF($F643=1,FIND(MID($B643,10,1),"0123456789")-1,"")</f>
        <v/>
      </c>
      <c r="Q643">
        <f>IF($F643=1,SUMPRODUCT($G643:$P643,{1,2,4,8,16,32,64,128,256,512}),"")</f>
        <v/>
      </c>
      <c r="R643">
        <f>IF($F643=1,MOD(MOD($Q643,11),10),"")</f>
        <v/>
      </c>
    </row>
    <row r="644">
      <c r="A644" s="6" t="n"/>
      <c r="B644" s="7">
        <f>IF($A644="","",UPPER(SUBSTITUTE(SUBSTITUTE(SUBSTITUTE(SUBSTITUTE(SUBSTITUTE(SUBSTITUTE($A644," ",""),"-",""),".",""),"/",""),"i","I"),"ı","?")))</f>
        <v/>
      </c>
      <c r="C644" s="8">
        <f>IF($F644=1,$R644,"")</f>
        <v/>
      </c>
      <c r="D644" s="7">
        <f>IF($A644="","",IF($F644=0,"Biçim hatalı",IF(FIND(MID($B644,11,1),"0123456789")-1=$R644,"Geçerli","Kontrol hanesi hatalı (doğrusu: "&amp;$R644&amp;")")))</f>
        <v/>
      </c>
      <c r="F644">
        <f>IF($A644="","",IF(AND(LEN($B644)=11,SUMPRODUCT(--ISNUMBER(FIND(MID($B644,{1,2,3},1),"ABCDEFGHIJKLMNOPQRSTUVWXYZ")))=3,ISNUMBER(FIND(MID($B644,4,1),"UJZ")),SUMPRODUCT(--ISNUMBER(FIND(MID($B644,{5,6,7,8,9,10,11},1),"0123456789")))=7),1,0))</f>
        <v/>
      </c>
      <c r="G644">
        <f>IF($F644=1,INDEX({10,12,13,14,15,16,17,18,19,20,21,23,24,25,26,27,28,29,30,31,32,34,35,36,37,38},1,FIND(MID($B644,1,1),"ABCDEFGHIJKLMNOPQRSTUVWXYZ")),"")</f>
        <v/>
      </c>
      <c r="H644">
        <f>IF($F644=1,INDEX({10,12,13,14,15,16,17,18,19,20,21,23,24,25,26,27,28,29,30,31,32,34,35,36,37,38},1,FIND(MID($B644,2,1),"ABCDEFGHIJKLMNOPQRSTUVWXYZ")),"")</f>
        <v/>
      </c>
      <c r="I644">
        <f>IF($F644=1,INDEX({10,12,13,14,15,16,17,18,19,20,21,23,24,25,26,27,28,29,30,31,32,34,35,36,37,38},1,FIND(MID($B644,3,1),"ABCDEFGHIJKLMNOPQRSTUVWXYZ")),"")</f>
        <v/>
      </c>
      <c r="J644">
        <f>IF($F644=1,INDEX({10,12,13,14,15,16,17,18,19,20,21,23,24,25,26,27,28,29,30,31,32,34,35,36,37,38},1,FIND(MID($B644,4,1),"ABCDEFGHIJKLMNOPQRSTUVWXYZ")),"")</f>
        <v/>
      </c>
      <c r="K644">
        <f>IF($F644=1,FIND(MID($B644,5,1),"0123456789")-1,"")</f>
        <v/>
      </c>
      <c r="L644">
        <f>IF($F644=1,FIND(MID($B644,6,1),"0123456789")-1,"")</f>
        <v/>
      </c>
      <c r="M644">
        <f>IF($F644=1,FIND(MID($B644,7,1),"0123456789")-1,"")</f>
        <v/>
      </c>
      <c r="N644">
        <f>IF($F644=1,FIND(MID($B644,8,1),"0123456789")-1,"")</f>
        <v/>
      </c>
      <c r="O644">
        <f>IF($F644=1,FIND(MID($B644,9,1),"0123456789")-1,"")</f>
        <v/>
      </c>
      <c r="P644">
        <f>IF($F644=1,FIND(MID($B644,10,1),"0123456789")-1,"")</f>
        <v/>
      </c>
      <c r="Q644">
        <f>IF($F644=1,SUMPRODUCT($G644:$P644,{1,2,4,8,16,32,64,128,256,512}),"")</f>
        <v/>
      </c>
      <c r="R644">
        <f>IF($F644=1,MOD(MOD($Q644,11),10),"")</f>
        <v/>
      </c>
    </row>
    <row r="645">
      <c r="A645" s="6" t="n"/>
      <c r="B645" s="7">
        <f>IF($A645="","",UPPER(SUBSTITUTE(SUBSTITUTE(SUBSTITUTE(SUBSTITUTE(SUBSTITUTE(SUBSTITUTE($A645," ",""),"-",""),".",""),"/",""),"i","I"),"ı","?")))</f>
        <v/>
      </c>
      <c r="C645" s="8">
        <f>IF($F645=1,$R645,"")</f>
        <v/>
      </c>
      <c r="D645" s="7">
        <f>IF($A645="","",IF($F645=0,"Biçim hatalı",IF(FIND(MID($B645,11,1),"0123456789")-1=$R645,"Geçerli","Kontrol hanesi hatalı (doğrusu: "&amp;$R645&amp;")")))</f>
        <v/>
      </c>
      <c r="F645">
        <f>IF($A645="","",IF(AND(LEN($B645)=11,SUMPRODUCT(--ISNUMBER(FIND(MID($B645,{1,2,3},1),"ABCDEFGHIJKLMNOPQRSTUVWXYZ")))=3,ISNUMBER(FIND(MID($B645,4,1),"UJZ")),SUMPRODUCT(--ISNUMBER(FIND(MID($B645,{5,6,7,8,9,10,11},1),"0123456789")))=7),1,0))</f>
        <v/>
      </c>
      <c r="G645">
        <f>IF($F645=1,INDEX({10,12,13,14,15,16,17,18,19,20,21,23,24,25,26,27,28,29,30,31,32,34,35,36,37,38},1,FIND(MID($B645,1,1),"ABCDEFGHIJKLMNOPQRSTUVWXYZ")),"")</f>
        <v/>
      </c>
      <c r="H645">
        <f>IF($F645=1,INDEX({10,12,13,14,15,16,17,18,19,20,21,23,24,25,26,27,28,29,30,31,32,34,35,36,37,38},1,FIND(MID($B645,2,1),"ABCDEFGHIJKLMNOPQRSTUVWXYZ")),"")</f>
        <v/>
      </c>
      <c r="I645">
        <f>IF($F645=1,INDEX({10,12,13,14,15,16,17,18,19,20,21,23,24,25,26,27,28,29,30,31,32,34,35,36,37,38},1,FIND(MID($B645,3,1),"ABCDEFGHIJKLMNOPQRSTUVWXYZ")),"")</f>
        <v/>
      </c>
      <c r="J645">
        <f>IF($F645=1,INDEX({10,12,13,14,15,16,17,18,19,20,21,23,24,25,26,27,28,29,30,31,32,34,35,36,37,38},1,FIND(MID($B645,4,1),"ABCDEFGHIJKLMNOPQRSTUVWXYZ")),"")</f>
        <v/>
      </c>
      <c r="K645">
        <f>IF($F645=1,FIND(MID($B645,5,1),"0123456789")-1,"")</f>
        <v/>
      </c>
      <c r="L645">
        <f>IF($F645=1,FIND(MID($B645,6,1),"0123456789")-1,"")</f>
        <v/>
      </c>
      <c r="M645">
        <f>IF($F645=1,FIND(MID($B645,7,1),"0123456789")-1,"")</f>
        <v/>
      </c>
      <c r="N645">
        <f>IF($F645=1,FIND(MID($B645,8,1),"0123456789")-1,"")</f>
        <v/>
      </c>
      <c r="O645">
        <f>IF($F645=1,FIND(MID($B645,9,1),"0123456789")-1,"")</f>
        <v/>
      </c>
      <c r="P645">
        <f>IF($F645=1,FIND(MID($B645,10,1),"0123456789")-1,"")</f>
        <v/>
      </c>
      <c r="Q645">
        <f>IF($F645=1,SUMPRODUCT($G645:$P645,{1,2,4,8,16,32,64,128,256,512}),"")</f>
        <v/>
      </c>
      <c r="R645">
        <f>IF($F645=1,MOD(MOD($Q645,11),10),"")</f>
        <v/>
      </c>
    </row>
    <row r="646">
      <c r="A646" s="6" t="n"/>
      <c r="B646" s="7">
        <f>IF($A646="","",UPPER(SUBSTITUTE(SUBSTITUTE(SUBSTITUTE(SUBSTITUTE(SUBSTITUTE(SUBSTITUTE($A646," ",""),"-",""),".",""),"/",""),"i","I"),"ı","?")))</f>
        <v/>
      </c>
      <c r="C646" s="8">
        <f>IF($F646=1,$R646,"")</f>
        <v/>
      </c>
      <c r="D646" s="7">
        <f>IF($A646="","",IF($F646=0,"Biçim hatalı",IF(FIND(MID($B646,11,1),"0123456789")-1=$R646,"Geçerli","Kontrol hanesi hatalı (doğrusu: "&amp;$R646&amp;")")))</f>
        <v/>
      </c>
      <c r="F646">
        <f>IF($A646="","",IF(AND(LEN($B646)=11,SUMPRODUCT(--ISNUMBER(FIND(MID($B646,{1,2,3},1),"ABCDEFGHIJKLMNOPQRSTUVWXYZ")))=3,ISNUMBER(FIND(MID($B646,4,1),"UJZ")),SUMPRODUCT(--ISNUMBER(FIND(MID($B646,{5,6,7,8,9,10,11},1),"0123456789")))=7),1,0))</f>
        <v/>
      </c>
      <c r="G646">
        <f>IF($F646=1,INDEX({10,12,13,14,15,16,17,18,19,20,21,23,24,25,26,27,28,29,30,31,32,34,35,36,37,38},1,FIND(MID($B646,1,1),"ABCDEFGHIJKLMNOPQRSTUVWXYZ")),"")</f>
        <v/>
      </c>
      <c r="H646">
        <f>IF($F646=1,INDEX({10,12,13,14,15,16,17,18,19,20,21,23,24,25,26,27,28,29,30,31,32,34,35,36,37,38},1,FIND(MID($B646,2,1),"ABCDEFGHIJKLMNOPQRSTUVWXYZ")),"")</f>
        <v/>
      </c>
      <c r="I646">
        <f>IF($F646=1,INDEX({10,12,13,14,15,16,17,18,19,20,21,23,24,25,26,27,28,29,30,31,32,34,35,36,37,38},1,FIND(MID($B646,3,1),"ABCDEFGHIJKLMNOPQRSTUVWXYZ")),"")</f>
        <v/>
      </c>
      <c r="J646">
        <f>IF($F646=1,INDEX({10,12,13,14,15,16,17,18,19,20,21,23,24,25,26,27,28,29,30,31,32,34,35,36,37,38},1,FIND(MID($B646,4,1),"ABCDEFGHIJKLMNOPQRSTUVWXYZ")),"")</f>
        <v/>
      </c>
      <c r="K646">
        <f>IF($F646=1,FIND(MID($B646,5,1),"0123456789")-1,"")</f>
        <v/>
      </c>
      <c r="L646">
        <f>IF($F646=1,FIND(MID($B646,6,1),"0123456789")-1,"")</f>
        <v/>
      </c>
      <c r="M646">
        <f>IF($F646=1,FIND(MID($B646,7,1),"0123456789")-1,"")</f>
        <v/>
      </c>
      <c r="N646">
        <f>IF($F646=1,FIND(MID($B646,8,1),"0123456789")-1,"")</f>
        <v/>
      </c>
      <c r="O646">
        <f>IF($F646=1,FIND(MID($B646,9,1),"0123456789")-1,"")</f>
        <v/>
      </c>
      <c r="P646">
        <f>IF($F646=1,FIND(MID($B646,10,1),"0123456789")-1,"")</f>
        <v/>
      </c>
      <c r="Q646">
        <f>IF($F646=1,SUMPRODUCT($G646:$P646,{1,2,4,8,16,32,64,128,256,512}),"")</f>
        <v/>
      </c>
      <c r="R646">
        <f>IF($F646=1,MOD(MOD($Q646,11),10),"")</f>
        <v/>
      </c>
    </row>
    <row r="647">
      <c r="A647" s="6" t="n"/>
      <c r="B647" s="7">
        <f>IF($A647="","",UPPER(SUBSTITUTE(SUBSTITUTE(SUBSTITUTE(SUBSTITUTE(SUBSTITUTE(SUBSTITUTE($A647," ",""),"-",""),".",""),"/",""),"i","I"),"ı","?")))</f>
        <v/>
      </c>
      <c r="C647" s="8">
        <f>IF($F647=1,$R647,"")</f>
        <v/>
      </c>
      <c r="D647" s="7">
        <f>IF($A647="","",IF($F647=0,"Biçim hatalı",IF(FIND(MID($B647,11,1),"0123456789")-1=$R647,"Geçerli","Kontrol hanesi hatalı (doğrusu: "&amp;$R647&amp;")")))</f>
        <v/>
      </c>
      <c r="F647">
        <f>IF($A647="","",IF(AND(LEN($B647)=11,SUMPRODUCT(--ISNUMBER(FIND(MID($B647,{1,2,3},1),"ABCDEFGHIJKLMNOPQRSTUVWXYZ")))=3,ISNUMBER(FIND(MID($B647,4,1),"UJZ")),SUMPRODUCT(--ISNUMBER(FIND(MID($B647,{5,6,7,8,9,10,11},1),"0123456789")))=7),1,0))</f>
        <v/>
      </c>
      <c r="G647">
        <f>IF($F647=1,INDEX({10,12,13,14,15,16,17,18,19,20,21,23,24,25,26,27,28,29,30,31,32,34,35,36,37,38},1,FIND(MID($B647,1,1),"ABCDEFGHIJKLMNOPQRSTUVWXYZ")),"")</f>
        <v/>
      </c>
      <c r="H647">
        <f>IF($F647=1,INDEX({10,12,13,14,15,16,17,18,19,20,21,23,24,25,26,27,28,29,30,31,32,34,35,36,37,38},1,FIND(MID($B647,2,1),"ABCDEFGHIJKLMNOPQRSTUVWXYZ")),"")</f>
        <v/>
      </c>
      <c r="I647">
        <f>IF($F647=1,INDEX({10,12,13,14,15,16,17,18,19,20,21,23,24,25,26,27,28,29,30,31,32,34,35,36,37,38},1,FIND(MID($B647,3,1),"ABCDEFGHIJKLMNOPQRSTUVWXYZ")),"")</f>
        <v/>
      </c>
      <c r="J647">
        <f>IF($F647=1,INDEX({10,12,13,14,15,16,17,18,19,20,21,23,24,25,26,27,28,29,30,31,32,34,35,36,37,38},1,FIND(MID($B647,4,1),"ABCDEFGHIJKLMNOPQRSTUVWXYZ")),"")</f>
        <v/>
      </c>
      <c r="K647">
        <f>IF($F647=1,FIND(MID($B647,5,1),"0123456789")-1,"")</f>
        <v/>
      </c>
      <c r="L647">
        <f>IF($F647=1,FIND(MID($B647,6,1),"0123456789")-1,"")</f>
        <v/>
      </c>
      <c r="M647">
        <f>IF($F647=1,FIND(MID($B647,7,1),"0123456789")-1,"")</f>
        <v/>
      </c>
      <c r="N647">
        <f>IF($F647=1,FIND(MID($B647,8,1),"0123456789")-1,"")</f>
        <v/>
      </c>
      <c r="O647">
        <f>IF($F647=1,FIND(MID($B647,9,1),"0123456789")-1,"")</f>
        <v/>
      </c>
      <c r="P647">
        <f>IF($F647=1,FIND(MID($B647,10,1),"0123456789")-1,"")</f>
        <v/>
      </c>
      <c r="Q647">
        <f>IF($F647=1,SUMPRODUCT($G647:$P647,{1,2,4,8,16,32,64,128,256,512}),"")</f>
        <v/>
      </c>
      <c r="R647">
        <f>IF($F647=1,MOD(MOD($Q647,11),10),"")</f>
        <v/>
      </c>
    </row>
    <row r="648">
      <c r="A648" s="6" t="n"/>
      <c r="B648" s="7">
        <f>IF($A648="","",UPPER(SUBSTITUTE(SUBSTITUTE(SUBSTITUTE(SUBSTITUTE(SUBSTITUTE(SUBSTITUTE($A648," ",""),"-",""),".",""),"/",""),"i","I"),"ı","?")))</f>
        <v/>
      </c>
      <c r="C648" s="8">
        <f>IF($F648=1,$R648,"")</f>
        <v/>
      </c>
      <c r="D648" s="7">
        <f>IF($A648="","",IF($F648=0,"Biçim hatalı",IF(FIND(MID($B648,11,1),"0123456789")-1=$R648,"Geçerli","Kontrol hanesi hatalı (doğrusu: "&amp;$R648&amp;")")))</f>
        <v/>
      </c>
      <c r="F648">
        <f>IF($A648="","",IF(AND(LEN($B648)=11,SUMPRODUCT(--ISNUMBER(FIND(MID($B648,{1,2,3},1),"ABCDEFGHIJKLMNOPQRSTUVWXYZ")))=3,ISNUMBER(FIND(MID($B648,4,1),"UJZ")),SUMPRODUCT(--ISNUMBER(FIND(MID($B648,{5,6,7,8,9,10,11},1),"0123456789")))=7),1,0))</f>
        <v/>
      </c>
      <c r="G648">
        <f>IF($F648=1,INDEX({10,12,13,14,15,16,17,18,19,20,21,23,24,25,26,27,28,29,30,31,32,34,35,36,37,38},1,FIND(MID($B648,1,1),"ABCDEFGHIJKLMNOPQRSTUVWXYZ")),"")</f>
        <v/>
      </c>
      <c r="H648">
        <f>IF($F648=1,INDEX({10,12,13,14,15,16,17,18,19,20,21,23,24,25,26,27,28,29,30,31,32,34,35,36,37,38},1,FIND(MID($B648,2,1),"ABCDEFGHIJKLMNOPQRSTUVWXYZ")),"")</f>
        <v/>
      </c>
      <c r="I648">
        <f>IF($F648=1,INDEX({10,12,13,14,15,16,17,18,19,20,21,23,24,25,26,27,28,29,30,31,32,34,35,36,37,38},1,FIND(MID($B648,3,1),"ABCDEFGHIJKLMNOPQRSTUVWXYZ")),"")</f>
        <v/>
      </c>
      <c r="J648">
        <f>IF($F648=1,INDEX({10,12,13,14,15,16,17,18,19,20,21,23,24,25,26,27,28,29,30,31,32,34,35,36,37,38},1,FIND(MID($B648,4,1),"ABCDEFGHIJKLMNOPQRSTUVWXYZ")),"")</f>
        <v/>
      </c>
      <c r="K648">
        <f>IF($F648=1,FIND(MID($B648,5,1),"0123456789")-1,"")</f>
        <v/>
      </c>
      <c r="L648">
        <f>IF($F648=1,FIND(MID($B648,6,1),"0123456789")-1,"")</f>
        <v/>
      </c>
      <c r="M648">
        <f>IF($F648=1,FIND(MID($B648,7,1),"0123456789")-1,"")</f>
        <v/>
      </c>
      <c r="N648">
        <f>IF($F648=1,FIND(MID($B648,8,1),"0123456789")-1,"")</f>
        <v/>
      </c>
      <c r="O648">
        <f>IF($F648=1,FIND(MID($B648,9,1),"0123456789")-1,"")</f>
        <v/>
      </c>
      <c r="P648">
        <f>IF($F648=1,FIND(MID($B648,10,1),"0123456789")-1,"")</f>
        <v/>
      </c>
      <c r="Q648">
        <f>IF($F648=1,SUMPRODUCT($G648:$P648,{1,2,4,8,16,32,64,128,256,512}),"")</f>
        <v/>
      </c>
      <c r="R648">
        <f>IF($F648=1,MOD(MOD($Q648,11),10),"")</f>
        <v/>
      </c>
    </row>
    <row r="649">
      <c r="A649" s="6" t="n"/>
      <c r="B649" s="7">
        <f>IF($A649="","",UPPER(SUBSTITUTE(SUBSTITUTE(SUBSTITUTE(SUBSTITUTE(SUBSTITUTE(SUBSTITUTE($A649," ",""),"-",""),".",""),"/",""),"i","I"),"ı","?")))</f>
        <v/>
      </c>
      <c r="C649" s="8">
        <f>IF($F649=1,$R649,"")</f>
        <v/>
      </c>
      <c r="D649" s="7">
        <f>IF($A649="","",IF($F649=0,"Biçim hatalı",IF(FIND(MID($B649,11,1),"0123456789")-1=$R649,"Geçerli","Kontrol hanesi hatalı (doğrusu: "&amp;$R649&amp;")")))</f>
        <v/>
      </c>
      <c r="F649">
        <f>IF($A649="","",IF(AND(LEN($B649)=11,SUMPRODUCT(--ISNUMBER(FIND(MID($B649,{1,2,3},1),"ABCDEFGHIJKLMNOPQRSTUVWXYZ")))=3,ISNUMBER(FIND(MID($B649,4,1),"UJZ")),SUMPRODUCT(--ISNUMBER(FIND(MID($B649,{5,6,7,8,9,10,11},1),"0123456789")))=7),1,0))</f>
        <v/>
      </c>
      <c r="G649">
        <f>IF($F649=1,INDEX({10,12,13,14,15,16,17,18,19,20,21,23,24,25,26,27,28,29,30,31,32,34,35,36,37,38},1,FIND(MID($B649,1,1),"ABCDEFGHIJKLMNOPQRSTUVWXYZ")),"")</f>
        <v/>
      </c>
      <c r="H649">
        <f>IF($F649=1,INDEX({10,12,13,14,15,16,17,18,19,20,21,23,24,25,26,27,28,29,30,31,32,34,35,36,37,38},1,FIND(MID($B649,2,1),"ABCDEFGHIJKLMNOPQRSTUVWXYZ")),"")</f>
        <v/>
      </c>
      <c r="I649">
        <f>IF($F649=1,INDEX({10,12,13,14,15,16,17,18,19,20,21,23,24,25,26,27,28,29,30,31,32,34,35,36,37,38},1,FIND(MID($B649,3,1),"ABCDEFGHIJKLMNOPQRSTUVWXYZ")),"")</f>
        <v/>
      </c>
      <c r="J649">
        <f>IF($F649=1,INDEX({10,12,13,14,15,16,17,18,19,20,21,23,24,25,26,27,28,29,30,31,32,34,35,36,37,38},1,FIND(MID($B649,4,1),"ABCDEFGHIJKLMNOPQRSTUVWXYZ")),"")</f>
        <v/>
      </c>
      <c r="K649">
        <f>IF($F649=1,FIND(MID($B649,5,1),"0123456789")-1,"")</f>
        <v/>
      </c>
      <c r="L649">
        <f>IF($F649=1,FIND(MID($B649,6,1),"0123456789")-1,"")</f>
        <v/>
      </c>
      <c r="M649">
        <f>IF($F649=1,FIND(MID($B649,7,1),"0123456789")-1,"")</f>
        <v/>
      </c>
      <c r="N649">
        <f>IF($F649=1,FIND(MID($B649,8,1),"0123456789")-1,"")</f>
        <v/>
      </c>
      <c r="O649">
        <f>IF($F649=1,FIND(MID($B649,9,1),"0123456789")-1,"")</f>
        <v/>
      </c>
      <c r="P649">
        <f>IF($F649=1,FIND(MID($B649,10,1),"0123456789")-1,"")</f>
        <v/>
      </c>
      <c r="Q649">
        <f>IF($F649=1,SUMPRODUCT($G649:$P649,{1,2,4,8,16,32,64,128,256,512}),"")</f>
        <v/>
      </c>
      <c r="R649">
        <f>IF($F649=1,MOD(MOD($Q649,11),10),"")</f>
        <v/>
      </c>
    </row>
    <row r="650">
      <c r="A650" s="6" t="n"/>
      <c r="B650" s="7">
        <f>IF($A650="","",UPPER(SUBSTITUTE(SUBSTITUTE(SUBSTITUTE(SUBSTITUTE(SUBSTITUTE(SUBSTITUTE($A650," ",""),"-",""),".",""),"/",""),"i","I"),"ı","?")))</f>
        <v/>
      </c>
      <c r="C650" s="8">
        <f>IF($F650=1,$R650,"")</f>
        <v/>
      </c>
      <c r="D650" s="7">
        <f>IF($A650="","",IF($F650=0,"Biçim hatalı",IF(FIND(MID($B650,11,1),"0123456789")-1=$R650,"Geçerli","Kontrol hanesi hatalı (doğrusu: "&amp;$R650&amp;")")))</f>
        <v/>
      </c>
      <c r="F650">
        <f>IF($A650="","",IF(AND(LEN($B650)=11,SUMPRODUCT(--ISNUMBER(FIND(MID($B650,{1,2,3},1),"ABCDEFGHIJKLMNOPQRSTUVWXYZ")))=3,ISNUMBER(FIND(MID($B650,4,1),"UJZ")),SUMPRODUCT(--ISNUMBER(FIND(MID($B650,{5,6,7,8,9,10,11},1),"0123456789")))=7),1,0))</f>
        <v/>
      </c>
      <c r="G650">
        <f>IF($F650=1,INDEX({10,12,13,14,15,16,17,18,19,20,21,23,24,25,26,27,28,29,30,31,32,34,35,36,37,38},1,FIND(MID($B650,1,1),"ABCDEFGHIJKLMNOPQRSTUVWXYZ")),"")</f>
        <v/>
      </c>
      <c r="H650">
        <f>IF($F650=1,INDEX({10,12,13,14,15,16,17,18,19,20,21,23,24,25,26,27,28,29,30,31,32,34,35,36,37,38},1,FIND(MID($B650,2,1),"ABCDEFGHIJKLMNOPQRSTUVWXYZ")),"")</f>
        <v/>
      </c>
      <c r="I650">
        <f>IF($F650=1,INDEX({10,12,13,14,15,16,17,18,19,20,21,23,24,25,26,27,28,29,30,31,32,34,35,36,37,38},1,FIND(MID($B650,3,1),"ABCDEFGHIJKLMNOPQRSTUVWXYZ")),"")</f>
        <v/>
      </c>
      <c r="J650">
        <f>IF($F650=1,INDEX({10,12,13,14,15,16,17,18,19,20,21,23,24,25,26,27,28,29,30,31,32,34,35,36,37,38},1,FIND(MID($B650,4,1),"ABCDEFGHIJKLMNOPQRSTUVWXYZ")),"")</f>
        <v/>
      </c>
      <c r="K650">
        <f>IF($F650=1,FIND(MID($B650,5,1),"0123456789")-1,"")</f>
        <v/>
      </c>
      <c r="L650">
        <f>IF($F650=1,FIND(MID($B650,6,1),"0123456789")-1,"")</f>
        <v/>
      </c>
      <c r="M650">
        <f>IF($F650=1,FIND(MID($B650,7,1),"0123456789")-1,"")</f>
        <v/>
      </c>
      <c r="N650">
        <f>IF($F650=1,FIND(MID($B650,8,1),"0123456789")-1,"")</f>
        <v/>
      </c>
      <c r="O650">
        <f>IF($F650=1,FIND(MID($B650,9,1),"0123456789")-1,"")</f>
        <v/>
      </c>
      <c r="P650">
        <f>IF($F650=1,FIND(MID($B650,10,1),"0123456789")-1,"")</f>
        <v/>
      </c>
      <c r="Q650">
        <f>IF($F650=1,SUMPRODUCT($G650:$P650,{1,2,4,8,16,32,64,128,256,512}),"")</f>
        <v/>
      </c>
      <c r="R650">
        <f>IF($F650=1,MOD(MOD($Q650,11),10),"")</f>
        <v/>
      </c>
    </row>
    <row r="651">
      <c r="A651" s="6" t="n"/>
      <c r="B651" s="7">
        <f>IF($A651="","",UPPER(SUBSTITUTE(SUBSTITUTE(SUBSTITUTE(SUBSTITUTE(SUBSTITUTE(SUBSTITUTE($A651," ",""),"-",""),".",""),"/",""),"i","I"),"ı","?")))</f>
        <v/>
      </c>
      <c r="C651" s="8">
        <f>IF($F651=1,$R651,"")</f>
        <v/>
      </c>
      <c r="D651" s="7">
        <f>IF($A651="","",IF($F651=0,"Biçim hatalı",IF(FIND(MID($B651,11,1),"0123456789")-1=$R651,"Geçerli","Kontrol hanesi hatalı (doğrusu: "&amp;$R651&amp;")")))</f>
        <v/>
      </c>
      <c r="F651">
        <f>IF($A651="","",IF(AND(LEN($B651)=11,SUMPRODUCT(--ISNUMBER(FIND(MID($B651,{1,2,3},1),"ABCDEFGHIJKLMNOPQRSTUVWXYZ")))=3,ISNUMBER(FIND(MID($B651,4,1),"UJZ")),SUMPRODUCT(--ISNUMBER(FIND(MID($B651,{5,6,7,8,9,10,11},1),"0123456789")))=7),1,0))</f>
        <v/>
      </c>
      <c r="G651">
        <f>IF($F651=1,INDEX({10,12,13,14,15,16,17,18,19,20,21,23,24,25,26,27,28,29,30,31,32,34,35,36,37,38},1,FIND(MID($B651,1,1),"ABCDEFGHIJKLMNOPQRSTUVWXYZ")),"")</f>
        <v/>
      </c>
      <c r="H651">
        <f>IF($F651=1,INDEX({10,12,13,14,15,16,17,18,19,20,21,23,24,25,26,27,28,29,30,31,32,34,35,36,37,38},1,FIND(MID($B651,2,1),"ABCDEFGHIJKLMNOPQRSTUVWXYZ")),"")</f>
        <v/>
      </c>
      <c r="I651">
        <f>IF($F651=1,INDEX({10,12,13,14,15,16,17,18,19,20,21,23,24,25,26,27,28,29,30,31,32,34,35,36,37,38},1,FIND(MID($B651,3,1),"ABCDEFGHIJKLMNOPQRSTUVWXYZ")),"")</f>
        <v/>
      </c>
      <c r="J651">
        <f>IF($F651=1,INDEX({10,12,13,14,15,16,17,18,19,20,21,23,24,25,26,27,28,29,30,31,32,34,35,36,37,38},1,FIND(MID($B651,4,1),"ABCDEFGHIJKLMNOPQRSTUVWXYZ")),"")</f>
        <v/>
      </c>
      <c r="K651">
        <f>IF($F651=1,FIND(MID($B651,5,1),"0123456789")-1,"")</f>
        <v/>
      </c>
      <c r="L651">
        <f>IF($F651=1,FIND(MID($B651,6,1),"0123456789")-1,"")</f>
        <v/>
      </c>
      <c r="M651">
        <f>IF($F651=1,FIND(MID($B651,7,1),"0123456789")-1,"")</f>
        <v/>
      </c>
      <c r="N651">
        <f>IF($F651=1,FIND(MID($B651,8,1),"0123456789")-1,"")</f>
        <v/>
      </c>
      <c r="O651">
        <f>IF($F651=1,FIND(MID($B651,9,1),"0123456789")-1,"")</f>
        <v/>
      </c>
      <c r="P651">
        <f>IF($F651=1,FIND(MID($B651,10,1),"0123456789")-1,"")</f>
        <v/>
      </c>
      <c r="Q651">
        <f>IF($F651=1,SUMPRODUCT($G651:$P651,{1,2,4,8,16,32,64,128,256,512}),"")</f>
        <v/>
      </c>
      <c r="R651">
        <f>IF($F651=1,MOD(MOD($Q651,11),10),"")</f>
        <v/>
      </c>
    </row>
    <row r="652">
      <c r="A652" s="6" t="n"/>
      <c r="B652" s="7">
        <f>IF($A652="","",UPPER(SUBSTITUTE(SUBSTITUTE(SUBSTITUTE(SUBSTITUTE(SUBSTITUTE(SUBSTITUTE($A652," ",""),"-",""),".",""),"/",""),"i","I"),"ı","?")))</f>
        <v/>
      </c>
      <c r="C652" s="8">
        <f>IF($F652=1,$R652,"")</f>
        <v/>
      </c>
      <c r="D652" s="7">
        <f>IF($A652="","",IF($F652=0,"Biçim hatalı",IF(FIND(MID($B652,11,1),"0123456789")-1=$R652,"Geçerli","Kontrol hanesi hatalı (doğrusu: "&amp;$R652&amp;")")))</f>
        <v/>
      </c>
      <c r="F652">
        <f>IF($A652="","",IF(AND(LEN($B652)=11,SUMPRODUCT(--ISNUMBER(FIND(MID($B652,{1,2,3},1),"ABCDEFGHIJKLMNOPQRSTUVWXYZ")))=3,ISNUMBER(FIND(MID($B652,4,1),"UJZ")),SUMPRODUCT(--ISNUMBER(FIND(MID($B652,{5,6,7,8,9,10,11},1),"0123456789")))=7),1,0))</f>
        <v/>
      </c>
      <c r="G652">
        <f>IF($F652=1,INDEX({10,12,13,14,15,16,17,18,19,20,21,23,24,25,26,27,28,29,30,31,32,34,35,36,37,38},1,FIND(MID($B652,1,1),"ABCDEFGHIJKLMNOPQRSTUVWXYZ")),"")</f>
        <v/>
      </c>
      <c r="H652">
        <f>IF($F652=1,INDEX({10,12,13,14,15,16,17,18,19,20,21,23,24,25,26,27,28,29,30,31,32,34,35,36,37,38},1,FIND(MID($B652,2,1),"ABCDEFGHIJKLMNOPQRSTUVWXYZ")),"")</f>
        <v/>
      </c>
      <c r="I652">
        <f>IF($F652=1,INDEX({10,12,13,14,15,16,17,18,19,20,21,23,24,25,26,27,28,29,30,31,32,34,35,36,37,38},1,FIND(MID($B652,3,1),"ABCDEFGHIJKLMNOPQRSTUVWXYZ")),"")</f>
        <v/>
      </c>
      <c r="J652">
        <f>IF($F652=1,INDEX({10,12,13,14,15,16,17,18,19,20,21,23,24,25,26,27,28,29,30,31,32,34,35,36,37,38},1,FIND(MID($B652,4,1),"ABCDEFGHIJKLMNOPQRSTUVWXYZ")),"")</f>
        <v/>
      </c>
      <c r="K652">
        <f>IF($F652=1,FIND(MID($B652,5,1),"0123456789")-1,"")</f>
        <v/>
      </c>
      <c r="L652">
        <f>IF($F652=1,FIND(MID($B652,6,1),"0123456789")-1,"")</f>
        <v/>
      </c>
      <c r="M652">
        <f>IF($F652=1,FIND(MID($B652,7,1),"0123456789")-1,"")</f>
        <v/>
      </c>
      <c r="N652">
        <f>IF($F652=1,FIND(MID($B652,8,1),"0123456789")-1,"")</f>
        <v/>
      </c>
      <c r="O652">
        <f>IF($F652=1,FIND(MID($B652,9,1),"0123456789")-1,"")</f>
        <v/>
      </c>
      <c r="P652">
        <f>IF($F652=1,FIND(MID($B652,10,1),"0123456789")-1,"")</f>
        <v/>
      </c>
      <c r="Q652">
        <f>IF($F652=1,SUMPRODUCT($G652:$P652,{1,2,4,8,16,32,64,128,256,512}),"")</f>
        <v/>
      </c>
      <c r="R652">
        <f>IF($F652=1,MOD(MOD($Q652,11),10),"")</f>
        <v/>
      </c>
    </row>
    <row r="653">
      <c r="A653" s="6" t="n"/>
      <c r="B653" s="7">
        <f>IF($A653="","",UPPER(SUBSTITUTE(SUBSTITUTE(SUBSTITUTE(SUBSTITUTE(SUBSTITUTE(SUBSTITUTE($A653," ",""),"-",""),".",""),"/",""),"i","I"),"ı","?")))</f>
        <v/>
      </c>
      <c r="C653" s="8">
        <f>IF($F653=1,$R653,"")</f>
        <v/>
      </c>
      <c r="D653" s="7">
        <f>IF($A653="","",IF($F653=0,"Biçim hatalı",IF(FIND(MID($B653,11,1),"0123456789")-1=$R653,"Geçerli","Kontrol hanesi hatalı (doğrusu: "&amp;$R653&amp;")")))</f>
        <v/>
      </c>
      <c r="F653">
        <f>IF($A653="","",IF(AND(LEN($B653)=11,SUMPRODUCT(--ISNUMBER(FIND(MID($B653,{1,2,3},1),"ABCDEFGHIJKLMNOPQRSTUVWXYZ")))=3,ISNUMBER(FIND(MID($B653,4,1),"UJZ")),SUMPRODUCT(--ISNUMBER(FIND(MID($B653,{5,6,7,8,9,10,11},1),"0123456789")))=7),1,0))</f>
        <v/>
      </c>
      <c r="G653">
        <f>IF($F653=1,INDEX({10,12,13,14,15,16,17,18,19,20,21,23,24,25,26,27,28,29,30,31,32,34,35,36,37,38},1,FIND(MID($B653,1,1),"ABCDEFGHIJKLMNOPQRSTUVWXYZ")),"")</f>
        <v/>
      </c>
      <c r="H653">
        <f>IF($F653=1,INDEX({10,12,13,14,15,16,17,18,19,20,21,23,24,25,26,27,28,29,30,31,32,34,35,36,37,38},1,FIND(MID($B653,2,1),"ABCDEFGHIJKLMNOPQRSTUVWXYZ")),"")</f>
        <v/>
      </c>
      <c r="I653">
        <f>IF($F653=1,INDEX({10,12,13,14,15,16,17,18,19,20,21,23,24,25,26,27,28,29,30,31,32,34,35,36,37,38},1,FIND(MID($B653,3,1),"ABCDEFGHIJKLMNOPQRSTUVWXYZ")),"")</f>
        <v/>
      </c>
      <c r="J653">
        <f>IF($F653=1,INDEX({10,12,13,14,15,16,17,18,19,20,21,23,24,25,26,27,28,29,30,31,32,34,35,36,37,38},1,FIND(MID($B653,4,1),"ABCDEFGHIJKLMNOPQRSTUVWXYZ")),"")</f>
        <v/>
      </c>
      <c r="K653">
        <f>IF($F653=1,FIND(MID($B653,5,1),"0123456789")-1,"")</f>
        <v/>
      </c>
      <c r="L653">
        <f>IF($F653=1,FIND(MID($B653,6,1),"0123456789")-1,"")</f>
        <v/>
      </c>
      <c r="M653">
        <f>IF($F653=1,FIND(MID($B653,7,1),"0123456789")-1,"")</f>
        <v/>
      </c>
      <c r="N653">
        <f>IF($F653=1,FIND(MID($B653,8,1),"0123456789")-1,"")</f>
        <v/>
      </c>
      <c r="O653">
        <f>IF($F653=1,FIND(MID($B653,9,1),"0123456789")-1,"")</f>
        <v/>
      </c>
      <c r="P653">
        <f>IF($F653=1,FIND(MID($B653,10,1),"0123456789")-1,"")</f>
        <v/>
      </c>
      <c r="Q653">
        <f>IF($F653=1,SUMPRODUCT($G653:$P653,{1,2,4,8,16,32,64,128,256,512}),"")</f>
        <v/>
      </c>
      <c r="R653">
        <f>IF($F653=1,MOD(MOD($Q653,11),10),"")</f>
        <v/>
      </c>
    </row>
    <row r="654">
      <c r="A654" s="6" t="n"/>
      <c r="B654" s="7">
        <f>IF($A654="","",UPPER(SUBSTITUTE(SUBSTITUTE(SUBSTITUTE(SUBSTITUTE(SUBSTITUTE(SUBSTITUTE($A654," ",""),"-",""),".",""),"/",""),"i","I"),"ı","?")))</f>
        <v/>
      </c>
      <c r="C654" s="8">
        <f>IF($F654=1,$R654,"")</f>
        <v/>
      </c>
      <c r="D654" s="7">
        <f>IF($A654="","",IF($F654=0,"Biçim hatalı",IF(FIND(MID($B654,11,1),"0123456789")-1=$R654,"Geçerli","Kontrol hanesi hatalı (doğrusu: "&amp;$R654&amp;")")))</f>
        <v/>
      </c>
      <c r="F654">
        <f>IF($A654="","",IF(AND(LEN($B654)=11,SUMPRODUCT(--ISNUMBER(FIND(MID($B654,{1,2,3},1),"ABCDEFGHIJKLMNOPQRSTUVWXYZ")))=3,ISNUMBER(FIND(MID($B654,4,1),"UJZ")),SUMPRODUCT(--ISNUMBER(FIND(MID($B654,{5,6,7,8,9,10,11},1),"0123456789")))=7),1,0))</f>
        <v/>
      </c>
      <c r="G654">
        <f>IF($F654=1,INDEX({10,12,13,14,15,16,17,18,19,20,21,23,24,25,26,27,28,29,30,31,32,34,35,36,37,38},1,FIND(MID($B654,1,1),"ABCDEFGHIJKLMNOPQRSTUVWXYZ")),"")</f>
        <v/>
      </c>
      <c r="H654">
        <f>IF($F654=1,INDEX({10,12,13,14,15,16,17,18,19,20,21,23,24,25,26,27,28,29,30,31,32,34,35,36,37,38},1,FIND(MID($B654,2,1),"ABCDEFGHIJKLMNOPQRSTUVWXYZ")),"")</f>
        <v/>
      </c>
      <c r="I654">
        <f>IF($F654=1,INDEX({10,12,13,14,15,16,17,18,19,20,21,23,24,25,26,27,28,29,30,31,32,34,35,36,37,38},1,FIND(MID($B654,3,1),"ABCDEFGHIJKLMNOPQRSTUVWXYZ")),"")</f>
        <v/>
      </c>
      <c r="J654">
        <f>IF($F654=1,INDEX({10,12,13,14,15,16,17,18,19,20,21,23,24,25,26,27,28,29,30,31,32,34,35,36,37,38},1,FIND(MID($B654,4,1),"ABCDEFGHIJKLMNOPQRSTUVWXYZ")),"")</f>
        <v/>
      </c>
      <c r="K654">
        <f>IF($F654=1,FIND(MID($B654,5,1),"0123456789")-1,"")</f>
        <v/>
      </c>
      <c r="L654">
        <f>IF($F654=1,FIND(MID($B654,6,1),"0123456789")-1,"")</f>
        <v/>
      </c>
      <c r="M654">
        <f>IF($F654=1,FIND(MID($B654,7,1),"0123456789")-1,"")</f>
        <v/>
      </c>
      <c r="N654">
        <f>IF($F654=1,FIND(MID($B654,8,1),"0123456789")-1,"")</f>
        <v/>
      </c>
      <c r="O654">
        <f>IF($F654=1,FIND(MID($B654,9,1),"0123456789")-1,"")</f>
        <v/>
      </c>
      <c r="P654">
        <f>IF($F654=1,FIND(MID($B654,10,1),"0123456789")-1,"")</f>
        <v/>
      </c>
      <c r="Q654">
        <f>IF($F654=1,SUMPRODUCT($G654:$P654,{1,2,4,8,16,32,64,128,256,512}),"")</f>
        <v/>
      </c>
      <c r="R654">
        <f>IF($F654=1,MOD(MOD($Q654,11),10),"")</f>
        <v/>
      </c>
    </row>
    <row r="655">
      <c r="A655" s="6" t="n"/>
      <c r="B655" s="7">
        <f>IF($A655="","",UPPER(SUBSTITUTE(SUBSTITUTE(SUBSTITUTE(SUBSTITUTE(SUBSTITUTE(SUBSTITUTE($A655," ",""),"-",""),".",""),"/",""),"i","I"),"ı","?")))</f>
        <v/>
      </c>
      <c r="C655" s="8">
        <f>IF($F655=1,$R655,"")</f>
        <v/>
      </c>
      <c r="D655" s="7">
        <f>IF($A655="","",IF($F655=0,"Biçim hatalı",IF(FIND(MID($B655,11,1),"0123456789")-1=$R655,"Geçerli","Kontrol hanesi hatalı (doğrusu: "&amp;$R655&amp;")")))</f>
        <v/>
      </c>
      <c r="F655">
        <f>IF($A655="","",IF(AND(LEN($B655)=11,SUMPRODUCT(--ISNUMBER(FIND(MID($B655,{1,2,3},1),"ABCDEFGHIJKLMNOPQRSTUVWXYZ")))=3,ISNUMBER(FIND(MID($B655,4,1),"UJZ")),SUMPRODUCT(--ISNUMBER(FIND(MID($B655,{5,6,7,8,9,10,11},1),"0123456789")))=7),1,0))</f>
        <v/>
      </c>
      <c r="G655">
        <f>IF($F655=1,INDEX({10,12,13,14,15,16,17,18,19,20,21,23,24,25,26,27,28,29,30,31,32,34,35,36,37,38},1,FIND(MID($B655,1,1),"ABCDEFGHIJKLMNOPQRSTUVWXYZ")),"")</f>
        <v/>
      </c>
      <c r="H655">
        <f>IF($F655=1,INDEX({10,12,13,14,15,16,17,18,19,20,21,23,24,25,26,27,28,29,30,31,32,34,35,36,37,38},1,FIND(MID($B655,2,1),"ABCDEFGHIJKLMNOPQRSTUVWXYZ")),"")</f>
        <v/>
      </c>
      <c r="I655">
        <f>IF($F655=1,INDEX({10,12,13,14,15,16,17,18,19,20,21,23,24,25,26,27,28,29,30,31,32,34,35,36,37,38},1,FIND(MID($B655,3,1),"ABCDEFGHIJKLMNOPQRSTUVWXYZ")),"")</f>
        <v/>
      </c>
      <c r="J655">
        <f>IF($F655=1,INDEX({10,12,13,14,15,16,17,18,19,20,21,23,24,25,26,27,28,29,30,31,32,34,35,36,37,38},1,FIND(MID($B655,4,1),"ABCDEFGHIJKLMNOPQRSTUVWXYZ")),"")</f>
        <v/>
      </c>
      <c r="K655">
        <f>IF($F655=1,FIND(MID($B655,5,1),"0123456789")-1,"")</f>
        <v/>
      </c>
      <c r="L655">
        <f>IF($F655=1,FIND(MID($B655,6,1),"0123456789")-1,"")</f>
        <v/>
      </c>
      <c r="M655">
        <f>IF($F655=1,FIND(MID($B655,7,1),"0123456789")-1,"")</f>
        <v/>
      </c>
      <c r="N655">
        <f>IF($F655=1,FIND(MID($B655,8,1),"0123456789")-1,"")</f>
        <v/>
      </c>
      <c r="O655">
        <f>IF($F655=1,FIND(MID($B655,9,1),"0123456789")-1,"")</f>
        <v/>
      </c>
      <c r="P655">
        <f>IF($F655=1,FIND(MID($B655,10,1),"0123456789")-1,"")</f>
        <v/>
      </c>
      <c r="Q655">
        <f>IF($F655=1,SUMPRODUCT($G655:$P655,{1,2,4,8,16,32,64,128,256,512}),"")</f>
        <v/>
      </c>
      <c r="R655">
        <f>IF($F655=1,MOD(MOD($Q655,11),10),"")</f>
        <v/>
      </c>
    </row>
    <row r="656">
      <c r="A656" s="6" t="n"/>
      <c r="B656" s="7">
        <f>IF($A656="","",UPPER(SUBSTITUTE(SUBSTITUTE(SUBSTITUTE(SUBSTITUTE(SUBSTITUTE(SUBSTITUTE($A656," ",""),"-",""),".",""),"/",""),"i","I"),"ı","?")))</f>
        <v/>
      </c>
      <c r="C656" s="8">
        <f>IF($F656=1,$R656,"")</f>
        <v/>
      </c>
      <c r="D656" s="7">
        <f>IF($A656="","",IF($F656=0,"Biçim hatalı",IF(FIND(MID($B656,11,1),"0123456789")-1=$R656,"Geçerli","Kontrol hanesi hatalı (doğrusu: "&amp;$R656&amp;")")))</f>
        <v/>
      </c>
      <c r="F656">
        <f>IF($A656="","",IF(AND(LEN($B656)=11,SUMPRODUCT(--ISNUMBER(FIND(MID($B656,{1,2,3},1),"ABCDEFGHIJKLMNOPQRSTUVWXYZ")))=3,ISNUMBER(FIND(MID($B656,4,1),"UJZ")),SUMPRODUCT(--ISNUMBER(FIND(MID($B656,{5,6,7,8,9,10,11},1),"0123456789")))=7),1,0))</f>
        <v/>
      </c>
      <c r="G656">
        <f>IF($F656=1,INDEX({10,12,13,14,15,16,17,18,19,20,21,23,24,25,26,27,28,29,30,31,32,34,35,36,37,38},1,FIND(MID($B656,1,1),"ABCDEFGHIJKLMNOPQRSTUVWXYZ")),"")</f>
        <v/>
      </c>
      <c r="H656">
        <f>IF($F656=1,INDEX({10,12,13,14,15,16,17,18,19,20,21,23,24,25,26,27,28,29,30,31,32,34,35,36,37,38},1,FIND(MID($B656,2,1),"ABCDEFGHIJKLMNOPQRSTUVWXYZ")),"")</f>
        <v/>
      </c>
      <c r="I656">
        <f>IF($F656=1,INDEX({10,12,13,14,15,16,17,18,19,20,21,23,24,25,26,27,28,29,30,31,32,34,35,36,37,38},1,FIND(MID($B656,3,1),"ABCDEFGHIJKLMNOPQRSTUVWXYZ")),"")</f>
        <v/>
      </c>
      <c r="J656">
        <f>IF($F656=1,INDEX({10,12,13,14,15,16,17,18,19,20,21,23,24,25,26,27,28,29,30,31,32,34,35,36,37,38},1,FIND(MID($B656,4,1),"ABCDEFGHIJKLMNOPQRSTUVWXYZ")),"")</f>
        <v/>
      </c>
      <c r="K656">
        <f>IF($F656=1,FIND(MID($B656,5,1),"0123456789")-1,"")</f>
        <v/>
      </c>
      <c r="L656">
        <f>IF($F656=1,FIND(MID($B656,6,1),"0123456789")-1,"")</f>
        <v/>
      </c>
      <c r="M656">
        <f>IF($F656=1,FIND(MID($B656,7,1),"0123456789")-1,"")</f>
        <v/>
      </c>
      <c r="N656">
        <f>IF($F656=1,FIND(MID($B656,8,1),"0123456789")-1,"")</f>
        <v/>
      </c>
      <c r="O656">
        <f>IF($F656=1,FIND(MID($B656,9,1),"0123456789")-1,"")</f>
        <v/>
      </c>
      <c r="P656">
        <f>IF($F656=1,FIND(MID($B656,10,1),"0123456789")-1,"")</f>
        <v/>
      </c>
      <c r="Q656">
        <f>IF($F656=1,SUMPRODUCT($G656:$P656,{1,2,4,8,16,32,64,128,256,512}),"")</f>
        <v/>
      </c>
      <c r="R656">
        <f>IF($F656=1,MOD(MOD($Q656,11),10),"")</f>
        <v/>
      </c>
    </row>
    <row r="657">
      <c r="A657" s="6" t="n"/>
      <c r="B657" s="7">
        <f>IF($A657="","",UPPER(SUBSTITUTE(SUBSTITUTE(SUBSTITUTE(SUBSTITUTE(SUBSTITUTE(SUBSTITUTE($A657," ",""),"-",""),".",""),"/",""),"i","I"),"ı","?")))</f>
        <v/>
      </c>
      <c r="C657" s="8">
        <f>IF($F657=1,$R657,"")</f>
        <v/>
      </c>
      <c r="D657" s="7">
        <f>IF($A657="","",IF($F657=0,"Biçim hatalı",IF(FIND(MID($B657,11,1),"0123456789")-1=$R657,"Geçerli","Kontrol hanesi hatalı (doğrusu: "&amp;$R657&amp;")")))</f>
        <v/>
      </c>
      <c r="F657">
        <f>IF($A657="","",IF(AND(LEN($B657)=11,SUMPRODUCT(--ISNUMBER(FIND(MID($B657,{1,2,3},1),"ABCDEFGHIJKLMNOPQRSTUVWXYZ")))=3,ISNUMBER(FIND(MID($B657,4,1),"UJZ")),SUMPRODUCT(--ISNUMBER(FIND(MID($B657,{5,6,7,8,9,10,11},1),"0123456789")))=7),1,0))</f>
        <v/>
      </c>
      <c r="G657">
        <f>IF($F657=1,INDEX({10,12,13,14,15,16,17,18,19,20,21,23,24,25,26,27,28,29,30,31,32,34,35,36,37,38},1,FIND(MID($B657,1,1),"ABCDEFGHIJKLMNOPQRSTUVWXYZ")),"")</f>
        <v/>
      </c>
      <c r="H657">
        <f>IF($F657=1,INDEX({10,12,13,14,15,16,17,18,19,20,21,23,24,25,26,27,28,29,30,31,32,34,35,36,37,38},1,FIND(MID($B657,2,1),"ABCDEFGHIJKLMNOPQRSTUVWXYZ")),"")</f>
        <v/>
      </c>
      <c r="I657">
        <f>IF($F657=1,INDEX({10,12,13,14,15,16,17,18,19,20,21,23,24,25,26,27,28,29,30,31,32,34,35,36,37,38},1,FIND(MID($B657,3,1),"ABCDEFGHIJKLMNOPQRSTUVWXYZ")),"")</f>
        <v/>
      </c>
      <c r="J657">
        <f>IF($F657=1,INDEX({10,12,13,14,15,16,17,18,19,20,21,23,24,25,26,27,28,29,30,31,32,34,35,36,37,38},1,FIND(MID($B657,4,1),"ABCDEFGHIJKLMNOPQRSTUVWXYZ")),"")</f>
        <v/>
      </c>
      <c r="K657">
        <f>IF($F657=1,FIND(MID($B657,5,1),"0123456789")-1,"")</f>
        <v/>
      </c>
      <c r="L657">
        <f>IF($F657=1,FIND(MID($B657,6,1),"0123456789")-1,"")</f>
        <v/>
      </c>
      <c r="M657">
        <f>IF($F657=1,FIND(MID($B657,7,1),"0123456789")-1,"")</f>
        <v/>
      </c>
      <c r="N657">
        <f>IF($F657=1,FIND(MID($B657,8,1),"0123456789")-1,"")</f>
        <v/>
      </c>
      <c r="O657">
        <f>IF($F657=1,FIND(MID($B657,9,1),"0123456789")-1,"")</f>
        <v/>
      </c>
      <c r="P657">
        <f>IF($F657=1,FIND(MID($B657,10,1),"0123456789")-1,"")</f>
        <v/>
      </c>
      <c r="Q657">
        <f>IF($F657=1,SUMPRODUCT($G657:$P657,{1,2,4,8,16,32,64,128,256,512}),"")</f>
        <v/>
      </c>
      <c r="R657">
        <f>IF($F657=1,MOD(MOD($Q657,11),10),"")</f>
        <v/>
      </c>
    </row>
    <row r="658">
      <c r="A658" s="6" t="n"/>
      <c r="B658" s="7">
        <f>IF($A658="","",UPPER(SUBSTITUTE(SUBSTITUTE(SUBSTITUTE(SUBSTITUTE(SUBSTITUTE(SUBSTITUTE($A658," ",""),"-",""),".",""),"/",""),"i","I"),"ı","?")))</f>
        <v/>
      </c>
      <c r="C658" s="8">
        <f>IF($F658=1,$R658,"")</f>
        <v/>
      </c>
      <c r="D658" s="7">
        <f>IF($A658="","",IF($F658=0,"Biçim hatalı",IF(FIND(MID($B658,11,1),"0123456789")-1=$R658,"Geçerli","Kontrol hanesi hatalı (doğrusu: "&amp;$R658&amp;")")))</f>
        <v/>
      </c>
      <c r="F658">
        <f>IF($A658="","",IF(AND(LEN($B658)=11,SUMPRODUCT(--ISNUMBER(FIND(MID($B658,{1,2,3},1),"ABCDEFGHIJKLMNOPQRSTUVWXYZ")))=3,ISNUMBER(FIND(MID($B658,4,1),"UJZ")),SUMPRODUCT(--ISNUMBER(FIND(MID($B658,{5,6,7,8,9,10,11},1),"0123456789")))=7),1,0))</f>
        <v/>
      </c>
      <c r="G658">
        <f>IF($F658=1,INDEX({10,12,13,14,15,16,17,18,19,20,21,23,24,25,26,27,28,29,30,31,32,34,35,36,37,38},1,FIND(MID($B658,1,1),"ABCDEFGHIJKLMNOPQRSTUVWXYZ")),"")</f>
        <v/>
      </c>
      <c r="H658">
        <f>IF($F658=1,INDEX({10,12,13,14,15,16,17,18,19,20,21,23,24,25,26,27,28,29,30,31,32,34,35,36,37,38},1,FIND(MID($B658,2,1),"ABCDEFGHIJKLMNOPQRSTUVWXYZ")),"")</f>
        <v/>
      </c>
      <c r="I658">
        <f>IF($F658=1,INDEX({10,12,13,14,15,16,17,18,19,20,21,23,24,25,26,27,28,29,30,31,32,34,35,36,37,38},1,FIND(MID($B658,3,1),"ABCDEFGHIJKLMNOPQRSTUVWXYZ")),"")</f>
        <v/>
      </c>
      <c r="J658">
        <f>IF($F658=1,INDEX({10,12,13,14,15,16,17,18,19,20,21,23,24,25,26,27,28,29,30,31,32,34,35,36,37,38},1,FIND(MID($B658,4,1),"ABCDEFGHIJKLMNOPQRSTUVWXYZ")),"")</f>
        <v/>
      </c>
      <c r="K658">
        <f>IF($F658=1,FIND(MID($B658,5,1),"0123456789")-1,"")</f>
        <v/>
      </c>
      <c r="L658">
        <f>IF($F658=1,FIND(MID($B658,6,1),"0123456789")-1,"")</f>
        <v/>
      </c>
      <c r="M658">
        <f>IF($F658=1,FIND(MID($B658,7,1),"0123456789")-1,"")</f>
        <v/>
      </c>
      <c r="N658">
        <f>IF($F658=1,FIND(MID($B658,8,1),"0123456789")-1,"")</f>
        <v/>
      </c>
      <c r="O658">
        <f>IF($F658=1,FIND(MID($B658,9,1),"0123456789")-1,"")</f>
        <v/>
      </c>
      <c r="P658">
        <f>IF($F658=1,FIND(MID($B658,10,1),"0123456789")-1,"")</f>
        <v/>
      </c>
      <c r="Q658">
        <f>IF($F658=1,SUMPRODUCT($G658:$P658,{1,2,4,8,16,32,64,128,256,512}),"")</f>
        <v/>
      </c>
      <c r="R658">
        <f>IF($F658=1,MOD(MOD($Q658,11),10),"")</f>
        <v/>
      </c>
    </row>
    <row r="659">
      <c r="A659" s="6" t="n"/>
      <c r="B659" s="7">
        <f>IF($A659="","",UPPER(SUBSTITUTE(SUBSTITUTE(SUBSTITUTE(SUBSTITUTE(SUBSTITUTE(SUBSTITUTE($A659," ",""),"-",""),".",""),"/",""),"i","I"),"ı","?")))</f>
        <v/>
      </c>
      <c r="C659" s="8">
        <f>IF($F659=1,$R659,"")</f>
        <v/>
      </c>
      <c r="D659" s="7">
        <f>IF($A659="","",IF($F659=0,"Biçim hatalı",IF(FIND(MID($B659,11,1),"0123456789")-1=$R659,"Geçerli","Kontrol hanesi hatalı (doğrusu: "&amp;$R659&amp;")")))</f>
        <v/>
      </c>
      <c r="F659">
        <f>IF($A659="","",IF(AND(LEN($B659)=11,SUMPRODUCT(--ISNUMBER(FIND(MID($B659,{1,2,3},1),"ABCDEFGHIJKLMNOPQRSTUVWXYZ")))=3,ISNUMBER(FIND(MID($B659,4,1),"UJZ")),SUMPRODUCT(--ISNUMBER(FIND(MID($B659,{5,6,7,8,9,10,11},1),"0123456789")))=7),1,0))</f>
        <v/>
      </c>
      <c r="G659">
        <f>IF($F659=1,INDEX({10,12,13,14,15,16,17,18,19,20,21,23,24,25,26,27,28,29,30,31,32,34,35,36,37,38},1,FIND(MID($B659,1,1),"ABCDEFGHIJKLMNOPQRSTUVWXYZ")),"")</f>
        <v/>
      </c>
      <c r="H659">
        <f>IF($F659=1,INDEX({10,12,13,14,15,16,17,18,19,20,21,23,24,25,26,27,28,29,30,31,32,34,35,36,37,38},1,FIND(MID($B659,2,1),"ABCDEFGHIJKLMNOPQRSTUVWXYZ")),"")</f>
        <v/>
      </c>
      <c r="I659">
        <f>IF($F659=1,INDEX({10,12,13,14,15,16,17,18,19,20,21,23,24,25,26,27,28,29,30,31,32,34,35,36,37,38},1,FIND(MID($B659,3,1),"ABCDEFGHIJKLMNOPQRSTUVWXYZ")),"")</f>
        <v/>
      </c>
      <c r="J659">
        <f>IF($F659=1,INDEX({10,12,13,14,15,16,17,18,19,20,21,23,24,25,26,27,28,29,30,31,32,34,35,36,37,38},1,FIND(MID($B659,4,1),"ABCDEFGHIJKLMNOPQRSTUVWXYZ")),"")</f>
        <v/>
      </c>
      <c r="K659">
        <f>IF($F659=1,FIND(MID($B659,5,1),"0123456789")-1,"")</f>
        <v/>
      </c>
      <c r="L659">
        <f>IF($F659=1,FIND(MID($B659,6,1),"0123456789")-1,"")</f>
        <v/>
      </c>
      <c r="M659">
        <f>IF($F659=1,FIND(MID($B659,7,1),"0123456789")-1,"")</f>
        <v/>
      </c>
      <c r="N659">
        <f>IF($F659=1,FIND(MID($B659,8,1),"0123456789")-1,"")</f>
        <v/>
      </c>
      <c r="O659">
        <f>IF($F659=1,FIND(MID($B659,9,1),"0123456789")-1,"")</f>
        <v/>
      </c>
      <c r="P659">
        <f>IF($F659=1,FIND(MID($B659,10,1),"0123456789")-1,"")</f>
        <v/>
      </c>
      <c r="Q659">
        <f>IF($F659=1,SUMPRODUCT($G659:$P659,{1,2,4,8,16,32,64,128,256,512}),"")</f>
        <v/>
      </c>
      <c r="R659">
        <f>IF($F659=1,MOD(MOD($Q659,11),10),"")</f>
        <v/>
      </c>
    </row>
    <row r="660">
      <c r="A660" s="6" t="n"/>
      <c r="B660" s="7">
        <f>IF($A660="","",UPPER(SUBSTITUTE(SUBSTITUTE(SUBSTITUTE(SUBSTITUTE(SUBSTITUTE(SUBSTITUTE($A660," ",""),"-",""),".",""),"/",""),"i","I"),"ı","?")))</f>
        <v/>
      </c>
      <c r="C660" s="8">
        <f>IF($F660=1,$R660,"")</f>
        <v/>
      </c>
      <c r="D660" s="7">
        <f>IF($A660="","",IF($F660=0,"Biçim hatalı",IF(FIND(MID($B660,11,1),"0123456789")-1=$R660,"Geçerli","Kontrol hanesi hatalı (doğrusu: "&amp;$R660&amp;")")))</f>
        <v/>
      </c>
      <c r="F660">
        <f>IF($A660="","",IF(AND(LEN($B660)=11,SUMPRODUCT(--ISNUMBER(FIND(MID($B660,{1,2,3},1),"ABCDEFGHIJKLMNOPQRSTUVWXYZ")))=3,ISNUMBER(FIND(MID($B660,4,1),"UJZ")),SUMPRODUCT(--ISNUMBER(FIND(MID($B660,{5,6,7,8,9,10,11},1),"0123456789")))=7),1,0))</f>
        <v/>
      </c>
      <c r="G660">
        <f>IF($F660=1,INDEX({10,12,13,14,15,16,17,18,19,20,21,23,24,25,26,27,28,29,30,31,32,34,35,36,37,38},1,FIND(MID($B660,1,1),"ABCDEFGHIJKLMNOPQRSTUVWXYZ")),"")</f>
        <v/>
      </c>
      <c r="H660">
        <f>IF($F660=1,INDEX({10,12,13,14,15,16,17,18,19,20,21,23,24,25,26,27,28,29,30,31,32,34,35,36,37,38},1,FIND(MID($B660,2,1),"ABCDEFGHIJKLMNOPQRSTUVWXYZ")),"")</f>
        <v/>
      </c>
      <c r="I660">
        <f>IF($F660=1,INDEX({10,12,13,14,15,16,17,18,19,20,21,23,24,25,26,27,28,29,30,31,32,34,35,36,37,38},1,FIND(MID($B660,3,1),"ABCDEFGHIJKLMNOPQRSTUVWXYZ")),"")</f>
        <v/>
      </c>
      <c r="J660">
        <f>IF($F660=1,INDEX({10,12,13,14,15,16,17,18,19,20,21,23,24,25,26,27,28,29,30,31,32,34,35,36,37,38},1,FIND(MID($B660,4,1),"ABCDEFGHIJKLMNOPQRSTUVWXYZ")),"")</f>
        <v/>
      </c>
      <c r="K660">
        <f>IF($F660=1,FIND(MID($B660,5,1),"0123456789")-1,"")</f>
        <v/>
      </c>
      <c r="L660">
        <f>IF($F660=1,FIND(MID($B660,6,1),"0123456789")-1,"")</f>
        <v/>
      </c>
      <c r="M660">
        <f>IF($F660=1,FIND(MID($B660,7,1),"0123456789")-1,"")</f>
        <v/>
      </c>
      <c r="N660">
        <f>IF($F660=1,FIND(MID($B660,8,1),"0123456789")-1,"")</f>
        <v/>
      </c>
      <c r="O660">
        <f>IF($F660=1,FIND(MID($B660,9,1),"0123456789")-1,"")</f>
        <v/>
      </c>
      <c r="P660">
        <f>IF($F660=1,FIND(MID($B660,10,1),"0123456789")-1,"")</f>
        <v/>
      </c>
      <c r="Q660">
        <f>IF($F660=1,SUMPRODUCT($G660:$P660,{1,2,4,8,16,32,64,128,256,512}),"")</f>
        <v/>
      </c>
      <c r="R660">
        <f>IF($F660=1,MOD(MOD($Q660,11),10),"")</f>
        <v/>
      </c>
    </row>
    <row r="661">
      <c r="A661" s="6" t="n"/>
      <c r="B661" s="7">
        <f>IF($A661="","",UPPER(SUBSTITUTE(SUBSTITUTE(SUBSTITUTE(SUBSTITUTE(SUBSTITUTE(SUBSTITUTE($A661," ",""),"-",""),".",""),"/",""),"i","I"),"ı","?")))</f>
        <v/>
      </c>
      <c r="C661" s="8">
        <f>IF($F661=1,$R661,"")</f>
        <v/>
      </c>
      <c r="D661" s="7">
        <f>IF($A661="","",IF($F661=0,"Biçim hatalı",IF(FIND(MID($B661,11,1),"0123456789")-1=$R661,"Geçerli","Kontrol hanesi hatalı (doğrusu: "&amp;$R661&amp;")")))</f>
        <v/>
      </c>
      <c r="F661">
        <f>IF($A661="","",IF(AND(LEN($B661)=11,SUMPRODUCT(--ISNUMBER(FIND(MID($B661,{1,2,3},1),"ABCDEFGHIJKLMNOPQRSTUVWXYZ")))=3,ISNUMBER(FIND(MID($B661,4,1),"UJZ")),SUMPRODUCT(--ISNUMBER(FIND(MID($B661,{5,6,7,8,9,10,11},1),"0123456789")))=7),1,0))</f>
        <v/>
      </c>
      <c r="G661">
        <f>IF($F661=1,INDEX({10,12,13,14,15,16,17,18,19,20,21,23,24,25,26,27,28,29,30,31,32,34,35,36,37,38},1,FIND(MID($B661,1,1),"ABCDEFGHIJKLMNOPQRSTUVWXYZ")),"")</f>
        <v/>
      </c>
      <c r="H661">
        <f>IF($F661=1,INDEX({10,12,13,14,15,16,17,18,19,20,21,23,24,25,26,27,28,29,30,31,32,34,35,36,37,38},1,FIND(MID($B661,2,1),"ABCDEFGHIJKLMNOPQRSTUVWXYZ")),"")</f>
        <v/>
      </c>
      <c r="I661">
        <f>IF($F661=1,INDEX({10,12,13,14,15,16,17,18,19,20,21,23,24,25,26,27,28,29,30,31,32,34,35,36,37,38},1,FIND(MID($B661,3,1),"ABCDEFGHIJKLMNOPQRSTUVWXYZ")),"")</f>
        <v/>
      </c>
      <c r="J661">
        <f>IF($F661=1,INDEX({10,12,13,14,15,16,17,18,19,20,21,23,24,25,26,27,28,29,30,31,32,34,35,36,37,38},1,FIND(MID($B661,4,1),"ABCDEFGHIJKLMNOPQRSTUVWXYZ")),"")</f>
        <v/>
      </c>
      <c r="K661">
        <f>IF($F661=1,FIND(MID($B661,5,1),"0123456789")-1,"")</f>
        <v/>
      </c>
      <c r="L661">
        <f>IF($F661=1,FIND(MID($B661,6,1),"0123456789")-1,"")</f>
        <v/>
      </c>
      <c r="M661">
        <f>IF($F661=1,FIND(MID($B661,7,1),"0123456789")-1,"")</f>
        <v/>
      </c>
      <c r="N661">
        <f>IF($F661=1,FIND(MID($B661,8,1),"0123456789")-1,"")</f>
        <v/>
      </c>
      <c r="O661">
        <f>IF($F661=1,FIND(MID($B661,9,1),"0123456789")-1,"")</f>
        <v/>
      </c>
      <c r="P661">
        <f>IF($F661=1,FIND(MID($B661,10,1),"0123456789")-1,"")</f>
        <v/>
      </c>
      <c r="Q661">
        <f>IF($F661=1,SUMPRODUCT($G661:$P661,{1,2,4,8,16,32,64,128,256,512}),"")</f>
        <v/>
      </c>
      <c r="R661">
        <f>IF($F661=1,MOD(MOD($Q661,11),10),"")</f>
        <v/>
      </c>
    </row>
    <row r="662">
      <c r="A662" s="6" t="n"/>
      <c r="B662" s="7">
        <f>IF($A662="","",UPPER(SUBSTITUTE(SUBSTITUTE(SUBSTITUTE(SUBSTITUTE(SUBSTITUTE(SUBSTITUTE($A662," ",""),"-",""),".",""),"/",""),"i","I"),"ı","?")))</f>
        <v/>
      </c>
      <c r="C662" s="8">
        <f>IF($F662=1,$R662,"")</f>
        <v/>
      </c>
      <c r="D662" s="7">
        <f>IF($A662="","",IF($F662=0,"Biçim hatalı",IF(FIND(MID($B662,11,1),"0123456789")-1=$R662,"Geçerli","Kontrol hanesi hatalı (doğrusu: "&amp;$R662&amp;")")))</f>
        <v/>
      </c>
      <c r="F662">
        <f>IF($A662="","",IF(AND(LEN($B662)=11,SUMPRODUCT(--ISNUMBER(FIND(MID($B662,{1,2,3},1),"ABCDEFGHIJKLMNOPQRSTUVWXYZ")))=3,ISNUMBER(FIND(MID($B662,4,1),"UJZ")),SUMPRODUCT(--ISNUMBER(FIND(MID($B662,{5,6,7,8,9,10,11},1),"0123456789")))=7),1,0))</f>
        <v/>
      </c>
      <c r="G662">
        <f>IF($F662=1,INDEX({10,12,13,14,15,16,17,18,19,20,21,23,24,25,26,27,28,29,30,31,32,34,35,36,37,38},1,FIND(MID($B662,1,1),"ABCDEFGHIJKLMNOPQRSTUVWXYZ")),"")</f>
        <v/>
      </c>
      <c r="H662">
        <f>IF($F662=1,INDEX({10,12,13,14,15,16,17,18,19,20,21,23,24,25,26,27,28,29,30,31,32,34,35,36,37,38},1,FIND(MID($B662,2,1),"ABCDEFGHIJKLMNOPQRSTUVWXYZ")),"")</f>
        <v/>
      </c>
      <c r="I662">
        <f>IF($F662=1,INDEX({10,12,13,14,15,16,17,18,19,20,21,23,24,25,26,27,28,29,30,31,32,34,35,36,37,38},1,FIND(MID($B662,3,1),"ABCDEFGHIJKLMNOPQRSTUVWXYZ")),"")</f>
        <v/>
      </c>
      <c r="J662">
        <f>IF($F662=1,INDEX({10,12,13,14,15,16,17,18,19,20,21,23,24,25,26,27,28,29,30,31,32,34,35,36,37,38},1,FIND(MID($B662,4,1),"ABCDEFGHIJKLMNOPQRSTUVWXYZ")),"")</f>
        <v/>
      </c>
      <c r="K662">
        <f>IF($F662=1,FIND(MID($B662,5,1),"0123456789")-1,"")</f>
        <v/>
      </c>
      <c r="L662">
        <f>IF($F662=1,FIND(MID($B662,6,1),"0123456789")-1,"")</f>
        <v/>
      </c>
      <c r="M662">
        <f>IF($F662=1,FIND(MID($B662,7,1),"0123456789")-1,"")</f>
        <v/>
      </c>
      <c r="N662">
        <f>IF($F662=1,FIND(MID($B662,8,1),"0123456789")-1,"")</f>
        <v/>
      </c>
      <c r="O662">
        <f>IF($F662=1,FIND(MID($B662,9,1),"0123456789")-1,"")</f>
        <v/>
      </c>
      <c r="P662">
        <f>IF($F662=1,FIND(MID($B662,10,1),"0123456789")-1,"")</f>
        <v/>
      </c>
      <c r="Q662">
        <f>IF($F662=1,SUMPRODUCT($G662:$P662,{1,2,4,8,16,32,64,128,256,512}),"")</f>
        <v/>
      </c>
      <c r="R662">
        <f>IF($F662=1,MOD(MOD($Q662,11),10),"")</f>
        <v/>
      </c>
    </row>
    <row r="663">
      <c r="A663" s="6" t="n"/>
      <c r="B663" s="7">
        <f>IF($A663="","",UPPER(SUBSTITUTE(SUBSTITUTE(SUBSTITUTE(SUBSTITUTE(SUBSTITUTE(SUBSTITUTE($A663," ",""),"-",""),".",""),"/",""),"i","I"),"ı","?")))</f>
        <v/>
      </c>
      <c r="C663" s="8">
        <f>IF($F663=1,$R663,"")</f>
        <v/>
      </c>
      <c r="D663" s="7">
        <f>IF($A663="","",IF($F663=0,"Biçim hatalı",IF(FIND(MID($B663,11,1),"0123456789")-1=$R663,"Geçerli","Kontrol hanesi hatalı (doğrusu: "&amp;$R663&amp;")")))</f>
        <v/>
      </c>
      <c r="F663">
        <f>IF($A663="","",IF(AND(LEN($B663)=11,SUMPRODUCT(--ISNUMBER(FIND(MID($B663,{1,2,3},1),"ABCDEFGHIJKLMNOPQRSTUVWXYZ")))=3,ISNUMBER(FIND(MID($B663,4,1),"UJZ")),SUMPRODUCT(--ISNUMBER(FIND(MID($B663,{5,6,7,8,9,10,11},1),"0123456789")))=7),1,0))</f>
        <v/>
      </c>
      <c r="G663">
        <f>IF($F663=1,INDEX({10,12,13,14,15,16,17,18,19,20,21,23,24,25,26,27,28,29,30,31,32,34,35,36,37,38},1,FIND(MID($B663,1,1),"ABCDEFGHIJKLMNOPQRSTUVWXYZ")),"")</f>
        <v/>
      </c>
      <c r="H663">
        <f>IF($F663=1,INDEX({10,12,13,14,15,16,17,18,19,20,21,23,24,25,26,27,28,29,30,31,32,34,35,36,37,38},1,FIND(MID($B663,2,1),"ABCDEFGHIJKLMNOPQRSTUVWXYZ")),"")</f>
        <v/>
      </c>
      <c r="I663">
        <f>IF($F663=1,INDEX({10,12,13,14,15,16,17,18,19,20,21,23,24,25,26,27,28,29,30,31,32,34,35,36,37,38},1,FIND(MID($B663,3,1),"ABCDEFGHIJKLMNOPQRSTUVWXYZ")),"")</f>
        <v/>
      </c>
      <c r="J663">
        <f>IF($F663=1,INDEX({10,12,13,14,15,16,17,18,19,20,21,23,24,25,26,27,28,29,30,31,32,34,35,36,37,38},1,FIND(MID($B663,4,1),"ABCDEFGHIJKLMNOPQRSTUVWXYZ")),"")</f>
        <v/>
      </c>
      <c r="K663">
        <f>IF($F663=1,FIND(MID($B663,5,1),"0123456789")-1,"")</f>
        <v/>
      </c>
      <c r="L663">
        <f>IF($F663=1,FIND(MID($B663,6,1),"0123456789")-1,"")</f>
        <v/>
      </c>
      <c r="M663">
        <f>IF($F663=1,FIND(MID($B663,7,1),"0123456789")-1,"")</f>
        <v/>
      </c>
      <c r="N663">
        <f>IF($F663=1,FIND(MID($B663,8,1),"0123456789")-1,"")</f>
        <v/>
      </c>
      <c r="O663">
        <f>IF($F663=1,FIND(MID($B663,9,1),"0123456789")-1,"")</f>
        <v/>
      </c>
      <c r="P663">
        <f>IF($F663=1,FIND(MID($B663,10,1),"0123456789")-1,"")</f>
        <v/>
      </c>
      <c r="Q663">
        <f>IF($F663=1,SUMPRODUCT($G663:$P663,{1,2,4,8,16,32,64,128,256,512}),"")</f>
        <v/>
      </c>
      <c r="R663">
        <f>IF($F663=1,MOD(MOD($Q663,11),10),"")</f>
        <v/>
      </c>
    </row>
    <row r="664">
      <c r="A664" s="6" t="n"/>
      <c r="B664" s="7">
        <f>IF($A664="","",UPPER(SUBSTITUTE(SUBSTITUTE(SUBSTITUTE(SUBSTITUTE(SUBSTITUTE(SUBSTITUTE($A664," ",""),"-",""),".",""),"/",""),"i","I"),"ı","?")))</f>
        <v/>
      </c>
      <c r="C664" s="8">
        <f>IF($F664=1,$R664,"")</f>
        <v/>
      </c>
      <c r="D664" s="7">
        <f>IF($A664="","",IF($F664=0,"Biçim hatalı",IF(FIND(MID($B664,11,1),"0123456789")-1=$R664,"Geçerli","Kontrol hanesi hatalı (doğrusu: "&amp;$R664&amp;")")))</f>
        <v/>
      </c>
      <c r="F664">
        <f>IF($A664="","",IF(AND(LEN($B664)=11,SUMPRODUCT(--ISNUMBER(FIND(MID($B664,{1,2,3},1),"ABCDEFGHIJKLMNOPQRSTUVWXYZ")))=3,ISNUMBER(FIND(MID($B664,4,1),"UJZ")),SUMPRODUCT(--ISNUMBER(FIND(MID($B664,{5,6,7,8,9,10,11},1),"0123456789")))=7),1,0))</f>
        <v/>
      </c>
      <c r="G664">
        <f>IF($F664=1,INDEX({10,12,13,14,15,16,17,18,19,20,21,23,24,25,26,27,28,29,30,31,32,34,35,36,37,38},1,FIND(MID($B664,1,1),"ABCDEFGHIJKLMNOPQRSTUVWXYZ")),"")</f>
        <v/>
      </c>
      <c r="H664">
        <f>IF($F664=1,INDEX({10,12,13,14,15,16,17,18,19,20,21,23,24,25,26,27,28,29,30,31,32,34,35,36,37,38},1,FIND(MID($B664,2,1),"ABCDEFGHIJKLMNOPQRSTUVWXYZ")),"")</f>
        <v/>
      </c>
      <c r="I664">
        <f>IF($F664=1,INDEX({10,12,13,14,15,16,17,18,19,20,21,23,24,25,26,27,28,29,30,31,32,34,35,36,37,38},1,FIND(MID($B664,3,1),"ABCDEFGHIJKLMNOPQRSTUVWXYZ")),"")</f>
        <v/>
      </c>
      <c r="J664">
        <f>IF($F664=1,INDEX({10,12,13,14,15,16,17,18,19,20,21,23,24,25,26,27,28,29,30,31,32,34,35,36,37,38},1,FIND(MID($B664,4,1),"ABCDEFGHIJKLMNOPQRSTUVWXYZ")),"")</f>
        <v/>
      </c>
      <c r="K664">
        <f>IF($F664=1,FIND(MID($B664,5,1),"0123456789")-1,"")</f>
        <v/>
      </c>
      <c r="L664">
        <f>IF($F664=1,FIND(MID($B664,6,1),"0123456789")-1,"")</f>
        <v/>
      </c>
      <c r="M664">
        <f>IF($F664=1,FIND(MID($B664,7,1),"0123456789")-1,"")</f>
        <v/>
      </c>
      <c r="N664">
        <f>IF($F664=1,FIND(MID($B664,8,1),"0123456789")-1,"")</f>
        <v/>
      </c>
      <c r="O664">
        <f>IF($F664=1,FIND(MID($B664,9,1),"0123456789")-1,"")</f>
        <v/>
      </c>
      <c r="P664">
        <f>IF($F664=1,FIND(MID($B664,10,1),"0123456789")-1,"")</f>
        <v/>
      </c>
      <c r="Q664">
        <f>IF($F664=1,SUMPRODUCT($G664:$P664,{1,2,4,8,16,32,64,128,256,512}),"")</f>
        <v/>
      </c>
      <c r="R664">
        <f>IF($F664=1,MOD(MOD($Q664,11),10),"")</f>
        <v/>
      </c>
    </row>
    <row r="665">
      <c r="A665" s="6" t="n"/>
      <c r="B665" s="7">
        <f>IF($A665="","",UPPER(SUBSTITUTE(SUBSTITUTE(SUBSTITUTE(SUBSTITUTE(SUBSTITUTE(SUBSTITUTE($A665," ",""),"-",""),".",""),"/",""),"i","I"),"ı","?")))</f>
        <v/>
      </c>
      <c r="C665" s="8">
        <f>IF($F665=1,$R665,"")</f>
        <v/>
      </c>
      <c r="D665" s="7">
        <f>IF($A665="","",IF($F665=0,"Biçim hatalı",IF(FIND(MID($B665,11,1),"0123456789")-1=$R665,"Geçerli","Kontrol hanesi hatalı (doğrusu: "&amp;$R665&amp;")")))</f>
        <v/>
      </c>
      <c r="F665">
        <f>IF($A665="","",IF(AND(LEN($B665)=11,SUMPRODUCT(--ISNUMBER(FIND(MID($B665,{1,2,3},1),"ABCDEFGHIJKLMNOPQRSTUVWXYZ")))=3,ISNUMBER(FIND(MID($B665,4,1),"UJZ")),SUMPRODUCT(--ISNUMBER(FIND(MID($B665,{5,6,7,8,9,10,11},1),"0123456789")))=7),1,0))</f>
        <v/>
      </c>
      <c r="G665">
        <f>IF($F665=1,INDEX({10,12,13,14,15,16,17,18,19,20,21,23,24,25,26,27,28,29,30,31,32,34,35,36,37,38},1,FIND(MID($B665,1,1),"ABCDEFGHIJKLMNOPQRSTUVWXYZ")),"")</f>
        <v/>
      </c>
      <c r="H665">
        <f>IF($F665=1,INDEX({10,12,13,14,15,16,17,18,19,20,21,23,24,25,26,27,28,29,30,31,32,34,35,36,37,38},1,FIND(MID($B665,2,1),"ABCDEFGHIJKLMNOPQRSTUVWXYZ")),"")</f>
        <v/>
      </c>
      <c r="I665">
        <f>IF($F665=1,INDEX({10,12,13,14,15,16,17,18,19,20,21,23,24,25,26,27,28,29,30,31,32,34,35,36,37,38},1,FIND(MID($B665,3,1),"ABCDEFGHIJKLMNOPQRSTUVWXYZ")),"")</f>
        <v/>
      </c>
      <c r="J665">
        <f>IF($F665=1,INDEX({10,12,13,14,15,16,17,18,19,20,21,23,24,25,26,27,28,29,30,31,32,34,35,36,37,38},1,FIND(MID($B665,4,1),"ABCDEFGHIJKLMNOPQRSTUVWXYZ")),"")</f>
        <v/>
      </c>
      <c r="K665">
        <f>IF($F665=1,FIND(MID($B665,5,1),"0123456789")-1,"")</f>
        <v/>
      </c>
      <c r="L665">
        <f>IF($F665=1,FIND(MID($B665,6,1),"0123456789")-1,"")</f>
        <v/>
      </c>
      <c r="M665">
        <f>IF($F665=1,FIND(MID($B665,7,1),"0123456789")-1,"")</f>
        <v/>
      </c>
      <c r="N665">
        <f>IF($F665=1,FIND(MID($B665,8,1),"0123456789")-1,"")</f>
        <v/>
      </c>
      <c r="O665">
        <f>IF($F665=1,FIND(MID($B665,9,1),"0123456789")-1,"")</f>
        <v/>
      </c>
      <c r="P665">
        <f>IF($F665=1,FIND(MID($B665,10,1),"0123456789")-1,"")</f>
        <v/>
      </c>
      <c r="Q665">
        <f>IF($F665=1,SUMPRODUCT($G665:$P665,{1,2,4,8,16,32,64,128,256,512}),"")</f>
        <v/>
      </c>
      <c r="R665">
        <f>IF($F665=1,MOD(MOD($Q665,11),10),"")</f>
        <v/>
      </c>
    </row>
    <row r="666">
      <c r="A666" s="6" t="n"/>
      <c r="B666" s="7">
        <f>IF($A666="","",UPPER(SUBSTITUTE(SUBSTITUTE(SUBSTITUTE(SUBSTITUTE(SUBSTITUTE(SUBSTITUTE($A666," ",""),"-",""),".",""),"/",""),"i","I"),"ı","?")))</f>
        <v/>
      </c>
      <c r="C666" s="8">
        <f>IF($F666=1,$R666,"")</f>
        <v/>
      </c>
      <c r="D666" s="7">
        <f>IF($A666="","",IF($F666=0,"Biçim hatalı",IF(FIND(MID($B666,11,1),"0123456789")-1=$R666,"Geçerli","Kontrol hanesi hatalı (doğrusu: "&amp;$R666&amp;")")))</f>
        <v/>
      </c>
      <c r="F666">
        <f>IF($A666="","",IF(AND(LEN($B666)=11,SUMPRODUCT(--ISNUMBER(FIND(MID($B666,{1,2,3},1),"ABCDEFGHIJKLMNOPQRSTUVWXYZ")))=3,ISNUMBER(FIND(MID($B666,4,1),"UJZ")),SUMPRODUCT(--ISNUMBER(FIND(MID($B666,{5,6,7,8,9,10,11},1),"0123456789")))=7),1,0))</f>
        <v/>
      </c>
      <c r="G666">
        <f>IF($F666=1,INDEX({10,12,13,14,15,16,17,18,19,20,21,23,24,25,26,27,28,29,30,31,32,34,35,36,37,38},1,FIND(MID($B666,1,1),"ABCDEFGHIJKLMNOPQRSTUVWXYZ")),"")</f>
        <v/>
      </c>
      <c r="H666">
        <f>IF($F666=1,INDEX({10,12,13,14,15,16,17,18,19,20,21,23,24,25,26,27,28,29,30,31,32,34,35,36,37,38},1,FIND(MID($B666,2,1),"ABCDEFGHIJKLMNOPQRSTUVWXYZ")),"")</f>
        <v/>
      </c>
      <c r="I666">
        <f>IF($F666=1,INDEX({10,12,13,14,15,16,17,18,19,20,21,23,24,25,26,27,28,29,30,31,32,34,35,36,37,38},1,FIND(MID($B666,3,1),"ABCDEFGHIJKLMNOPQRSTUVWXYZ")),"")</f>
        <v/>
      </c>
      <c r="J666">
        <f>IF($F666=1,INDEX({10,12,13,14,15,16,17,18,19,20,21,23,24,25,26,27,28,29,30,31,32,34,35,36,37,38},1,FIND(MID($B666,4,1),"ABCDEFGHIJKLMNOPQRSTUVWXYZ")),"")</f>
        <v/>
      </c>
      <c r="K666">
        <f>IF($F666=1,FIND(MID($B666,5,1),"0123456789")-1,"")</f>
        <v/>
      </c>
      <c r="L666">
        <f>IF($F666=1,FIND(MID($B666,6,1),"0123456789")-1,"")</f>
        <v/>
      </c>
      <c r="M666">
        <f>IF($F666=1,FIND(MID($B666,7,1),"0123456789")-1,"")</f>
        <v/>
      </c>
      <c r="N666">
        <f>IF($F666=1,FIND(MID($B666,8,1),"0123456789")-1,"")</f>
        <v/>
      </c>
      <c r="O666">
        <f>IF($F666=1,FIND(MID($B666,9,1),"0123456789")-1,"")</f>
        <v/>
      </c>
      <c r="P666">
        <f>IF($F666=1,FIND(MID($B666,10,1),"0123456789")-1,"")</f>
        <v/>
      </c>
      <c r="Q666">
        <f>IF($F666=1,SUMPRODUCT($G666:$P666,{1,2,4,8,16,32,64,128,256,512}),"")</f>
        <v/>
      </c>
      <c r="R666">
        <f>IF($F666=1,MOD(MOD($Q666,11),10),"")</f>
        <v/>
      </c>
    </row>
    <row r="667">
      <c r="A667" s="6" t="n"/>
      <c r="B667" s="7">
        <f>IF($A667="","",UPPER(SUBSTITUTE(SUBSTITUTE(SUBSTITUTE(SUBSTITUTE(SUBSTITUTE(SUBSTITUTE($A667," ",""),"-",""),".",""),"/",""),"i","I"),"ı","?")))</f>
        <v/>
      </c>
      <c r="C667" s="8">
        <f>IF($F667=1,$R667,"")</f>
        <v/>
      </c>
      <c r="D667" s="7">
        <f>IF($A667="","",IF($F667=0,"Biçim hatalı",IF(FIND(MID($B667,11,1),"0123456789")-1=$R667,"Geçerli","Kontrol hanesi hatalı (doğrusu: "&amp;$R667&amp;")")))</f>
        <v/>
      </c>
      <c r="F667">
        <f>IF($A667="","",IF(AND(LEN($B667)=11,SUMPRODUCT(--ISNUMBER(FIND(MID($B667,{1,2,3},1),"ABCDEFGHIJKLMNOPQRSTUVWXYZ")))=3,ISNUMBER(FIND(MID($B667,4,1),"UJZ")),SUMPRODUCT(--ISNUMBER(FIND(MID($B667,{5,6,7,8,9,10,11},1),"0123456789")))=7),1,0))</f>
        <v/>
      </c>
      <c r="G667">
        <f>IF($F667=1,INDEX({10,12,13,14,15,16,17,18,19,20,21,23,24,25,26,27,28,29,30,31,32,34,35,36,37,38},1,FIND(MID($B667,1,1),"ABCDEFGHIJKLMNOPQRSTUVWXYZ")),"")</f>
        <v/>
      </c>
      <c r="H667">
        <f>IF($F667=1,INDEX({10,12,13,14,15,16,17,18,19,20,21,23,24,25,26,27,28,29,30,31,32,34,35,36,37,38},1,FIND(MID($B667,2,1),"ABCDEFGHIJKLMNOPQRSTUVWXYZ")),"")</f>
        <v/>
      </c>
      <c r="I667">
        <f>IF($F667=1,INDEX({10,12,13,14,15,16,17,18,19,20,21,23,24,25,26,27,28,29,30,31,32,34,35,36,37,38},1,FIND(MID($B667,3,1),"ABCDEFGHIJKLMNOPQRSTUVWXYZ")),"")</f>
        <v/>
      </c>
      <c r="J667">
        <f>IF($F667=1,INDEX({10,12,13,14,15,16,17,18,19,20,21,23,24,25,26,27,28,29,30,31,32,34,35,36,37,38},1,FIND(MID($B667,4,1),"ABCDEFGHIJKLMNOPQRSTUVWXYZ")),"")</f>
        <v/>
      </c>
      <c r="K667">
        <f>IF($F667=1,FIND(MID($B667,5,1),"0123456789")-1,"")</f>
        <v/>
      </c>
      <c r="L667">
        <f>IF($F667=1,FIND(MID($B667,6,1),"0123456789")-1,"")</f>
        <v/>
      </c>
      <c r="M667">
        <f>IF($F667=1,FIND(MID($B667,7,1),"0123456789")-1,"")</f>
        <v/>
      </c>
      <c r="N667">
        <f>IF($F667=1,FIND(MID($B667,8,1),"0123456789")-1,"")</f>
        <v/>
      </c>
      <c r="O667">
        <f>IF($F667=1,FIND(MID($B667,9,1),"0123456789")-1,"")</f>
        <v/>
      </c>
      <c r="P667">
        <f>IF($F667=1,FIND(MID($B667,10,1),"0123456789")-1,"")</f>
        <v/>
      </c>
      <c r="Q667">
        <f>IF($F667=1,SUMPRODUCT($G667:$P667,{1,2,4,8,16,32,64,128,256,512}),"")</f>
        <v/>
      </c>
      <c r="R667">
        <f>IF($F667=1,MOD(MOD($Q667,11),10),"")</f>
        <v/>
      </c>
    </row>
    <row r="668">
      <c r="A668" s="6" t="n"/>
      <c r="B668" s="7">
        <f>IF($A668="","",UPPER(SUBSTITUTE(SUBSTITUTE(SUBSTITUTE(SUBSTITUTE(SUBSTITUTE(SUBSTITUTE($A668," ",""),"-",""),".",""),"/",""),"i","I"),"ı","?")))</f>
        <v/>
      </c>
      <c r="C668" s="8">
        <f>IF($F668=1,$R668,"")</f>
        <v/>
      </c>
      <c r="D668" s="7">
        <f>IF($A668="","",IF($F668=0,"Biçim hatalı",IF(FIND(MID($B668,11,1),"0123456789")-1=$R668,"Geçerli","Kontrol hanesi hatalı (doğrusu: "&amp;$R668&amp;")")))</f>
        <v/>
      </c>
      <c r="F668">
        <f>IF($A668="","",IF(AND(LEN($B668)=11,SUMPRODUCT(--ISNUMBER(FIND(MID($B668,{1,2,3},1),"ABCDEFGHIJKLMNOPQRSTUVWXYZ")))=3,ISNUMBER(FIND(MID($B668,4,1),"UJZ")),SUMPRODUCT(--ISNUMBER(FIND(MID($B668,{5,6,7,8,9,10,11},1),"0123456789")))=7),1,0))</f>
        <v/>
      </c>
      <c r="G668">
        <f>IF($F668=1,INDEX({10,12,13,14,15,16,17,18,19,20,21,23,24,25,26,27,28,29,30,31,32,34,35,36,37,38},1,FIND(MID($B668,1,1),"ABCDEFGHIJKLMNOPQRSTUVWXYZ")),"")</f>
        <v/>
      </c>
      <c r="H668">
        <f>IF($F668=1,INDEX({10,12,13,14,15,16,17,18,19,20,21,23,24,25,26,27,28,29,30,31,32,34,35,36,37,38},1,FIND(MID($B668,2,1),"ABCDEFGHIJKLMNOPQRSTUVWXYZ")),"")</f>
        <v/>
      </c>
      <c r="I668">
        <f>IF($F668=1,INDEX({10,12,13,14,15,16,17,18,19,20,21,23,24,25,26,27,28,29,30,31,32,34,35,36,37,38},1,FIND(MID($B668,3,1),"ABCDEFGHIJKLMNOPQRSTUVWXYZ")),"")</f>
        <v/>
      </c>
      <c r="J668">
        <f>IF($F668=1,INDEX({10,12,13,14,15,16,17,18,19,20,21,23,24,25,26,27,28,29,30,31,32,34,35,36,37,38},1,FIND(MID($B668,4,1),"ABCDEFGHIJKLMNOPQRSTUVWXYZ")),"")</f>
        <v/>
      </c>
      <c r="K668">
        <f>IF($F668=1,FIND(MID($B668,5,1),"0123456789")-1,"")</f>
        <v/>
      </c>
      <c r="L668">
        <f>IF($F668=1,FIND(MID($B668,6,1),"0123456789")-1,"")</f>
        <v/>
      </c>
      <c r="M668">
        <f>IF($F668=1,FIND(MID($B668,7,1),"0123456789")-1,"")</f>
        <v/>
      </c>
      <c r="N668">
        <f>IF($F668=1,FIND(MID($B668,8,1),"0123456789")-1,"")</f>
        <v/>
      </c>
      <c r="O668">
        <f>IF($F668=1,FIND(MID($B668,9,1),"0123456789")-1,"")</f>
        <v/>
      </c>
      <c r="P668">
        <f>IF($F668=1,FIND(MID($B668,10,1),"0123456789")-1,"")</f>
        <v/>
      </c>
      <c r="Q668">
        <f>IF($F668=1,SUMPRODUCT($G668:$P668,{1,2,4,8,16,32,64,128,256,512}),"")</f>
        <v/>
      </c>
      <c r="R668">
        <f>IF($F668=1,MOD(MOD($Q668,11),10),"")</f>
        <v/>
      </c>
    </row>
    <row r="669">
      <c r="A669" s="6" t="n"/>
      <c r="B669" s="7">
        <f>IF($A669="","",UPPER(SUBSTITUTE(SUBSTITUTE(SUBSTITUTE(SUBSTITUTE(SUBSTITUTE(SUBSTITUTE($A669," ",""),"-",""),".",""),"/",""),"i","I"),"ı","?")))</f>
        <v/>
      </c>
      <c r="C669" s="8">
        <f>IF($F669=1,$R669,"")</f>
        <v/>
      </c>
      <c r="D669" s="7">
        <f>IF($A669="","",IF($F669=0,"Biçim hatalı",IF(FIND(MID($B669,11,1),"0123456789")-1=$R669,"Geçerli","Kontrol hanesi hatalı (doğrusu: "&amp;$R669&amp;")")))</f>
        <v/>
      </c>
      <c r="F669">
        <f>IF($A669="","",IF(AND(LEN($B669)=11,SUMPRODUCT(--ISNUMBER(FIND(MID($B669,{1,2,3},1),"ABCDEFGHIJKLMNOPQRSTUVWXYZ")))=3,ISNUMBER(FIND(MID($B669,4,1),"UJZ")),SUMPRODUCT(--ISNUMBER(FIND(MID($B669,{5,6,7,8,9,10,11},1),"0123456789")))=7),1,0))</f>
        <v/>
      </c>
      <c r="G669">
        <f>IF($F669=1,INDEX({10,12,13,14,15,16,17,18,19,20,21,23,24,25,26,27,28,29,30,31,32,34,35,36,37,38},1,FIND(MID($B669,1,1),"ABCDEFGHIJKLMNOPQRSTUVWXYZ")),"")</f>
        <v/>
      </c>
      <c r="H669">
        <f>IF($F669=1,INDEX({10,12,13,14,15,16,17,18,19,20,21,23,24,25,26,27,28,29,30,31,32,34,35,36,37,38},1,FIND(MID($B669,2,1),"ABCDEFGHIJKLMNOPQRSTUVWXYZ")),"")</f>
        <v/>
      </c>
      <c r="I669">
        <f>IF($F669=1,INDEX({10,12,13,14,15,16,17,18,19,20,21,23,24,25,26,27,28,29,30,31,32,34,35,36,37,38},1,FIND(MID($B669,3,1),"ABCDEFGHIJKLMNOPQRSTUVWXYZ")),"")</f>
        <v/>
      </c>
      <c r="J669">
        <f>IF($F669=1,INDEX({10,12,13,14,15,16,17,18,19,20,21,23,24,25,26,27,28,29,30,31,32,34,35,36,37,38},1,FIND(MID($B669,4,1),"ABCDEFGHIJKLMNOPQRSTUVWXYZ")),"")</f>
        <v/>
      </c>
      <c r="K669">
        <f>IF($F669=1,FIND(MID($B669,5,1),"0123456789")-1,"")</f>
        <v/>
      </c>
      <c r="L669">
        <f>IF($F669=1,FIND(MID($B669,6,1),"0123456789")-1,"")</f>
        <v/>
      </c>
      <c r="M669">
        <f>IF($F669=1,FIND(MID($B669,7,1),"0123456789")-1,"")</f>
        <v/>
      </c>
      <c r="N669">
        <f>IF($F669=1,FIND(MID($B669,8,1),"0123456789")-1,"")</f>
        <v/>
      </c>
      <c r="O669">
        <f>IF($F669=1,FIND(MID($B669,9,1),"0123456789")-1,"")</f>
        <v/>
      </c>
      <c r="P669">
        <f>IF($F669=1,FIND(MID($B669,10,1),"0123456789")-1,"")</f>
        <v/>
      </c>
      <c r="Q669">
        <f>IF($F669=1,SUMPRODUCT($G669:$P669,{1,2,4,8,16,32,64,128,256,512}),"")</f>
        <v/>
      </c>
      <c r="R669">
        <f>IF($F669=1,MOD(MOD($Q669,11),10),"")</f>
        <v/>
      </c>
    </row>
    <row r="670">
      <c r="A670" s="6" t="n"/>
      <c r="B670" s="7">
        <f>IF($A670="","",UPPER(SUBSTITUTE(SUBSTITUTE(SUBSTITUTE(SUBSTITUTE(SUBSTITUTE(SUBSTITUTE($A670," ",""),"-",""),".",""),"/",""),"i","I"),"ı","?")))</f>
        <v/>
      </c>
      <c r="C670" s="8">
        <f>IF($F670=1,$R670,"")</f>
        <v/>
      </c>
      <c r="D670" s="7">
        <f>IF($A670="","",IF($F670=0,"Biçim hatalı",IF(FIND(MID($B670,11,1),"0123456789")-1=$R670,"Geçerli","Kontrol hanesi hatalı (doğrusu: "&amp;$R670&amp;")")))</f>
        <v/>
      </c>
      <c r="F670">
        <f>IF($A670="","",IF(AND(LEN($B670)=11,SUMPRODUCT(--ISNUMBER(FIND(MID($B670,{1,2,3},1),"ABCDEFGHIJKLMNOPQRSTUVWXYZ")))=3,ISNUMBER(FIND(MID($B670,4,1),"UJZ")),SUMPRODUCT(--ISNUMBER(FIND(MID($B670,{5,6,7,8,9,10,11},1),"0123456789")))=7),1,0))</f>
        <v/>
      </c>
      <c r="G670">
        <f>IF($F670=1,INDEX({10,12,13,14,15,16,17,18,19,20,21,23,24,25,26,27,28,29,30,31,32,34,35,36,37,38},1,FIND(MID($B670,1,1),"ABCDEFGHIJKLMNOPQRSTUVWXYZ")),"")</f>
        <v/>
      </c>
      <c r="H670">
        <f>IF($F670=1,INDEX({10,12,13,14,15,16,17,18,19,20,21,23,24,25,26,27,28,29,30,31,32,34,35,36,37,38},1,FIND(MID($B670,2,1),"ABCDEFGHIJKLMNOPQRSTUVWXYZ")),"")</f>
        <v/>
      </c>
      <c r="I670">
        <f>IF($F670=1,INDEX({10,12,13,14,15,16,17,18,19,20,21,23,24,25,26,27,28,29,30,31,32,34,35,36,37,38},1,FIND(MID($B670,3,1),"ABCDEFGHIJKLMNOPQRSTUVWXYZ")),"")</f>
        <v/>
      </c>
      <c r="J670">
        <f>IF($F670=1,INDEX({10,12,13,14,15,16,17,18,19,20,21,23,24,25,26,27,28,29,30,31,32,34,35,36,37,38},1,FIND(MID($B670,4,1),"ABCDEFGHIJKLMNOPQRSTUVWXYZ")),"")</f>
        <v/>
      </c>
      <c r="K670">
        <f>IF($F670=1,FIND(MID($B670,5,1),"0123456789")-1,"")</f>
        <v/>
      </c>
      <c r="L670">
        <f>IF($F670=1,FIND(MID($B670,6,1),"0123456789")-1,"")</f>
        <v/>
      </c>
      <c r="M670">
        <f>IF($F670=1,FIND(MID($B670,7,1),"0123456789")-1,"")</f>
        <v/>
      </c>
      <c r="N670">
        <f>IF($F670=1,FIND(MID($B670,8,1),"0123456789")-1,"")</f>
        <v/>
      </c>
      <c r="O670">
        <f>IF($F670=1,FIND(MID($B670,9,1),"0123456789")-1,"")</f>
        <v/>
      </c>
      <c r="P670">
        <f>IF($F670=1,FIND(MID($B670,10,1),"0123456789")-1,"")</f>
        <v/>
      </c>
      <c r="Q670">
        <f>IF($F670=1,SUMPRODUCT($G670:$P670,{1,2,4,8,16,32,64,128,256,512}),"")</f>
        <v/>
      </c>
      <c r="R670">
        <f>IF($F670=1,MOD(MOD($Q670,11),10),"")</f>
        <v/>
      </c>
    </row>
    <row r="671">
      <c r="A671" s="6" t="n"/>
      <c r="B671" s="7">
        <f>IF($A671="","",UPPER(SUBSTITUTE(SUBSTITUTE(SUBSTITUTE(SUBSTITUTE(SUBSTITUTE(SUBSTITUTE($A671," ",""),"-",""),".",""),"/",""),"i","I"),"ı","?")))</f>
        <v/>
      </c>
      <c r="C671" s="8">
        <f>IF($F671=1,$R671,"")</f>
        <v/>
      </c>
      <c r="D671" s="7">
        <f>IF($A671="","",IF($F671=0,"Biçim hatalı",IF(FIND(MID($B671,11,1),"0123456789")-1=$R671,"Geçerli","Kontrol hanesi hatalı (doğrusu: "&amp;$R671&amp;")")))</f>
        <v/>
      </c>
      <c r="F671">
        <f>IF($A671="","",IF(AND(LEN($B671)=11,SUMPRODUCT(--ISNUMBER(FIND(MID($B671,{1,2,3},1),"ABCDEFGHIJKLMNOPQRSTUVWXYZ")))=3,ISNUMBER(FIND(MID($B671,4,1),"UJZ")),SUMPRODUCT(--ISNUMBER(FIND(MID($B671,{5,6,7,8,9,10,11},1),"0123456789")))=7),1,0))</f>
        <v/>
      </c>
      <c r="G671">
        <f>IF($F671=1,INDEX({10,12,13,14,15,16,17,18,19,20,21,23,24,25,26,27,28,29,30,31,32,34,35,36,37,38},1,FIND(MID($B671,1,1),"ABCDEFGHIJKLMNOPQRSTUVWXYZ")),"")</f>
        <v/>
      </c>
      <c r="H671">
        <f>IF($F671=1,INDEX({10,12,13,14,15,16,17,18,19,20,21,23,24,25,26,27,28,29,30,31,32,34,35,36,37,38},1,FIND(MID($B671,2,1),"ABCDEFGHIJKLMNOPQRSTUVWXYZ")),"")</f>
        <v/>
      </c>
      <c r="I671">
        <f>IF($F671=1,INDEX({10,12,13,14,15,16,17,18,19,20,21,23,24,25,26,27,28,29,30,31,32,34,35,36,37,38},1,FIND(MID($B671,3,1),"ABCDEFGHIJKLMNOPQRSTUVWXYZ")),"")</f>
        <v/>
      </c>
      <c r="J671">
        <f>IF($F671=1,INDEX({10,12,13,14,15,16,17,18,19,20,21,23,24,25,26,27,28,29,30,31,32,34,35,36,37,38},1,FIND(MID($B671,4,1),"ABCDEFGHIJKLMNOPQRSTUVWXYZ")),"")</f>
        <v/>
      </c>
      <c r="K671">
        <f>IF($F671=1,FIND(MID($B671,5,1),"0123456789")-1,"")</f>
        <v/>
      </c>
      <c r="L671">
        <f>IF($F671=1,FIND(MID($B671,6,1),"0123456789")-1,"")</f>
        <v/>
      </c>
      <c r="M671">
        <f>IF($F671=1,FIND(MID($B671,7,1),"0123456789")-1,"")</f>
        <v/>
      </c>
      <c r="N671">
        <f>IF($F671=1,FIND(MID($B671,8,1),"0123456789")-1,"")</f>
        <v/>
      </c>
      <c r="O671">
        <f>IF($F671=1,FIND(MID($B671,9,1),"0123456789")-1,"")</f>
        <v/>
      </c>
      <c r="P671">
        <f>IF($F671=1,FIND(MID($B671,10,1),"0123456789")-1,"")</f>
        <v/>
      </c>
      <c r="Q671">
        <f>IF($F671=1,SUMPRODUCT($G671:$P671,{1,2,4,8,16,32,64,128,256,512}),"")</f>
        <v/>
      </c>
      <c r="R671">
        <f>IF($F671=1,MOD(MOD($Q671,11),10),"")</f>
        <v/>
      </c>
    </row>
    <row r="672">
      <c r="A672" s="6" t="n"/>
      <c r="B672" s="7">
        <f>IF($A672="","",UPPER(SUBSTITUTE(SUBSTITUTE(SUBSTITUTE(SUBSTITUTE(SUBSTITUTE(SUBSTITUTE($A672," ",""),"-",""),".",""),"/",""),"i","I"),"ı","?")))</f>
        <v/>
      </c>
      <c r="C672" s="8">
        <f>IF($F672=1,$R672,"")</f>
        <v/>
      </c>
      <c r="D672" s="7">
        <f>IF($A672="","",IF($F672=0,"Biçim hatalı",IF(FIND(MID($B672,11,1),"0123456789")-1=$R672,"Geçerli","Kontrol hanesi hatalı (doğrusu: "&amp;$R672&amp;")")))</f>
        <v/>
      </c>
      <c r="F672">
        <f>IF($A672="","",IF(AND(LEN($B672)=11,SUMPRODUCT(--ISNUMBER(FIND(MID($B672,{1,2,3},1),"ABCDEFGHIJKLMNOPQRSTUVWXYZ")))=3,ISNUMBER(FIND(MID($B672,4,1),"UJZ")),SUMPRODUCT(--ISNUMBER(FIND(MID($B672,{5,6,7,8,9,10,11},1),"0123456789")))=7),1,0))</f>
        <v/>
      </c>
      <c r="G672">
        <f>IF($F672=1,INDEX({10,12,13,14,15,16,17,18,19,20,21,23,24,25,26,27,28,29,30,31,32,34,35,36,37,38},1,FIND(MID($B672,1,1),"ABCDEFGHIJKLMNOPQRSTUVWXYZ")),"")</f>
        <v/>
      </c>
      <c r="H672">
        <f>IF($F672=1,INDEX({10,12,13,14,15,16,17,18,19,20,21,23,24,25,26,27,28,29,30,31,32,34,35,36,37,38},1,FIND(MID($B672,2,1),"ABCDEFGHIJKLMNOPQRSTUVWXYZ")),"")</f>
        <v/>
      </c>
      <c r="I672">
        <f>IF($F672=1,INDEX({10,12,13,14,15,16,17,18,19,20,21,23,24,25,26,27,28,29,30,31,32,34,35,36,37,38},1,FIND(MID($B672,3,1),"ABCDEFGHIJKLMNOPQRSTUVWXYZ")),"")</f>
        <v/>
      </c>
      <c r="J672">
        <f>IF($F672=1,INDEX({10,12,13,14,15,16,17,18,19,20,21,23,24,25,26,27,28,29,30,31,32,34,35,36,37,38},1,FIND(MID($B672,4,1),"ABCDEFGHIJKLMNOPQRSTUVWXYZ")),"")</f>
        <v/>
      </c>
      <c r="K672">
        <f>IF($F672=1,FIND(MID($B672,5,1),"0123456789")-1,"")</f>
        <v/>
      </c>
      <c r="L672">
        <f>IF($F672=1,FIND(MID($B672,6,1),"0123456789")-1,"")</f>
        <v/>
      </c>
      <c r="M672">
        <f>IF($F672=1,FIND(MID($B672,7,1),"0123456789")-1,"")</f>
        <v/>
      </c>
      <c r="N672">
        <f>IF($F672=1,FIND(MID($B672,8,1),"0123456789")-1,"")</f>
        <v/>
      </c>
      <c r="O672">
        <f>IF($F672=1,FIND(MID($B672,9,1),"0123456789")-1,"")</f>
        <v/>
      </c>
      <c r="P672">
        <f>IF($F672=1,FIND(MID($B672,10,1),"0123456789")-1,"")</f>
        <v/>
      </c>
      <c r="Q672">
        <f>IF($F672=1,SUMPRODUCT($G672:$P672,{1,2,4,8,16,32,64,128,256,512}),"")</f>
        <v/>
      </c>
      <c r="R672">
        <f>IF($F672=1,MOD(MOD($Q672,11),10),"")</f>
        <v/>
      </c>
    </row>
    <row r="673">
      <c r="A673" s="6" t="n"/>
      <c r="B673" s="7">
        <f>IF($A673="","",UPPER(SUBSTITUTE(SUBSTITUTE(SUBSTITUTE(SUBSTITUTE(SUBSTITUTE(SUBSTITUTE($A673," ",""),"-",""),".",""),"/",""),"i","I"),"ı","?")))</f>
        <v/>
      </c>
      <c r="C673" s="8">
        <f>IF($F673=1,$R673,"")</f>
        <v/>
      </c>
      <c r="D673" s="7">
        <f>IF($A673="","",IF($F673=0,"Biçim hatalı",IF(FIND(MID($B673,11,1),"0123456789")-1=$R673,"Geçerli","Kontrol hanesi hatalı (doğrusu: "&amp;$R673&amp;")")))</f>
        <v/>
      </c>
      <c r="F673">
        <f>IF($A673="","",IF(AND(LEN($B673)=11,SUMPRODUCT(--ISNUMBER(FIND(MID($B673,{1,2,3},1),"ABCDEFGHIJKLMNOPQRSTUVWXYZ")))=3,ISNUMBER(FIND(MID($B673,4,1),"UJZ")),SUMPRODUCT(--ISNUMBER(FIND(MID($B673,{5,6,7,8,9,10,11},1),"0123456789")))=7),1,0))</f>
        <v/>
      </c>
      <c r="G673">
        <f>IF($F673=1,INDEX({10,12,13,14,15,16,17,18,19,20,21,23,24,25,26,27,28,29,30,31,32,34,35,36,37,38},1,FIND(MID($B673,1,1),"ABCDEFGHIJKLMNOPQRSTUVWXYZ")),"")</f>
        <v/>
      </c>
      <c r="H673">
        <f>IF($F673=1,INDEX({10,12,13,14,15,16,17,18,19,20,21,23,24,25,26,27,28,29,30,31,32,34,35,36,37,38},1,FIND(MID($B673,2,1),"ABCDEFGHIJKLMNOPQRSTUVWXYZ")),"")</f>
        <v/>
      </c>
      <c r="I673">
        <f>IF($F673=1,INDEX({10,12,13,14,15,16,17,18,19,20,21,23,24,25,26,27,28,29,30,31,32,34,35,36,37,38},1,FIND(MID($B673,3,1),"ABCDEFGHIJKLMNOPQRSTUVWXYZ")),"")</f>
        <v/>
      </c>
      <c r="J673">
        <f>IF($F673=1,INDEX({10,12,13,14,15,16,17,18,19,20,21,23,24,25,26,27,28,29,30,31,32,34,35,36,37,38},1,FIND(MID($B673,4,1),"ABCDEFGHIJKLMNOPQRSTUVWXYZ")),"")</f>
        <v/>
      </c>
      <c r="K673">
        <f>IF($F673=1,FIND(MID($B673,5,1),"0123456789")-1,"")</f>
        <v/>
      </c>
      <c r="L673">
        <f>IF($F673=1,FIND(MID($B673,6,1),"0123456789")-1,"")</f>
        <v/>
      </c>
      <c r="M673">
        <f>IF($F673=1,FIND(MID($B673,7,1),"0123456789")-1,"")</f>
        <v/>
      </c>
      <c r="N673">
        <f>IF($F673=1,FIND(MID($B673,8,1),"0123456789")-1,"")</f>
        <v/>
      </c>
      <c r="O673">
        <f>IF($F673=1,FIND(MID($B673,9,1),"0123456789")-1,"")</f>
        <v/>
      </c>
      <c r="P673">
        <f>IF($F673=1,FIND(MID($B673,10,1),"0123456789")-1,"")</f>
        <v/>
      </c>
      <c r="Q673">
        <f>IF($F673=1,SUMPRODUCT($G673:$P673,{1,2,4,8,16,32,64,128,256,512}),"")</f>
        <v/>
      </c>
      <c r="R673">
        <f>IF($F673=1,MOD(MOD($Q673,11),10),"")</f>
        <v/>
      </c>
    </row>
    <row r="674">
      <c r="A674" s="6" t="n"/>
      <c r="B674" s="7">
        <f>IF($A674="","",UPPER(SUBSTITUTE(SUBSTITUTE(SUBSTITUTE(SUBSTITUTE(SUBSTITUTE(SUBSTITUTE($A674," ",""),"-",""),".",""),"/",""),"i","I"),"ı","?")))</f>
        <v/>
      </c>
      <c r="C674" s="8">
        <f>IF($F674=1,$R674,"")</f>
        <v/>
      </c>
      <c r="D674" s="7">
        <f>IF($A674="","",IF($F674=0,"Biçim hatalı",IF(FIND(MID($B674,11,1),"0123456789")-1=$R674,"Geçerli","Kontrol hanesi hatalı (doğrusu: "&amp;$R674&amp;")")))</f>
        <v/>
      </c>
      <c r="F674">
        <f>IF($A674="","",IF(AND(LEN($B674)=11,SUMPRODUCT(--ISNUMBER(FIND(MID($B674,{1,2,3},1),"ABCDEFGHIJKLMNOPQRSTUVWXYZ")))=3,ISNUMBER(FIND(MID($B674,4,1),"UJZ")),SUMPRODUCT(--ISNUMBER(FIND(MID($B674,{5,6,7,8,9,10,11},1),"0123456789")))=7),1,0))</f>
        <v/>
      </c>
      <c r="G674">
        <f>IF($F674=1,INDEX({10,12,13,14,15,16,17,18,19,20,21,23,24,25,26,27,28,29,30,31,32,34,35,36,37,38},1,FIND(MID($B674,1,1),"ABCDEFGHIJKLMNOPQRSTUVWXYZ")),"")</f>
        <v/>
      </c>
      <c r="H674">
        <f>IF($F674=1,INDEX({10,12,13,14,15,16,17,18,19,20,21,23,24,25,26,27,28,29,30,31,32,34,35,36,37,38},1,FIND(MID($B674,2,1),"ABCDEFGHIJKLMNOPQRSTUVWXYZ")),"")</f>
        <v/>
      </c>
      <c r="I674">
        <f>IF($F674=1,INDEX({10,12,13,14,15,16,17,18,19,20,21,23,24,25,26,27,28,29,30,31,32,34,35,36,37,38},1,FIND(MID($B674,3,1),"ABCDEFGHIJKLMNOPQRSTUVWXYZ")),"")</f>
        <v/>
      </c>
      <c r="J674">
        <f>IF($F674=1,INDEX({10,12,13,14,15,16,17,18,19,20,21,23,24,25,26,27,28,29,30,31,32,34,35,36,37,38},1,FIND(MID($B674,4,1),"ABCDEFGHIJKLMNOPQRSTUVWXYZ")),"")</f>
        <v/>
      </c>
      <c r="K674">
        <f>IF($F674=1,FIND(MID($B674,5,1),"0123456789")-1,"")</f>
        <v/>
      </c>
      <c r="L674">
        <f>IF($F674=1,FIND(MID($B674,6,1),"0123456789")-1,"")</f>
        <v/>
      </c>
      <c r="M674">
        <f>IF($F674=1,FIND(MID($B674,7,1),"0123456789")-1,"")</f>
        <v/>
      </c>
      <c r="N674">
        <f>IF($F674=1,FIND(MID($B674,8,1),"0123456789")-1,"")</f>
        <v/>
      </c>
      <c r="O674">
        <f>IF($F674=1,FIND(MID($B674,9,1),"0123456789")-1,"")</f>
        <v/>
      </c>
      <c r="P674">
        <f>IF($F674=1,FIND(MID($B674,10,1),"0123456789")-1,"")</f>
        <v/>
      </c>
      <c r="Q674">
        <f>IF($F674=1,SUMPRODUCT($G674:$P674,{1,2,4,8,16,32,64,128,256,512}),"")</f>
        <v/>
      </c>
      <c r="R674">
        <f>IF($F674=1,MOD(MOD($Q674,11),10),"")</f>
        <v/>
      </c>
    </row>
    <row r="675">
      <c r="A675" s="6" t="n"/>
      <c r="B675" s="7">
        <f>IF($A675="","",UPPER(SUBSTITUTE(SUBSTITUTE(SUBSTITUTE(SUBSTITUTE(SUBSTITUTE(SUBSTITUTE($A675," ",""),"-",""),".",""),"/",""),"i","I"),"ı","?")))</f>
        <v/>
      </c>
      <c r="C675" s="8">
        <f>IF($F675=1,$R675,"")</f>
        <v/>
      </c>
      <c r="D675" s="7">
        <f>IF($A675="","",IF($F675=0,"Biçim hatalı",IF(FIND(MID($B675,11,1),"0123456789")-1=$R675,"Geçerli","Kontrol hanesi hatalı (doğrusu: "&amp;$R675&amp;")")))</f>
        <v/>
      </c>
      <c r="F675">
        <f>IF($A675="","",IF(AND(LEN($B675)=11,SUMPRODUCT(--ISNUMBER(FIND(MID($B675,{1,2,3},1),"ABCDEFGHIJKLMNOPQRSTUVWXYZ")))=3,ISNUMBER(FIND(MID($B675,4,1),"UJZ")),SUMPRODUCT(--ISNUMBER(FIND(MID($B675,{5,6,7,8,9,10,11},1),"0123456789")))=7),1,0))</f>
        <v/>
      </c>
      <c r="G675">
        <f>IF($F675=1,INDEX({10,12,13,14,15,16,17,18,19,20,21,23,24,25,26,27,28,29,30,31,32,34,35,36,37,38},1,FIND(MID($B675,1,1),"ABCDEFGHIJKLMNOPQRSTUVWXYZ")),"")</f>
        <v/>
      </c>
      <c r="H675">
        <f>IF($F675=1,INDEX({10,12,13,14,15,16,17,18,19,20,21,23,24,25,26,27,28,29,30,31,32,34,35,36,37,38},1,FIND(MID($B675,2,1),"ABCDEFGHIJKLMNOPQRSTUVWXYZ")),"")</f>
        <v/>
      </c>
      <c r="I675">
        <f>IF($F675=1,INDEX({10,12,13,14,15,16,17,18,19,20,21,23,24,25,26,27,28,29,30,31,32,34,35,36,37,38},1,FIND(MID($B675,3,1),"ABCDEFGHIJKLMNOPQRSTUVWXYZ")),"")</f>
        <v/>
      </c>
      <c r="J675">
        <f>IF($F675=1,INDEX({10,12,13,14,15,16,17,18,19,20,21,23,24,25,26,27,28,29,30,31,32,34,35,36,37,38},1,FIND(MID($B675,4,1),"ABCDEFGHIJKLMNOPQRSTUVWXYZ")),"")</f>
        <v/>
      </c>
      <c r="K675">
        <f>IF($F675=1,FIND(MID($B675,5,1),"0123456789")-1,"")</f>
        <v/>
      </c>
      <c r="L675">
        <f>IF($F675=1,FIND(MID($B675,6,1),"0123456789")-1,"")</f>
        <v/>
      </c>
      <c r="M675">
        <f>IF($F675=1,FIND(MID($B675,7,1),"0123456789")-1,"")</f>
        <v/>
      </c>
      <c r="N675">
        <f>IF($F675=1,FIND(MID($B675,8,1),"0123456789")-1,"")</f>
        <v/>
      </c>
      <c r="O675">
        <f>IF($F675=1,FIND(MID($B675,9,1),"0123456789")-1,"")</f>
        <v/>
      </c>
      <c r="P675">
        <f>IF($F675=1,FIND(MID($B675,10,1),"0123456789")-1,"")</f>
        <v/>
      </c>
      <c r="Q675">
        <f>IF($F675=1,SUMPRODUCT($G675:$P675,{1,2,4,8,16,32,64,128,256,512}),"")</f>
        <v/>
      </c>
      <c r="R675">
        <f>IF($F675=1,MOD(MOD($Q675,11),10),"")</f>
        <v/>
      </c>
    </row>
    <row r="676">
      <c r="A676" s="6" t="n"/>
      <c r="B676" s="7">
        <f>IF($A676="","",UPPER(SUBSTITUTE(SUBSTITUTE(SUBSTITUTE(SUBSTITUTE(SUBSTITUTE(SUBSTITUTE($A676," ",""),"-",""),".",""),"/",""),"i","I"),"ı","?")))</f>
        <v/>
      </c>
      <c r="C676" s="8">
        <f>IF($F676=1,$R676,"")</f>
        <v/>
      </c>
      <c r="D676" s="7">
        <f>IF($A676="","",IF($F676=0,"Biçim hatalı",IF(FIND(MID($B676,11,1),"0123456789")-1=$R676,"Geçerli","Kontrol hanesi hatalı (doğrusu: "&amp;$R676&amp;")")))</f>
        <v/>
      </c>
      <c r="F676">
        <f>IF($A676="","",IF(AND(LEN($B676)=11,SUMPRODUCT(--ISNUMBER(FIND(MID($B676,{1,2,3},1),"ABCDEFGHIJKLMNOPQRSTUVWXYZ")))=3,ISNUMBER(FIND(MID($B676,4,1),"UJZ")),SUMPRODUCT(--ISNUMBER(FIND(MID($B676,{5,6,7,8,9,10,11},1),"0123456789")))=7),1,0))</f>
        <v/>
      </c>
      <c r="G676">
        <f>IF($F676=1,INDEX({10,12,13,14,15,16,17,18,19,20,21,23,24,25,26,27,28,29,30,31,32,34,35,36,37,38},1,FIND(MID($B676,1,1),"ABCDEFGHIJKLMNOPQRSTUVWXYZ")),"")</f>
        <v/>
      </c>
      <c r="H676">
        <f>IF($F676=1,INDEX({10,12,13,14,15,16,17,18,19,20,21,23,24,25,26,27,28,29,30,31,32,34,35,36,37,38},1,FIND(MID($B676,2,1),"ABCDEFGHIJKLMNOPQRSTUVWXYZ")),"")</f>
        <v/>
      </c>
      <c r="I676">
        <f>IF($F676=1,INDEX({10,12,13,14,15,16,17,18,19,20,21,23,24,25,26,27,28,29,30,31,32,34,35,36,37,38},1,FIND(MID($B676,3,1),"ABCDEFGHIJKLMNOPQRSTUVWXYZ")),"")</f>
        <v/>
      </c>
      <c r="J676">
        <f>IF($F676=1,INDEX({10,12,13,14,15,16,17,18,19,20,21,23,24,25,26,27,28,29,30,31,32,34,35,36,37,38},1,FIND(MID($B676,4,1),"ABCDEFGHIJKLMNOPQRSTUVWXYZ")),"")</f>
        <v/>
      </c>
      <c r="K676">
        <f>IF($F676=1,FIND(MID($B676,5,1),"0123456789")-1,"")</f>
        <v/>
      </c>
      <c r="L676">
        <f>IF($F676=1,FIND(MID($B676,6,1),"0123456789")-1,"")</f>
        <v/>
      </c>
      <c r="M676">
        <f>IF($F676=1,FIND(MID($B676,7,1),"0123456789")-1,"")</f>
        <v/>
      </c>
      <c r="N676">
        <f>IF($F676=1,FIND(MID($B676,8,1),"0123456789")-1,"")</f>
        <v/>
      </c>
      <c r="O676">
        <f>IF($F676=1,FIND(MID($B676,9,1),"0123456789")-1,"")</f>
        <v/>
      </c>
      <c r="P676">
        <f>IF($F676=1,FIND(MID($B676,10,1),"0123456789")-1,"")</f>
        <v/>
      </c>
      <c r="Q676">
        <f>IF($F676=1,SUMPRODUCT($G676:$P676,{1,2,4,8,16,32,64,128,256,512}),"")</f>
        <v/>
      </c>
      <c r="R676">
        <f>IF($F676=1,MOD(MOD($Q676,11),10),"")</f>
        <v/>
      </c>
    </row>
    <row r="677">
      <c r="A677" s="6" t="n"/>
      <c r="B677" s="7">
        <f>IF($A677="","",UPPER(SUBSTITUTE(SUBSTITUTE(SUBSTITUTE(SUBSTITUTE(SUBSTITUTE(SUBSTITUTE($A677," ",""),"-",""),".",""),"/",""),"i","I"),"ı","?")))</f>
        <v/>
      </c>
      <c r="C677" s="8">
        <f>IF($F677=1,$R677,"")</f>
        <v/>
      </c>
      <c r="D677" s="7">
        <f>IF($A677="","",IF($F677=0,"Biçim hatalı",IF(FIND(MID($B677,11,1),"0123456789")-1=$R677,"Geçerli","Kontrol hanesi hatalı (doğrusu: "&amp;$R677&amp;")")))</f>
        <v/>
      </c>
      <c r="F677">
        <f>IF($A677="","",IF(AND(LEN($B677)=11,SUMPRODUCT(--ISNUMBER(FIND(MID($B677,{1,2,3},1),"ABCDEFGHIJKLMNOPQRSTUVWXYZ")))=3,ISNUMBER(FIND(MID($B677,4,1),"UJZ")),SUMPRODUCT(--ISNUMBER(FIND(MID($B677,{5,6,7,8,9,10,11},1),"0123456789")))=7),1,0))</f>
        <v/>
      </c>
      <c r="G677">
        <f>IF($F677=1,INDEX({10,12,13,14,15,16,17,18,19,20,21,23,24,25,26,27,28,29,30,31,32,34,35,36,37,38},1,FIND(MID($B677,1,1),"ABCDEFGHIJKLMNOPQRSTUVWXYZ")),"")</f>
        <v/>
      </c>
      <c r="H677">
        <f>IF($F677=1,INDEX({10,12,13,14,15,16,17,18,19,20,21,23,24,25,26,27,28,29,30,31,32,34,35,36,37,38},1,FIND(MID($B677,2,1),"ABCDEFGHIJKLMNOPQRSTUVWXYZ")),"")</f>
        <v/>
      </c>
      <c r="I677">
        <f>IF($F677=1,INDEX({10,12,13,14,15,16,17,18,19,20,21,23,24,25,26,27,28,29,30,31,32,34,35,36,37,38},1,FIND(MID($B677,3,1),"ABCDEFGHIJKLMNOPQRSTUVWXYZ")),"")</f>
        <v/>
      </c>
      <c r="J677">
        <f>IF($F677=1,INDEX({10,12,13,14,15,16,17,18,19,20,21,23,24,25,26,27,28,29,30,31,32,34,35,36,37,38},1,FIND(MID($B677,4,1),"ABCDEFGHIJKLMNOPQRSTUVWXYZ")),"")</f>
        <v/>
      </c>
      <c r="K677">
        <f>IF($F677=1,FIND(MID($B677,5,1),"0123456789")-1,"")</f>
        <v/>
      </c>
      <c r="L677">
        <f>IF($F677=1,FIND(MID($B677,6,1),"0123456789")-1,"")</f>
        <v/>
      </c>
      <c r="M677">
        <f>IF($F677=1,FIND(MID($B677,7,1),"0123456789")-1,"")</f>
        <v/>
      </c>
      <c r="N677">
        <f>IF($F677=1,FIND(MID($B677,8,1),"0123456789")-1,"")</f>
        <v/>
      </c>
      <c r="O677">
        <f>IF($F677=1,FIND(MID($B677,9,1),"0123456789")-1,"")</f>
        <v/>
      </c>
      <c r="P677">
        <f>IF($F677=1,FIND(MID($B677,10,1),"0123456789")-1,"")</f>
        <v/>
      </c>
      <c r="Q677">
        <f>IF($F677=1,SUMPRODUCT($G677:$P677,{1,2,4,8,16,32,64,128,256,512}),"")</f>
        <v/>
      </c>
      <c r="R677">
        <f>IF($F677=1,MOD(MOD($Q677,11),10),"")</f>
        <v/>
      </c>
    </row>
    <row r="678">
      <c r="A678" s="6" t="n"/>
      <c r="B678" s="7">
        <f>IF($A678="","",UPPER(SUBSTITUTE(SUBSTITUTE(SUBSTITUTE(SUBSTITUTE(SUBSTITUTE(SUBSTITUTE($A678," ",""),"-",""),".",""),"/",""),"i","I"),"ı","?")))</f>
        <v/>
      </c>
      <c r="C678" s="8">
        <f>IF($F678=1,$R678,"")</f>
        <v/>
      </c>
      <c r="D678" s="7">
        <f>IF($A678="","",IF($F678=0,"Biçim hatalı",IF(FIND(MID($B678,11,1),"0123456789")-1=$R678,"Geçerli","Kontrol hanesi hatalı (doğrusu: "&amp;$R678&amp;")")))</f>
        <v/>
      </c>
      <c r="F678">
        <f>IF($A678="","",IF(AND(LEN($B678)=11,SUMPRODUCT(--ISNUMBER(FIND(MID($B678,{1,2,3},1),"ABCDEFGHIJKLMNOPQRSTUVWXYZ")))=3,ISNUMBER(FIND(MID($B678,4,1),"UJZ")),SUMPRODUCT(--ISNUMBER(FIND(MID($B678,{5,6,7,8,9,10,11},1),"0123456789")))=7),1,0))</f>
        <v/>
      </c>
      <c r="G678">
        <f>IF($F678=1,INDEX({10,12,13,14,15,16,17,18,19,20,21,23,24,25,26,27,28,29,30,31,32,34,35,36,37,38},1,FIND(MID($B678,1,1),"ABCDEFGHIJKLMNOPQRSTUVWXYZ")),"")</f>
        <v/>
      </c>
      <c r="H678">
        <f>IF($F678=1,INDEX({10,12,13,14,15,16,17,18,19,20,21,23,24,25,26,27,28,29,30,31,32,34,35,36,37,38},1,FIND(MID($B678,2,1),"ABCDEFGHIJKLMNOPQRSTUVWXYZ")),"")</f>
        <v/>
      </c>
      <c r="I678">
        <f>IF($F678=1,INDEX({10,12,13,14,15,16,17,18,19,20,21,23,24,25,26,27,28,29,30,31,32,34,35,36,37,38},1,FIND(MID($B678,3,1),"ABCDEFGHIJKLMNOPQRSTUVWXYZ")),"")</f>
        <v/>
      </c>
      <c r="J678">
        <f>IF($F678=1,INDEX({10,12,13,14,15,16,17,18,19,20,21,23,24,25,26,27,28,29,30,31,32,34,35,36,37,38},1,FIND(MID($B678,4,1),"ABCDEFGHIJKLMNOPQRSTUVWXYZ")),"")</f>
        <v/>
      </c>
      <c r="K678">
        <f>IF($F678=1,FIND(MID($B678,5,1),"0123456789")-1,"")</f>
        <v/>
      </c>
      <c r="L678">
        <f>IF($F678=1,FIND(MID($B678,6,1),"0123456789")-1,"")</f>
        <v/>
      </c>
      <c r="M678">
        <f>IF($F678=1,FIND(MID($B678,7,1),"0123456789")-1,"")</f>
        <v/>
      </c>
      <c r="N678">
        <f>IF($F678=1,FIND(MID($B678,8,1),"0123456789")-1,"")</f>
        <v/>
      </c>
      <c r="O678">
        <f>IF($F678=1,FIND(MID($B678,9,1),"0123456789")-1,"")</f>
        <v/>
      </c>
      <c r="P678">
        <f>IF($F678=1,FIND(MID($B678,10,1),"0123456789")-1,"")</f>
        <v/>
      </c>
      <c r="Q678">
        <f>IF($F678=1,SUMPRODUCT($G678:$P678,{1,2,4,8,16,32,64,128,256,512}),"")</f>
        <v/>
      </c>
      <c r="R678">
        <f>IF($F678=1,MOD(MOD($Q678,11),10),"")</f>
        <v/>
      </c>
    </row>
    <row r="679">
      <c r="A679" s="6" t="n"/>
      <c r="B679" s="7">
        <f>IF($A679="","",UPPER(SUBSTITUTE(SUBSTITUTE(SUBSTITUTE(SUBSTITUTE(SUBSTITUTE(SUBSTITUTE($A679," ",""),"-",""),".",""),"/",""),"i","I"),"ı","?")))</f>
        <v/>
      </c>
      <c r="C679" s="8">
        <f>IF($F679=1,$R679,"")</f>
        <v/>
      </c>
      <c r="D679" s="7">
        <f>IF($A679="","",IF($F679=0,"Biçim hatalı",IF(FIND(MID($B679,11,1),"0123456789")-1=$R679,"Geçerli","Kontrol hanesi hatalı (doğrusu: "&amp;$R679&amp;")")))</f>
        <v/>
      </c>
      <c r="F679">
        <f>IF($A679="","",IF(AND(LEN($B679)=11,SUMPRODUCT(--ISNUMBER(FIND(MID($B679,{1,2,3},1),"ABCDEFGHIJKLMNOPQRSTUVWXYZ")))=3,ISNUMBER(FIND(MID($B679,4,1),"UJZ")),SUMPRODUCT(--ISNUMBER(FIND(MID($B679,{5,6,7,8,9,10,11},1),"0123456789")))=7),1,0))</f>
        <v/>
      </c>
      <c r="G679">
        <f>IF($F679=1,INDEX({10,12,13,14,15,16,17,18,19,20,21,23,24,25,26,27,28,29,30,31,32,34,35,36,37,38},1,FIND(MID($B679,1,1),"ABCDEFGHIJKLMNOPQRSTUVWXYZ")),"")</f>
        <v/>
      </c>
      <c r="H679">
        <f>IF($F679=1,INDEX({10,12,13,14,15,16,17,18,19,20,21,23,24,25,26,27,28,29,30,31,32,34,35,36,37,38},1,FIND(MID($B679,2,1),"ABCDEFGHIJKLMNOPQRSTUVWXYZ")),"")</f>
        <v/>
      </c>
      <c r="I679">
        <f>IF($F679=1,INDEX({10,12,13,14,15,16,17,18,19,20,21,23,24,25,26,27,28,29,30,31,32,34,35,36,37,38},1,FIND(MID($B679,3,1),"ABCDEFGHIJKLMNOPQRSTUVWXYZ")),"")</f>
        <v/>
      </c>
      <c r="J679">
        <f>IF($F679=1,INDEX({10,12,13,14,15,16,17,18,19,20,21,23,24,25,26,27,28,29,30,31,32,34,35,36,37,38},1,FIND(MID($B679,4,1),"ABCDEFGHIJKLMNOPQRSTUVWXYZ")),"")</f>
        <v/>
      </c>
      <c r="K679">
        <f>IF($F679=1,FIND(MID($B679,5,1),"0123456789")-1,"")</f>
        <v/>
      </c>
      <c r="L679">
        <f>IF($F679=1,FIND(MID($B679,6,1),"0123456789")-1,"")</f>
        <v/>
      </c>
      <c r="M679">
        <f>IF($F679=1,FIND(MID($B679,7,1),"0123456789")-1,"")</f>
        <v/>
      </c>
      <c r="N679">
        <f>IF($F679=1,FIND(MID($B679,8,1),"0123456789")-1,"")</f>
        <v/>
      </c>
      <c r="O679">
        <f>IF($F679=1,FIND(MID($B679,9,1),"0123456789")-1,"")</f>
        <v/>
      </c>
      <c r="P679">
        <f>IF($F679=1,FIND(MID($B679,10,1),"0123456789")-1,"")</f>
        <v/>
      </c>
      <c r="Q679">
        <f>IF($F679=1,SUMPRODUCT($G679:$P679,{1,2,4,8,16,32,64,128,256,512}),"")</f>
        <v/>
      </c>
      <c r="R679">
        <f>IF($F679=1,MOD(MOD($Q679,11),10),"")</f>
        <v/>
      </c>
    </row>
    <row r="680">
      <c r="A680" s="6" t="n"/>
      <c r="B680" s="7">
        <f>IF($A680="","",UPPER(SUBSTITUTE(SUBSTITUTE(SUBSTITUTE(SUBSTITUTE(SUBSTITUTE(SUBSTITUTE($A680," ",""),"-",""),".",""),"/",""),"i","I"),"ı","?")))</f>
        <v/>
      </c>
      <c r="C680" s="8">
        <f>IF($F680=1,$R680,"")</f>
        <v/>
      </c>
      <c r="D680" s="7">
        <f>IF($A680="","",IF($F680=0,"Biçim hatalı",IF(FIND(MID($B680,11,1),"0123456789")-1=$R680,"Geçerli","Kontrol hanesi hatalı (doğrusu: "&amp;$R680&amp;")")))</f>
        <v/>
      </c>
      <c r="F680">
        <f>IF($A680="","",IF(AND(LEN($B680)=11,SUMPRODUCT(--ISNUMBER(FIND(MID($B680,{1,2,3},1),"ABCDEFGHIJKLMNOPQRSTUVWXYZ")))=3,ISNUMBER(FIND(MID($B680,4,1),"UJZ")),SUMPRODUCT(--ISNUMBER(FIND(MID($B680,{5,6,7,8,9,10,11},1),"0123456789")))=7),1,0))</f>
        <v/>
      </c>
      <c r="G680">
        <f>IF($F680=1,INDEX({10,12,13,14,15,16,17,18,19,20,21,23,24,25,26,27,28,29,30,31,32,34,35,36,37,38},1,FIND(MID($B680,1,1),"ABCDEFGHIJKLMNOPQRSTUVWXYZ")),"")</f>
        <v/>
      </c>
      <c r="H680">
        <f>IF($F680=1,INDEX({10,12,13,14,15,16,17,18,19,20,21,23,24,25,26,27,28,29,30,31,32,34,35,36,37,38},1,FIND(MID($B680,2,1),"ABCDEFGHIJKLMNOPQRSTUVWXYZ")),"")</f>
        <v/>
      </c>
      <c r="I680">
        <f>IF($F680=1,INDEX({10,12,13,14,15,16,17,18,19,20,21,23,24,25,26,27,28,29,30,31,32,34,35,36,37,38},1,FIND(MID($B680,3,1),"ABCDEFGHIJKLMNOPQRSTUVWXYZ")),"")</f>
        <v/>
      </c>
      <c r="J680">
        <f>IF($F680=1,INDEX({10,12,13,14,15,16,17,18,19,20,21,23,24,25,26,27,28,29,30,31,32,34,35,36,37,38},1,FIND(MID($B680,4,1),"ABCDEFGHIJKLMNOPQRSTUVWXYZ")),"")</f>
        <v/>
      </c>
      <c r="K680">
        <f>IF($F680=1,FIND(MID($B680,5,1),"0123456789")-1,"")</f>
        <v/>
      </c>
      <c r="L680">
        <f>IF($F680=1,FIND(MID($B680,6,1),"0123456789")-1,"")</f>
        <v/>
      </c>
      <c r="M680">
        <f>IF($F680=1,FIND(MID($B680,7,1),"0123456789")-1,"")</f>
        <v/>
      </c>
      <c r="N680">
        <f>IF($F680=1,FIND(MID($B680,8,1),"0123456789")-1,"")</f>
        <v/>
      </c>
      <c r="O680">
        <f>IF($F680=1,FIND(MID($B680,9,1),"0123456789")-1,"")</f>
        <v/>
      </c>
      <c r="P680">
        <f>IF($F680=1,FIND(MID($B680,10,1),"0123456789")-1,"")</f>
        <v/>
      </c>
      <c r="Q680">
        <f>IF($F680=1,SUMPRODUCT($G680:$P680,{1,2,4,8,16,32,64,128,256,512}),"")</f>
        <v/>
      </c>
      <c r="R680">
        <f>IF($F680=1,MOD(MOD($Q680,11),10),"")</f>
        <v/>
      </c>
    </row>
    <row r="681">
      <c r="A681" s="6" t="n"/>
      <c r="B681" s="7">
        <f>IF($A681="","",UPPER(SUBSTITUTE(SUBSTITUTE(SUBSTITUTE(SUBSTITUTE(SUBSTITUTE(SUBSTITUTE($A681," ",""),"-",""),".",""),"/",""),"i","I"),"ı","?")))</f>
        <v/>
      </c>
      <c r="C681" s="8">
        <f>IF($F681=1,$R681,"")</f>
        <v/>
      </c>
      <c r="D681" s="7">
        <f>IF($A681="","",IF($F681=0,"Biçim hatalı",IF(FIND(MID($B681,11,1),"0123456789")-1=$R681,"Geçerli","Kontrol hanesi hatalı (doğrusu: "&amp;$R681&amp;")")))</f>
        <v/>
      </c>
      <c r="F681">
        <f>IF($A681="","",IF(AND(LEN($B681)=11,SUMPRODUCT(--ISNUMBER(FIND(MID($B681,{1,2,3},1),"ABCDEFGHIJKLMNOPQRSTUVWXYZ")))=3,ISNUMBER(FIND(MID($B681,4,1),"UJZ")),SUMPRODUCT(--ISNUMBER(FIND(MID($B681,{5,6,7,8,9,10,11},1),"0123456789")))=7),1,0))</f>
        <v/>
      </c>
      <c r="G681">
        <f>IF($F681=1,INDEX({10,12,13,14,15,16,17,18,19,20,21,23,24,25,26,27,28,29,30,31,32,34,35,36,37,38},1,FIND(MID($B681,1,1),"ABCDEFGHIJKLMNOPQRSTUVWXYZ")),"")</f>
        <v/>
      </c>
      <c r="H681">
        <f>IF($F681=1,INDEX({10,12,13,14,15,16,17,18,19,20,21,23,24,25,26,27,28,29,30,31,32,34,35,36,37,38},1,FIND(MID($B681,2,1),"ABCDEFGHIJKLMNOPQRSTUVWXYZ")),"")</f>
        <v/>
      </c>
      <c r="I681">
        <f>IF($F681=1,INDEX({10,12,13,14,15,16,17,18,19,20,21,23,24,25,26,27,28,29,30,31,32,34,35,36,37,38},1,FIND(MID($B681,3,1),"ABCDEFGHIJKLMNOPQRSTUVWXYZ")),"")</f>
        <v/>
      </c>
      <c r="J681">
        <f>IF($F681=1,INDEX({10,12,13,14,15,16,17,18,19,20,21,23,24,25,26,27,28,29,30,31,32,34,35,36,37,38},1,FIND(MID($B681,4,1),"ABCDEFGHIJKLMNOPQRSTUVWXYZ")),"")</f>
        <v/>
      </c>
      <c r="K681">
        <f>IF($F681=1,FIND(MID($B681,5,1),"0123456789")-1,"")</f>
        <v/>
      </c>
      <c r="L681">
        <f>IF($F681=1,FIND(MID($B681,6,1),"0123456789")-1,"")</f>
        <v/>
      </c>
      <c r="M681">
        <f>IF($F681=1,FIND(MID($B681,7,1),"0123456789")-1,"")</f>
        <v/>
      </c>
      <c r="N681">
        <f>IF($F681=1,FIND(MID($B681,8,1),"0123456789")-1,"")</f>
        <v/>
      </c>
      <c r="O681">
        <f>IF($F681=1,FIND(MID($B681,9,1),"0123456789")-1,"")</f>
        <v/>
      </c>
      <c r="P681">
        <f>IF($F681=1,FIND(MID($B681,10,1),"0123456789")-1,"")</f>
        <v/>
      </c>
      <c r="Q681">
        <f>IF($F681=1,SUMPRODUCT($G681:$P681,{1,2,4,8,16,32,64,128,256,512}),"")</f>
        <v/>
      </c>
      <c r="R681">
        <f>IF($F681=1,MOD(MOD($Q681,11),10),"")</f>
        <v/>
      </c>
    </row>
    <row r="682">
      <c r="A682" s="6" t="n"/>
      <c r="B682" s="7">
        <f>IF($A682="","",UPPER(SUBSTITUTE(SUBSTITUTE(SUBSTITUTE(SUBSTITUTE(SUBSTITUTE(SUBSTITUTE($A682," ",""),"-",""),".",""),"/",""),"i","I"),"ı","?")))</f>
        <v/>
      </c>
      <c r="C682" s="8">
        <f>IF($F682=1,$R682,"")</f>
        <v/>
      </c>
      <c r="D682" s="7">
        <f>IF($A682="","",IF($F682=0,"Biçim hatalı",IF(FIND(MID($B682,11,1),"0123456789")-1=$R682,"Geçerli","Kontrol hanesi hatalı (doğrusu: "&amp;$R682&amp;")")))</f>
        <v/>
      </c>
      <c r="F682">
        <f>IF($A682="","",IF(AND(LEN($B682)=11,SUMPRODUCT(--ISNUMBER(FIND(MID($B682,{1,2,3},1),"ABCDEFGHIJKLMNOPQRSTUVWXYZ")))=3,ISNUMBER(FIND(MID($B682,4,1),"UJZ")),SUMPRODUCT(--ISNUMBER(FIND(MID($B682,{5,6,7,8,9,10,11},1),"0123456789")))=7),1,0))</f>
        <v/>
      </c>
      <c r="G682">
        <f>IF($F682=1,INDEX({10,12,13,14,15,16,17,18,19,20,21,23,24,25,26,27,28,29,30,31,32,34,35,36,37,38},1,FIND(MID($B682,1,1),"ABCDEFGHIJKLMNOPQRSTUVWXYZ")),"")</f>
        <v/>
      </c>
      <c r="H682">
        <f>IF($F682=1,INDEX({10,12,13,14,15,16,17,18,19,20,21,23,24,25,26,27,28,29,30,31,32,34,35,36,37,38},1,FIND(MID($B682,2,1),"ABCDEFGHIJKLMNOPQRSTUVWXYZ")),"")</f>
        <v/>
      </c>
      <c r="I682">
        <f>IF($F682=1,INDEX({10,12,13,14,15,16,17,18,19,20,21,23,24,25,26,27,28,29,30,31,32,34,35,36,37,38},1,FIND(MID($B682,3,1),"ABCDEFGHIJKLMNOPQRSTUVWXYZ")),"")</f>
        <v/>
      </c>
      <c r="J682">
        <f>IF($F682=1,INDEX({10,12,13,14,15,16,17,18,19,20,21,23,24,25,26,27,28,29,30,31,32,34,35,36,37,38},1,FIND(MID($B682,4,1),"ABCDEFGHIJKLMNOPQRSTUVWXYZ")),"")</f>
        <v/>
      </c>
      <c r="K682">
        <f>IF($F682=1,FIND(MID($B682,5,1),"0123456789")-1,"")</f>
        <v/>
      </c>
      <c r="L682">
        <f>IF($F682=1,FIND(MID($B682,6,1),"0123456789")-1,"")</f>
        <v/>
      </c>
      <c r="M682">
        <f>IF($F682=1,FIND(MID($B682,7,1),"0123456789")-1,"")</f>
        <v/>
      </c>
      <c r="N682">
        <f>IF($F682=1,FIND(MID($B682,8,1),"0123456789")-1,"")</f>
        <v/>
      </c>
      <c r="O682">
        <f>IF($F682=1,FIND(MID($B682,9,1),"0123456789")-1,"")</f>
        <v/>
      </c>
      <c r="P682">
        <f>IF($F682=1,FIND(MID($B682,10,1),"0123456789")-1,"")</f>
        <v/>
      </c>
      <c r="Q682">
        <f>IF($F682=1,SUMPRODUCT($G682:$P682,{1,2,4,8,16,32,64,128,256,512}),"")</f>
        <v/>
      </c>
      <c r="R682">
        <f>IF($F682=1,MOD(MOD($Q682,11),10),"")</f>
        <v/>
      </c>
    </row>
    <row r="683">
      <c r="A683" s="6" t="n"/>
      <c r="B683" s="7">
        <f>IF($A683="","",UPPER(SUBSTITUTE(SUBSTITUTE(SUBSTITUTE(SUBSTITUTE(SUBSTITUTE(SUBSTITUTE($A683," ",""),"-",""),".",""),"/",""),"i","I"),"ı","?")))</f>
        <v/>
      </c>
      <c r="C683" s="8">
        <f>IF($F683=1,$R683,"")</f>
        <v/>
      </c>
      <c r="D683" s="7">
        <f>IF($A683="","",IF($F683=0,"Biçim hatalı",IF(FIND(MID($B683,11,1),"0123456789")-1=$R683,"Geçerli","Kontrol hanesi hatalı (doğrusu: "&amp;$R683&amp;")")))</f>
        <v/>
      </c>
      <c r="F683">
        <f>IF($A683="","",IF(AND(LEN($B683)=11,SUMPRODUCT(--ISNUMBER(FIND(MID($B683,{1,2,3},1),"ABCDEFGHIJKLMNOPQRSTUVWXYZ")))=3,ISNUMBER(FIND(MID($B683,4,1),"UJZ")),SUMPRODUCT(--ISNUMBER(FIND(MID($B683,{5,6,7,8,9,10,11},1),"0123456789")))=7),1,0))</f>
        <v/>
      </c>
      <c r="G683">
        <f>IF($F683=1,INDEX({10,12,13,14,15,16,17,18,19,20,21,23,24,25,26,27,28,29,30,31,32,34,35,36,37,38},1,FIND(MID($B683,1,1),"ABCDEFGHIJKLMNOPQRSTUVWXYZ")),"")</f>
        <v/>
      </c>
      <c r="H683">
        <f>IF($F683=1,INDEX({10,12,13,14,15,16,17,18,19,20,21,23,24,25,26,27,28,29,30,31,32,34,35,36,37,38},1,FIND(MID($B683,2,1),"ABCDEFGHIJKLMNOPQRSTUVWXYZ")),"")</f>
        <v/>
      </c>
      <c r="I683">
        <f>IF($F683=1,INDEX({10,12,13,14,15,16,17,18,19,20,21,23,24,25,26,27,28,29,30,31,32,34,35,36,37,38},1,FIND(MID($B683,3,1),"ABCDEFGHIJKLMNOPQRSTUVWXYZ")),"")</f>
        <v/>
      </c>
      <c r="J683">
        <f>IF($F683=1,INDEX({10,12,13,14,15,16,17,18,19,20,21,23,24,25,26,27,28,29,30,31,32,34,35,36,37,38},1,FIND(MID($B683,4,1),"ABCDEFGHIJKLMNOPQRSTUVWXYZ")),"")</f>
        <v/>
      </c>
      <c r="K683">
        <f>IF($F683=1,FIND(MID($B683,5,1),"0123456789")-1,"")</f>
        <v/>
      </c>
      <c r="L683">
        <f>IF($F683=1,FIND(MID($B683,6,1),"0123456789")-1,"")</f>
        <v/>
      </c>
      <c r="M683">
        <f>IF($F683=1,FIND(MID($B683,7,1),"0123456789")-1,"")</f>
        <v/>
      </c>
      <c r="N683">
        <f>IF($F683=1,FIND(MID($B683,8,1),"0123456789")-1,"")</f>
        <v/>
      </c>
      <c r="O683">
        <f>IF($F683=1,FIND(MID($B683,9,1),"0123456789")-1,"")</f>
        <v/>
      </c>
      <c r="P683">
        <f>IF($F683=1,FIND(MID($B683,10,1),"0123456789")-1,"")</f>
        <v/>
      </c>
      <c r="Q683">
        <f>IF($F683=1,SUMPRODUCT($G683:$P683,{1,2,4,8,16,32,64,128,256,512}),"")</f>
        <v/>
      </c>
      <c r="R683">
        <f>IF($F683=1,MOD(MOD($Q683,11),10),"")</f>
        <v/>
      </c>
    </row>
    <row r="684">
      <c r="A684" s="6" t="n"/>
      <c r="B684" s="7">
        <f>IF($A684="","",UPPER(SUBSTITUTE(SUBSTITUTE(SUBSTITUTE(SUBSTITUTE(SUBSTITUTE(SUBSTITUTE($A684," ",""),"-",""),".",""),"/",""),"i","I"),"ı","?")))</f>
        <v/>
      </c>
      <c r="C684" s="8">
        <f>IF($F684=1,$R684,"")</f>
        <v/>
      </c>
      <c r="D684" s="7">
        <f>IF($A684="","",IF($F684=0,"Biçim hatalı",IF(FIND(MID($B684,11,1),"0123456789")-1=$R684,"Geçerli","Kontrol hanesi hatalı (doğrusu: "&amp;$R684&amp;")")))</f>
        <v/>
      </c>
      <c r="F684">
        <f>IF($A684="","",IF(AND(LEN($B684)=11,SUMPRODUCT(--ISNUMBER(FIND(MID($B684,{1,2,3},1),"ABCDEFGHIJKLMNOPQRSTUVWXYZ")))=3,ISNUMBER(FIND(MID($B684,4,1),"UJZ")),SUMPRODUCT(--ISNUMBER(FIND(MID($B684,{5,6,7,8,9,10,11},1),"0123456789")))=7),1,0))</f>
        <v/>
      </c>
      <c r="G684">
        <f>IF($F684=1,INDEX({10,12,13,14,15,16,17,18,19,20,21,23,24,25,26,27,28,29,30,31,32,34,35,36,37,38},1,FIND(MID($B684,1,1),"ABCDEFGHIJKLMNOPQRSTUVWXYZ")),"")</f>
        <v/>
      </c>
      <c r="H684">
        <f>IF($F684=1,INDEX({10,12,13,14,15,16,17,18,19,20,21,23,24,25,26,27,28,29,30,31,32,34,35,36,37,38},1,FIND(MID($B684,2,1),"ABCDEFGHIJKLMNOPQRSTUVWXYZ")),"")</f>
        <v/>
      </c>
      <c r="I684">
        <f>IF($F684=1,INDEX({10,12,13,14,15,16,17,18,19,20,21,23,24,25,26,27,28,29,30,31,32,34,35,36,37,38},1,FIND(MID($B684,3,1),"ABCDEFGHIJKLMNOPQRSTUVWXYZ")),"")</f>
        <v/>
      </c>
      <c r="J684">
        <f>IF($F684=1,INDEX({10,12,13,14,15,16,17,18,19,20,21,23,24,25,26,27,28,29,30,31,32,34,35,36,37,38},1,FIND(MID($B684,4,1),"ABCDEFGHIJKLMNOPQRSTUVWXYZ")),"")</f>
        <v/>
      </c>
      <c r="K684">
        <f>IF($F684=1,FIND(MID($B684,5,1),"0123456789")-1,"")</f>
        <v/>
      </c>
      <c r="L684">
        <f>IF($F684=1,FIND(MID($B684,6,1),"0123456789")-1,"")</f>
        <v/>
      </c>
      <c r="M684">
        <f>IF($F684=1,FIND(MID($B684,7,1),"0123456789")-1,"")</f>
        <v/>
      </c>
      <c r="N684">
        <f>IF($F684=1,FIND(MID($B684,8,1),"0123456789")-1,"")</f>
        <v/>
      </c>
      <c r="O684">
        <f>IF($F684=1,FIND(MID($B684,9,1),"0123456789")-1,"")</f>
        <v/>
      </c>
      <c r="P684">
        <f>IF($F684=1,FIND(MID($B684,10,1),"0123456789")-1,"")</f>
        <v/>
      </c>
      <c r="Q684">
        <f>IF($F684=1,SUMPRODUCT($G684:$P684,{1,2,4,8,16,32,64,128,256,512}),"")</f>
        <v/>
      </c>
      <c r="R684">
        <f>IF($F684=1,MOD(MOD($Q684,11),10),"")</f>
        <v/>
      </c>
    </row>
    <row r="685">
      <c r="A685" s="6" t="n"/>
      <c r="B685" s="7">
        <f>IF($A685="","",UPPER(SUBSTITUTE(SUBSTITUTE(SUBSTITUTE(SUBSTITUTE(SUBSTITUTE(SUBSTITUTE($A685," ",""),"-",""),".",""),"/",""),"i","I"),"ı","?")))</f>
        <v/>
      </c>
      <c r="C685" s="8">
        <f>IF($F685=1,$R685,"")</f>
        <v/>
      </c>
      <c r="D685" s="7">
        <f>IF($A685="","",IF($F685=0,"Biçim hatalı",IF(FIND(MID($B685,11,1),"0123456789")-1=$R685,"Geçerli","Kontrol hanesi hatalı (doğrusu: "&amp;$R685&amp;")")))</f>
        <v/>
      </c>
      <c r="F685">
        <f>IF($A685="","",IF(AND(LEN($B685)=11,SUMPRODUCT(--ISNUMBER(FIND(MID($B685,{1,2,3},1),"ABCDEFGHIJKLMNOPQRSTUVWXYZ")))=3,ISNUMBER(FIND(MID($B685,4,1),"UJZ")),SUMPRODUCT(--ISNUMBER(FIND(MID($B685,{5,6,7,8,9,10,11},1),"0123456789")))=7),1,0))</f>
        <v/>
      </c>
      <c r="G685">
        <f>IF($F685=1,INDEX({10,12,13,14,15,16,17,18,19,20,21,23,24,25,26,27,28,29,30,31,32,34,35,36,37,38},1,FIND(MID($B685,1,1),"ABCDEFGHIJKLMNOPQRSTUVWXYZ")),"")</f>
        <v/>
      </c>
      <c r="H685">
        <f>IF($F685=1,INDEX({10,12,13,14,15,16,17,18,19,20,21,23,24,25,26,27,28,29,30,31,32,34,35,36,37,38},1,FIND(MID($B685,2,1),"ABCDEFGHIJKLMNOPQRSTUVWXYZ")),"")</f>
        <v/>
      </c>
      <c r="I685">
        <f>IF($F685=1,INDEX({10,12,13,14,15,16,17,18,19,20,21,23,24,25,26,27,28,29,30,31,32,34,35,36,37,38},1,FIND(MID($B685,3,1),"ABCDEFGHIJKLMNOPQRSTUVWXYZ")),"")</f>
        <v/>
      </c>
      <c r="J685">
        <f>IF($F685=1,INDEX({10,12,13,14,15,16,17,18,19,20,21,23,24,25,26,27,28,29,30,31,32,34,35,36,37,38},1,FIND(MID($B685,4,1),"ABCDEFGHIJKLMNOPQRSTUVWXYZ")),"")</f>
        <v/>
      </c>
      <c r="K685">
        <f>IF($F685=1,FIND(MID($B685,5,1),"0123456789")-1,"")</f>
        <v/>
      </c>
      <c r="L685">
        <f>IF($F685=1,FIND(MID($B685,6,1),"0123456789")-1,"")</f>
        <v/>
      </c>
      <c r="M685">
        <f>IF($F685=1,FIND(MID($B685,7,1),"0123456789")-1,"")</f>
        <v/>
      </c>
      <c r="N685">
        <f>IF($F685=1,FIND(MID($B685,8,1),"0123456789")-1,"")</f>
        <v/>
      </c>
      <c r="O685">
        <f>IF($F685=1,FIND(MID($B685,9,1),"0123456789")-1,"")</f>
        <v/>
      </c>
      <c r="P685">
        <f>IF($F685=1,FIND(MID($B685,10,1),"0123456789")-1,"")</f>
        <v/>
      </c>
      <c r="Q685">
        <f>IF($F685=1,SUMPRODUCT($G685:$P685,{1,2,4,8,16,32,64,128,256,512}),"")</f>
        <v/>
      </c>
      <c r="R685">
        <f>IF($F685=1,MOD(MOD($Q685,11),10),"")</f>
        <v/>
      </c>
    </row>
    <row r="686">
      <c r="A686" s="6" t="n"/>
      <c r="B686" s="7">
        <f>IF($A686="","",UPPER(SUBSTITUTE(SUBSTITUTE(SUBSTITUTE(SUBSTITUTE(SUBSTITUTE(SUBSTITUTE($A686," ",""),"-",""),".",""),"/",""),"i","I"),"ı","?")))</f>
        <v/>
      </c>
      <c r="C686" s="8">
        <f>IF($F686=1,$R686,"")</f>
        <v/>
      </c>
      <c r="D686" s="7">
        <f>IF($A686="","",IF($F686=0,"Biçim hatalı",IF(FIND(MID($B686,11,1),"0123456789")-1=$R686,"Geçerli","Kontrol hanesi hatalı (doğrusu: "&amp;$R686&amp;")")))</f>
        <v/>
      </c>
      <c r="F686">
        <f>IF($A686="","",IF(AND(LEN($B686)=11,SUMPRODUCT(--ISNUMBER(FIND(MID($B686,{1,2,3},1),"ABCDEFGHIJKLMNOPQRSTUVWXYZ")))=3,ISNUMBER(FIND(MID($B686,4,1),"UJZ")),SUMPRODUCT(--ISNUMBER(FIND(MID($B686,{5,6,7,8,9,10,11},1),"0123456789")))=7),1,0))</f>
        <v/>
      </c>
      <c r="G686">
        <f>IF($F686=1,INDEX({10,12,13,14,15,16,17,18,19,20,21,23,24,25,26,27,28,29,30,31,32,34,35,36,37,38},1,FIND(MID($B686,1,1),"ABCDEFGHIJKLMNOPQRSTUVWXYZ")),"")</f>
        <v/>
      </c>
      <c r="H686">
        <f>IF($F686=1,INDEX({10,12,13,14,15,16,17,18,19,20,21,23,24,25,26,27,28,29,30,31,32,34,35,36,37,38},1,FIND(MID($B686,2,1),"ABCDEFGHIJKLMNOPQRSTUVWXYZ")),"")</f>
        <v/>
      </c>
      <c r="I686">
        <f>IF($F686=1,INDEX({10,12,13,14,15,16,17,18,19,20,21,23,24,25,26,27,28,29,30,31,32,34,35,36,37,38},1,FIND(MID($B686,3,1),"ABCDEFGHIJKLMNOPQRSTUVWXYZ")),"")</f>
        <v/>
      </c>
      <c r="J686">
        <f>IF($F686=1,INDEX({10,12,13,14,15,16,17,18,19,20,21,23,24,25,26,27,28,29,30,31,32,34,35,36,37,38},1,FIND(MID($B686,4,1),"ABCDEFGHIJKLMNOPQRSTUVWXYZ")),"")</f>
        <v/>
      </c>
      <c r="K686">
        <f>IF($F686=1,FIND(MID($B686,5,1),"0123456789")-1,"")</f>
        <v/>
      </c>
      <c r="L686">
        <f>IF($F686=1,FIND(MID($B686,6,1),"0123456789")-1,"")</f>
        <v/>
      </c>
      <c r="M686">
        <f>IF($F686=1,FIND(MID($B686,7,1),"0123456789")-1,"")</f>
        <v/>
      </c>
      <c r="N686">
        <f>IF($F686=1,FIND(MID($B686,8,1),"0123456789")-1,"")</f>
        <v/>
      </c>
      <c r="O686">
        <f>IF($F686=1,FIND(MID($B686,9,1),"0123456789")-1,"")</f>
        <v/>
      </c>
      <c r="P686">
        <f>IF($F686=1,FIND(MID($B686,10,1),"0123456789")-1,"")</f>
        <v/>
      </c>
      <c r="Q686">
        <f>IF($F686=1,SUMPRODUCT($G686:$P686,{1,2,4,8,16,32,64,128,256,512}),"")</f>
        <v/>
      </c>
      <c r="R686">
        <f>IF($F686=1,MOD(MOD($Q686,11),10),"")</f>
        <v/>
      </c>
    </row>
    <row r="687">
      <c r="A687" s="6" t="n"/>
      <c r="B687" s="7">
        <f>IF($A687="","",UPPER(SUBSTITUTE(SUBSTITUTE(SUBSTITUTE(SUBSTITUTE(SUBSTITUTE(SUBSTITUTE($A687," ",""),"-",""),".",""),"/",""),"i","I"),"ı","?")))</f>
        <v/>
      </c>
      <c r="C687" s="8">
        <f>IF($F687=1,$R687,"")</f>
        <v/>
      </c>
      <c r="D687" s="7">
        <f>IF($A687="","",IF($F687=0,"Biçim hatalı",IF(FIND(MID($B687,11,1),"0123456789")-1=$R687,"Geçerli","Kontrol hanesi hatalı (doğrusu: "&amp;$R687&amp;")")))</f>
        <v/>
      </c>
      <c r="F687">
        <f>IF($A687="","",IF(AND(LEN($B687)=11,SUMPRODUCT(--ISNUMBER(FIND(MID($B687,{1,2,3},1),"ABCDEFGHIJKLMNOPQRSTUVWXYZ")))=3,ISNUMBER(FIND(MID($B687,4,1),"UJZ")),SUMPRODUCT(--ISNUMBER(FIND(MID($B687,{5,6,7,8,9,10,11},1),"0123456789")))=7),1,0))</f>
        <v/>
      </c>
      <c r="G687">
        <f>IF($F687=1,INDEX({10,12,13,14,15,16,17,18,19,20,21,23,24,25,26,27,28,29,30,31,32,34,35,36,37,38},1,FIND(MID($B687,1,1),"ABCDEFGHIJKLMNOPQRSTUVWXYZ")),"")</f>
        <v/>
      </c>
      <c r="H687">
        <f>IF($F687=1,INDEX({10,12,13,14,15,16,17,18,19,20,21,23,24,25,26,27,28,29,30,31,32,34,35,36,37,38},1,FIND(MID($B687,2,1),"ABCDEFGHIJKLMNOPQRSTUVWXYZ")),"")</f>
        <v/>
      </c>
      <c r="I687">
        <f>IF($F687=1,INDEX({10,12,13,14,15,16,17,18,19,20,21,23,24,25,26,27,28,29,30,31,32,34,35,36,37,38},1,FIND(MID($B687,3,1),"ABCDEFGHIJKLMNOPQRSTUVWXYZ")),"")</f>
        <v/>
      </c>
      <c r="J687">
        <f>IF($F687=1,INDEX({10,12,13,14,15,16,17,18,19,20,21,23,24,25,26,27,28,29,30,31,32,34,35,36,37,38},1,FIND(MID($B687,4,1),"ABCDEFGHIJKLMNOPQRSTUVWXYZ")),"")</f>
        <v/>
      </c>
      <c r="K687">
        <f>IF($F687=1,FIND(MID($B687,5,1),"0123456789")-1,"")</f>
        <v/>
      </c>
      <c r="L687">
        <f>IF($F687=1,FIND(MID($B687,6,1),"0123456789")-1,"")</f>
        <v/>
      </c>
      <c r="M687">
        <f>IF($F687=1,FIND(MID($B687,7,1),"0123456789")-1,"")</f>
        <v/>
      </c>
      <c r="N687">
        <f>IF($F687=1,FIND(MID($B687,8,1),"0123456789")-1,"")</f>
        <v/>
      </c>
      <c r="O687">
        <f>IF($F687=1,FIND(MID($B687,9,1),"0123456789")-1,"")</f>
        <v/>
      </c>
      <c r="P687">
        <f>IF($F687=1,FIND(MID($B687,10,1),"0123456789")-1,"")</f>
        <v/>
      </c>
      <c r="Q687">
        <f>IF($F687=1,SUMPRODUCT($G687:$P687,{1,2,4,8,16,32,64,128,256,512}),"")</f>
        <v/>
      </c>
      <c r="R687">
        <f>IF($F687=1,MOD(MOD($Q687,11),10),"")</f>
        <v/>
      </c>
    </row>
    <row r="688">
      <c r="A688" s="6" t="n"/>
      <c r="B688" s="7">
        <f>IF($A688="","",UPPER(SUBSTITUTE(SUBSTITUTE(SUBSTITUTE(SUBSTITUTE(SUBSTITUTE(SUBSTITUTE($A688," ",""),"-",""),".",""),"/",""),"i","I"),"ı","?")))</f>
        <v/>
      </c>
      <c r="C688" s="8">
        <f>IF($F688=1,$R688,"")</f>
        <v/>
      </c>
      <c r="D688" s="7">
        <f>IF($A688="","",IF($F688=0,"Biçim hatalı",IF(FIND(MID($B688,11,1),"0123456789")-1=$R688,"Geçerli","Kontrol hanesi hatalı (doğrusu: "&amp;$R688&amp;")")))</f>
        <v/>
      </c>
      <c r="F688">
        <f>IF($A688="","",IF(AND(LEN($B688)=11,SUMPRODUCT(--ISNUMBER(FIND(MID($B688,{1,2,3},1),"ABCDEFGHIJKLMNOPQRSTUVWXYZ")))=3,ISNUMBER(FIND(MID($B688,4,1),"UJZ")),SUMPRODUCT(--ISNUMBER(FIND(MID($B688,{5,6,7,8,9,10,11},1),"0123456789")))=7),1,0))</f>
        <v/>
      </c>
      <c r="G688">
        <f>IF($F688=1,INDEX({10,12,13,14,15,16,17,18,19,20,21,23,24,25,26,27,28,29,30,31,32,34,35,36,37,38},1,FIND(MID($B688,1,1),"ABCDEFGHIJKLMNOPQRSTUVWXYZ")),"")</f>
        <v/>
      </c>
      <c r="H688">
        <f>IF($F688=1,INDEX({10,12,13,14,15,16,17,18,19,20,21,23,24,25,26,27,28,29,30,31,32,34,35,36,37,38},1,FIND(MID($B688,2,1),"ABCDEFGHIJKLMNOPQRSTUVWXYZ")),"")</f>
        <v/>
      </c>
      <c r="I688">
        <f>IF($F688=1,INDEX({10,12,13,14,15,16,17,18,19,20,21,23,24,25,26,27,28,29,30,31,32,34,35,36,37,38},1,FIND(MID($B688,3,1),"ABCDEFGHIJKLMNOPQRSTUVWXYZ")),"")</f>
        <v/>
      </c>
      <c r="J688">
        <f>IF($F688=1,INDEX({10,12,13,14,15,16,17,18,19,20,21,23,24,25,26,27,28,29,30,31,32,34,35,36,37,38},1,FIND(MID($B688,4,1),"ABCDEFGHIJKLMNOPQRSTUVWXYZ")),"")</f>
        <v/>
      </c>
      <c r="K688">
        <f>IF($F688=1,FIND(MID($B688,5,1),"0123456789")-1,"")</f>
        <v/>
      </c>
      <c r="L688">
        <f>IF($F688=1,FIND(MID($B688,6,1),"0123456789")-1,"")</f>
        <v/>
      </c>
      <c r="M688">
        <f>IF($F688=1,FIND(MID($B688,7,1),"0123456789")-1,"")</f>
        <v/>
      </c>
      <c r="N688">
        <f>IF($F688=1,FIND(MID($B688,8,1),"0123456789")-1,"")</f>
        <v/>
      </c>
      <c r="O688">
        <f>IF($F688=1,FIND(MID($B688,9,1),"0123456789")-1,"")</f>
        <v/>
      </c>
      <c r="P688">
        <f>IF($F688=1,FIND(MID($B688,10,1),"0123456789")-1,"")</f>
        <v/>
      </c>
      <c r="Q688">
        <f>IF($F688=1,SUMPRODUCT($G688:$P688,{1,2,4,8,16,32,64,128,256,512}),"")</f>
        <v/>
      </c>
      <c r="R688">
        <f>IF($F688=1,MOD(MOD($Q688,11),10),"")</f>
        <v/>
      </c>
    </row>
    <row r="689">
      <c r="A689" s="6" t="n"/>
      <c r="B689" s="7">
        <f>IF($A689="","",UPPER(SUBSTITUTE(SUBSTITUTE(SUBSTITUTE(SUBSTITUTE(SUBSTITUTE(SUBSTITUTE($A689," ",""),"-",""),".",""),"/",""),"i","I"),"ı","?")))</f>
        <v/>
      </c>
      <c r="C689" s="8">
        <f>IF($F689=1,$R689,"")</f>
        <v/>
      </c>
      <c r="D689" s="7">
        <f>IF($A689="","",IF($F689=0,"Biçim hatalı",IF(FIND(MID($B689,11,1),"0123456789")-1=$R689,"Geçerli","Kontrol hanesi hatalı (doğrusu: "&amp;$R689&amp;")")))</f>
        <v/>
      </c>
      <c r="F689">
        <f>IF($A689="","",IF(AND(LEN($B689)=11,SUMPRODUCT(--ISNUMBER(FIND(MID($B689,{1,2,3},1),"ABCDEFGHIJKLMNOPQRSTUVWXYZ")))=3,ISNUMBER(FIND(MID($B689,4,1),"UJZ")),SUMPRODUCT(--ISNUMBER(FIND(MID($B689,{5,6,7,8,9,10,11},1),"0123456789")))=7),1,0))</f>
        <v/>
      </c>
      <c r="G689">
        <f>IF($F689=1,INDEX({10,12,13,14,15,16,17,18,19,20,21,23,24,25,26,27,28,29,30,31,32,34,35,36,37,38},1,FIND(MID($B689,1,1),"ABCDEFGHIJKLMNOPQRSTUVWXYZ")),"")</f>
        <v/>
      </c>
      <c r="H689">
        <f>IF($F689=1,INDEX({10,12,13,14,15,16,17,18,19,20,21,23,24,25,26,27,28,29,30,31,32,34,35,36,37,38},1,FIND(MID($B689,2,1),"ABCDEFGHIJKLMNOPQRSTUVWXYZ")),"")</f>
        <v/>
      </c>
      <c r="I689">
        <f>IF($F689=1,INDEX({10,12,13,14,15,16,17,18,19,20,21,23,24,25,26,27,28,29,30,31,32,34,35,36,37,38},1,FIND(MID($B689,3,1),"ABCDEFGHIJKLMNOPQRSTUVWXYZ")),"")</f>
        <v/>
      </c>
      <c r="J689">
        <f>IF($F689=1,INDEX({10,12,13,14,15,16,17,18,19,20,21,23,24,25,26,27,28,29,30,31,32,34,35,36,37,38},1,FIND(MID($B689,4,1),"ABCDEFGHIJKLMNOPQRSTUVWXYZ")),"")</f>
        <v/>
      </c>
      <c r="K689">
        <f>IF($F689=1,FIND(MID($B689,5,1),"0123456789")-1,"")</f>
        <v/>
      </c>
      <c r="L689">
        <f>IF($F689=1,FIND(MID($B689,6,1),"0123456789")-1,"")</f>
        <v/>
      </c>
      <c r="M689">
        <f>IF($F689=1,FIND(MID($B689,7,1),"0123456789")-1,"")</f>
        <v/>
      </c>
      <c r="N689">
        <f>IF($F689=1,FIND(MID($B689,8,1),"0123456789")-1,"")</f>
        <v/>
      </c>
      <c r="O689">
        <f>IF($F689=1,FIND(MID($B689,9,1),"0123456789")-1,"")</f>
        <v/>
      </c>
      <c r="P689">
        <f>IF($F689=1,FIND(MID($B689,10,1),"0123456789")-1,"")</f>
        <v/>
      </c>
      <c r="Q689">
        <f>IF($F689=1,SUMPRODUCT($G689:$P689,{1,2,4,8,16,32,64,128,256,512}),"")</f>
        <v/>
      </c>
      <c r="R689">
        <f>IF($F689=1,MOD(MOD($Q689,11),10),"")</f>
        <v/>
      </c>
    </row>
    <row r="690">
      <c r="A690" s="6" t="n"/>
      <c r="B690" s="7">
        <f>IF($A690="","",UPPER(SUBSTITUTE(SUBSTITUTE(SUBSTITUTE(SUBSTITUTE(SUBSTITUTE(SUBSTITUTE($A690," ",""),"-",""),".",""),"/",""),"i","I"),"ı","?")))</f>
        <v/>
      </c>
      <c r="C690" s="8">
        <f>IF($F690=1,$R690,"")</f>
        <v/>
      </c>
      <c r="D690" s="7">
        <f>IF($A690="","",IF($F690=0,"Biçim hatalı",IF(FIND(MID($B690,11,1),"0123456789")-1=$R690,"Geçerli","Kontrol hanesi hatalı (doğrusu: "&amp;$R690&amp;")")))</f>
        <v/>
      </c>
      <c r="F690">
        <f>IF($A690="","",IF(AND(LEN($B690)=11,SUMPRODUCT(--ISNUMBER(FIND(MID($B690,{1,2,3},1),"ABCDEFGHIJKLMNOPQRSTUVWXYZ")))=3,ISNUMBER(FIND(MID($B690,4,1),"UJZ")),SUMPRODUCT(--ISNUMBER(FIND(MID($B690,{5,6,7,8,9,10,11},1),"0123456789")))=7),1,0))</f>
        <v/>
      </c>
      <c r="G690">
        <f>IF($F690=1,INDEX({10,12,13,14,15,16,17,18,19,20,21,23,24,25,26,27,28,29,30,31,32,34,35,36,37,38},1,FIND(MID($B690,1,1),"ABCDEFGHIJKLMNOPQRSTUVWXYZ")),"")</f>
        <v/>
      </c>
      <c r="H690">
        <f>IF($F690=1,INDEX({10,12,13,14,15,16,17,18,19,20,21,23,24,25,26,27,28,29,30,31,32,34,35,36,37,38},1,FIND(MID($B690,2,1),"ABCDEFGHIJKLMNOPQRSTUVWXYZ")),"")</f>
        <v/>
      </c>
      <c r="I690">
        <f>IF($F690=1,INDEX({10,12,13,14,15,16,17,18,19,20,21,23,24,25,26,27,28,29,30,31,32,34,35,36,37,38},1,FIND(MID($B690,3,1),"ABCDEFGHIJKLMNOPQRSTUVWXYZ")),"")</f>
        <v/>
      </c>
      <c r="J690">
        <f>IF($F690=1,INDEX({10,12,13,14,15,16,17,18,19,20,21,23,24,25,26,27,28,29,30,31,32,34,35,36,37,38},1,FIND(MID($B690,4,1),"ABCDEFGHIJKLMNOPQRSTUVWXYZ")),"")</f>
        <v/>
      </c>
      <c r="K690">
        <f>IF($F690=1,FIND(MID($B690,5,1),"0123456789")-1,"")</f>
        <v/>
      </c>
      <c r="L690">
        <f>IF($F690=1,FIND(MID($B690,6,1),"0123456789")-1,"")</f>
        <v/>
      </c>
      <c r="M690">
        <f>IF($F690=1,FIND(MID($B690,7,1),"0123456789")-1,"")</f>
        <v/>
      </c>
      <c r="N690">
        <f>IF($F690=1,FIND(MID($B690,8,1),"0123456789")-1,"")</f>
        <v/>
      </c>
      <c r="O690">
        <f>IF($F690=1,FIND(MID($B690,9,1),"0123456789")-1,"")</f>
        <v/>
      </c>
      <c r="P690">
        <f>IF($F690=1,FIND(MID($B690,10,1),"0123456789")-1,"")</f>
        <v/>
      </c>
      <c r="Q690">
        <f>IF($F690=1,SUMPRODUCT($G690:$P690,{1,2,4,8,16,32,64,128,256,512}),"")</f>
        <v/>
      </c>
      <c r="R690">
        <f>IF($F690=1,MOD(MOD($Q690,11),10),"")</f>
        <v/>
      </c>
    </row>
    <row r="691">
      <c r="A691" s="6" t="n"/>
      <c r="B691" s="7">
        <f>IF($A691="","",UPPER(SUBSTITUTE(SUBSTITUTE(SUBSTITUTE(SUBSTITUTE(SUBSTITUTE(SUBSTITUTE($A691," ",""),"-",""),".",""),"/",""),"i","I"),"ı","?")))</f>
        <v/>
      </c>
      <c r="C691" s="8">
        <f>IF($F691=1,$R691,"")</f>
        <v/>
      </c>
      <c r="D691" s="7">
        <f>IF($A691="","",IF($F691=0,"Biçim hatalı",IF(FIND(MID($B691,11,1),"0123456789")-1=$R691,"Geçerli","Kontrol hanesi hatalı (doğrusu: "&amp;$R691&amp;")")))</f>
        <v/>
      </c>
      <c r="F691">
        <f>IF($A691="","",IF(AND(LEN($B691)=11,SUMPRODUCT(--ISNUMBER(FIND(MID($B691,{1,2,3},1),"ABCDEFGHIJKLMNOPQRSTUVWXYZ")))=3,ISNUMBER(FIND(MID($B691,4,1),"UJZ")),SUMPRODUCT(--ISNUMBER(FIND(MID($B691,{5,6,7,8,9,10,11},1),"0123456789")))=7),1,0))</f>
        <v/>
      </c>
      <c r="G691">
        <f>IF($F691=1,INDEX({10,12,13,14,15,16,17,18,19,20,21,23,24,25,26,27,28,29,30,31,32,34,35,36,37,38},1,FIND(MID($B691,1,1),"ABCDEFGHIJKLMNOPQRSTUVWXYZ")),"")</f>
        <v/>
      </c>
      <c r="H691">
        <f>IF($F691=1,INDEX({10,12,13,14,15,16,17,18,19,20,21,23,24,25,26,27,28,29,30,31,32,34,35,36,37,38},1,FIND(MID($B691,2,1),"ABCDEFGHIJKLMNOPQRSTUVWXYZ")),"")</f>
        <v/>
      </c>
      <c r="I691">
        <f>IF($F691=1,INDEX({10,12,13,14,15,16,17,18,19,20,21,23,24,25,26,27,28,29,30,31,32,34,35,36,37,38},1,FIND(MID($B691,3,1),"ABCDEFGHIJKLMNOPQRSTUVWXYZ")),"")</f>
        <v/>
      </c>
      <c r="J691">
        <f>IF($F691=1,INDEX({10,12,13,14,15,16,17,18,19,20,21,23,24,25,26,27,28,29,30,31,32,34,35,36,37,38},1,FIND(MID($B691,4,1),"ABCDEFGHIJKLMNOPQRSTUVWXYZ")),"")</f>
        <v/>
      </c>
      <c r="K691">
        <f>IF($F691=1,FIND(MID($B691,5,1),"0123456789")-1,"")</f>
        <v/>
      </c>
      <c r="L691">
        <f>IF($F691=1,FIND(MID($B691,6,1),"0123456789")-1,"")</f>
        <v/>
      </c>
      <c r="M691">
        <f>IF($F691=1,FIND(MID($B691,7,1),"0123456789")-1,"")</f>
        <v/>
      </c>
      <c r="N691">
        <f>IF($F691=1,FIND(MID($B691,8,1),"0123456789")-1,"")</f>
        <v/>
      </c>
      <c r="O691">
        <f>IF($F691=1,FIND(MID($B691,9,1),"0123456789")-1,"")</f>
        <v/>
      </c>
      <c r="P691">
        <f>IF($F691=1,FIND(MID($B691,10,1),"0123456789")-1,"")</f>
        <v/>
      </c>
      <c r="Q691">
        <f>IF($F691=1,SUMPRODUCT($G691:$P691,{1,2,4,8,16,32,64,128,256,512}),"")</f>
        <v/>
      </c>
      <c r="R691">
        <f>IF($F691=1,MOD(MOD($Q691,11),10),"")</f>
        <v/>
      </c>
    </row>
    <row r="692">
      <c r="A692" s="6" t="n"/>
      <c r="B692" s="7">
        <f>IF($A692="","",UPPER(SUBSTITUTE(SUBSTITUTE(SUBSTITUTE(SUBSTITUTE(SUBSTITUTE(SUBSTITUTE($A692," ",""),"-",""),".",""),"/",""),"i","I"),"ı","?")))</f>
        <v/>
      </c>
      <c r="C692" s="8">
        <f>IF($F692=1,$R692,"")</f>
        <v/>
      </c>
      <c r="D692" s="7">
        <f>IF($A692="","",IF($F692=0,"Biçim hatalı",IF(FIND(MID($B692,11,1),"0123456789")-1=$R692,"Geçerli","Kontrol hanesi hatalı (doğrusu: "&amp;$R692&amp;")")))</f>
        <v/>
      </c>
      <c r="F692">
        <f>IF($A692="","",IF(AND(LEN($B692)=11,SUMPRODUCT(--ISNUMBER(FIND(MID($B692,{1,2,3},1),"ABCDEFGHIJKLMNOPQRSTUVWXYZ")))=3,ISNUMBER(FIND(MID($B692,4,1),"UJZ")),SUMPRODUCT(--ISNUMBER(FIND(MID($B692,{5,6,7,8,9,10,11},1),"0123456789")))=7),1,0))</f>
        <v/>
      </c>
      <c r="G692">
        <f>IF($F692=1,INDEX({10,12,13,14,15,16,17,18,19,20,21,23,24,25,26,27,28,29,30,31,32,34,35,36,37,38},1,FIND(MID($B692,1,1),"ABCDEFGHIJKLMNOPQRSTUVWXYZ")),"")</f>
        <v/>
      </c>
      <c r="H692">
        <f>IF($F692=1,INDEX({10,12,13,14,15,16,17,18,19,20,21,23,24,25,26,27,28,29,30,31,32,34,35,36,37,38},1,FIND(MID($B692,2,1),"ABCDEFGHIJKLMNOPQRSTUVWXYZ")),"")</f>
        <v/>
      </c>
      <c r="I692">
        <f>IF($F692=1,INDEX({10,12,13,14,15,16,17,18,19,20,21,23,24,25,26,27,28,29,30,31,32,34,35,36,37,38},1,FIND(MID($B692,3,1),"ABCDEFGHIJKLMNOPQRSTUVWXYZ")),"")</f>
        <v/>
      </c>
      <c r="J692">
        <f>IF($F692=1,INDEX({10,12,13,14,15,16,17,18,19,20,21,23,24,25,26,27,28,29,30,31,32,34,35,36,37,38},1,FIND(MID($B692,4,1),"ABCDEFGHIJKLMNOPQRSTUVWXYZ")),"")</f>
        <v/>
      </c>
      <c r="K692">
        <f>IF($F692=1,FIND(MID($B692,5,1),"0123456789")-1,"")</f>
        <v/>
      </c>
      <c r="L692">
        <f>IF($F692=1,FIND(MID($B692,6,1),"0123456789")-1,"")</f>
        <v/>
      </c>
      <c r="M692">
        <f>IF($F692=1,FIND(MID($B692,7,1),"0123456789")-1,"")</f>
        <v/>
      </c>
      <c r="N692">
        <f>IF($F692=1,FIND(MID($B692,8,1),"0123456789")-1,"")</f>
        <v/>
      </c>
      <c r="O692">
        <f>IF($F692=1,FIND(MID($B692,9,1),"0123456789")-1,"")</f>
        <v/>
      </c>
      <c r="P692">
        <f>IF($F692=1,FIND(MID($B692,10,1),"0123456789")-1,"")</f>
        <v/>
      </c>
      <c r="Q692">
        <f>IF($F692=1,SUMPRODUCT($G692:$P692,{1,2,4,8,16,32,64,128,256,512}),"")</f>
        <v/>
      </c>
      <c r="R692">
        <f>IF($F692=1,MOD(MOD($Q692,11),10),"")</f>
        <v/>
      </c>
    </row>
    <row r="693">
      <c r="A693" s="6" t="n"/>
      <c r="B693" s="7">
        <f>IF($A693="","",UPPER(SUBSTITUTE(SUBSTITUTE(SUBSTITUTE(SUBSTITUTE(SUBSTITUTE(SUBSTITUTE($A693," ",""),"-",""),".",""),"/",""),"i","I"),"ı","?")))</f>
        <v/>
      </c>
      <c r="C693" s="8">
        <f>IF($F693=1,$R693,"")</f>
        <v/>
      </c>
      <c r="D693" s="7">
        <f>IF($A693="","",IF($F693=0,"Biçim hatalı",IF(FIND(MID($B693,11,1),"0123456789")-1=$R693,"Geçerli","Kontrol hanesi hatalı (doğrusu: "&amp;$R693&amp;")")))</f>
        <v/>
      </c>
      <c r="F693">
        <f>IF($A693="","",IF(AND(LEN($B693)=11,SUMPRODUCT(--ISNUMBER(FIND(MID($B693,{1,2,3},1),"ABCDEFGHIJKLMNOPQRSTUVWXYZ")))=3,ISNUMBER(FIND(MID($B693,4,1),"UJZ")),SUMPRODUCT(--ISNUMBER(FIND(MID($B693,{5,6,7,8,9,10,11},1),"0123456789")))=7),1,0))</f>
        <v/>
      </c>
      <c r="G693">
        <f>IF($F693=1,INDEX({10,12,13,14,15,16,17,18,19,20,21,23,24,25,26,27,28,29,30,31,32,34,35,36,37,38},1,FIND(MID($B693,1,1),"ABCDEFGHIJKLMNOPQRSTUVWXYZ")),"")</f>
        <v/>
      </c>
      <c r="H693">
        <f>IF($F693=1,INDEX({10,12,13,14,15,16,17,18,19,20,21,23,24,25,26,27,28,29,30,31,32,34,35,36,37,38},1,FIND(MID($B693,2,1),"ABCDEFGHIJKLMNOPQRSTUVWXYZ")),"")</f>
        <v/>
      </c>
      <c r="I693">
        <f>IF($F693=1,INDEX({10,12,13,14,15,16,17,18,19,20,21,23,24,25,26,27,28,29,30,31,32,34,35,36,37,38},1,FIND(MID($B693,3,1),"ABCDEFGHIJKLMNOPQRSTUVWXYZ")),"")</f>
        <v/>
      </c>
      <c r="J693">
        <f>IF($F693=1,INDEX({10,12,13,14,15,16,17,18,19,20,21,23,24,25,26,27,28,29,30,31,32,34,35,36,37,38},1,FIND(MID($B693,4,1),"ABCDEFGHIJKLMNOPQRSTUVWXYZ")),"")</f>
        <v/>
      </c>
      <c r="K693">
        <f>IF($F693=1,FIND(MID($B693,5,1),"0123456789")-1,"")</f>
        <v/>
      </c>
      <c r="L693">
        <f>IF($F693=1,FIND(MID($B693,6,1),"0123456789")-1,"")</f>
        <v/>
      </c>
      <c r="M693">
        <f>IF($F693=1,FIND(MID($B693,7,1),"0123456789")-1,"")</f>
        <v/>
      </c>
      <c r="N693">
        <f>IF($F693=1,FIND(MID($B693,8,1),"0123456789")-1,"")</f>
        <v/>
      </c>
      <c r="O693">
        <f>IF($F693=1,FIND(MID($B693,9,1),"0123456789")-1,"")</f>
        <v/>
      </c>
      <c r="P693">
        <f>IF($F693=1,FIND(MID($B693,10,1),"0123456789")-1,"")</f>
        <v/>
      </c>
      <c r="Q693">
        <f>IF($F693=1,SUMPRODUCT($G693:$P693,{1,2,4,8,16,32,64,128,256,512}),"")</f>
        <v/>
      </c>
      <c r="R693">
        <f>IF($F693=1,MOD(MOD($Q693,11),10),"")</f>
        <v/>
      </c>
    </row>
    <row r="694">
      <c r="A694" s="6" t="n"/>
      <c r="B694" s="7">
        <f>IF($A694="","",UPPER(SUBSTITUTE(SUBSTITUTE(SUBSTITUTE(SUBSTITUTE(SUBSTITUTE(SUBSTITUTE($A694," ",""),"-",""),".",""),"/",""),"i","I"),"ı","?")))</f>
        <v/>
      </c>
      <c r="C694" s="8">
        <f>IF($F694=1,$R694,"")</f>
        <v/>
      </c>
      <c r="D694" s="7">
        <f>IF($A694="","",IF($F694=0,"Biçim hatalı",IF(FIND(MID($B694,11,1),"0123456789")-1=$R694,"Geçerli","Kontrol hanesi hatalı (doğrusu: "&amp;$R694&amp;")")))</f>
        <v/>
      </c>
      <c r="F694">
        <f>IF($A694="","",IF(AND(LEN($B694)=11,SUMPRODUCT(--ISNUMBER(FIND(MID($B694,{1,2,3},1),"ABCDEFGHIJKLMNOPQRSTUVWXYZ")))=3,ISNUMBER(FIND(MID($B694,4,1),"UJZ")),SUMPRODUCT(--ISNUMBER(FIND(MID($B694,{5,6,7,8,9,10,11},1),"0123456789")))=7),1,0))</f>
        <v/>
      </c>
      <c r="G694">
        <f>IF($F694=1,INDEX({10,12,13,14,15,16,17,18,19,20,21,23,24,25,26,27,28,29,30,31,32,34,35,36,37,38},1,FIND(MID($B694,1,1),"ABCDEFGHIJKLMNOPQRSTUVWXYZ")),"")</f>
        <v/>
      </c>
      <c r="H694">
        <f>IF($F694=1,INDEX({10,12,13,14,15,16,17,18,19,20,21,23,24,25,26,27,28,29,30,31,32,34,35,36,37,38},1,FIND(MID($B694,2,1),"ABCDEFGHIJKLMNOPQRSTUVWXYZ")),"")</f>
        <v/>
      </c>
      <c r="I694">
        <f>IF($F694=1,INDEX({10,12,13,14,15,16,17,18,19,20,21,23,24,25,26,27,28,29,30,31,32,34,35,36,37,38},1,FIND(MID($B694,3,1),"ABCDEFGHIJKLMNOPQRSTUVWXYZ")),"")</f>
        <v/>
      </c>
      <c r="J694">
        <f>IF($F694=1,INDEX({10,12,13,14,15,16,17,18,19,20,21,23,24,25,26,27,28,29,30,31,32,34,35,36,37,38},1,FIND(MID($B694,4,1),"ABCDEFGHIJKLMNOPQRSTUVWXYZ")),"")</f>
        <v/>
      </c>
      <c r="K694">
        <f>IF($F694=1,FIND(MID($B694,5,1),"0123456789")-1,"")</f>
        <v/>
      </c>
      <c r="L694">
        <f>IF($F694=1,FIND(MID($B694,6,1),"0123456789")-1,"")</f>
        <v/>
      </c>
      <c r="M694">
        <f>IF($F694=1,FIND(MID($B694,7,1),"0123456789")-1,"")</f>
        <v/>
      </c>
      <c r="N694">
        <f>IF($F694=1,FIND(MID($B694,8,1),"0123456789")-1,"")</f>
        <v/>
      </c>
      <c r="O694">
        <f>IF($F694=1,FIND(MID($B694,9,1),"0123456789")-1,"")</f>
        <v/>
      </c>
      <c r="P694">
        <f>IF($F694=1,FIND(MID($B694,10,1),"0123456789")-1,"")</f>
        <v/>
      </c>
      <c r="Q694">
        <f>IF($F694=1,SUMPRODUCT($G694:$P694,{1,2,4,8,16,32,64,128,256,512}),"")</f>
        <v/>
      </c>
      <c r="R694">
        <f>IF($F694=1,MOD(MOD($Q694,11),10),"")</f>
        <v/>
      </c>
    </row>
    <row r="695">
      <c r="A695" s="6" t="n"/>
      <c r="B695" s="7">
        <f>IF($A695="","",UPPER(SUBSTITUTE(SUBSTITUTE(SUBSTITUTE(SUBSTITUTE(SUBSTITUTE(SUBSTITUTE($A695," ",""),"-",""),".",""),"/",""),"i","I"),"ı","?")))</f>
        <v/>
      </c>
      <c r="C695" s="8">
        <f>IF($F695=1,$R695,"")</f>
        <v/>
      </c>
      <c r="D695" s="7">
        <f>IF($A695="","",IF($F695=0,"Biçim hatalı",IF(FIND(MID($B695,11,1),"0123456789")-1=$R695,"Geçerli","Kontrol hanesi hatalı (doğrusu: "&amp;$R695&amp;")")))</f>
        <v/>
      </c>
      <c r="F695">
        <f>IF($A695="","",IF(AND(LEN($B695)=11,SUMPRODUCT(--ISNUMBER(FIND(MID($B695,{1,2,3},1),"ABCDEFGHIJKLMNOPQRSTUVWXYZ")))=3,ISNUMBER(FIND(MID($B695,4,1),"UJZ")),SUMPRODUCT(--ISNUMBER(FIND(MID($B695,{5,6,7,8,9,10,11},1),"0123456789")))=7),1,0))</f>
        <v/>
      </c>
      <c r="G695">
        <f>IF($F695=1,INDEX({10,12,13,14,15,16,17,18,19,20,21,23,24,25,26,27,28,29,30,31,32,34,35,36,37,38},1,FIND(MID($B695,1,1),"ABCDEFGHIJKLMNOPQRSTUVWXYZ")),"")</f>
        <v/>
      </c>
      <c r="H695">
        <f>IF($F695=1,INDEX({10,12,13,14,15,16,17,18,19,20,21,23,24,25,26,27,28,29,30,31,32,34,35,36,37,38},1,FIND(MID($B695,2,1),"ABCDEFGHIJKLMNOPQRSTUVWXYZ")),"")</f>
        <v/>
      </c>
      <c r="I695">
        <f>IF($F695=1,INDEX({10,12,13,14,15,16,17,18,19,20,21,23,24,25,26,27,28,29,30,31,32,34,35,36,37,38},1,FIND(MID($B695,3,1),"ABCDEFGHIJKLMNOPQRSTUVWXYZ")),"")</f>
        <v/>
      </c>
      <c r="J695">
        <f>IF($F695=1,INDEX({10,12,13,14,15,16,17,18,19,20,21,23,24,25,26,27,28,29,30,31,32,34,35,36,37,38},1,FIND(MID($B695,4,1),"ABCDEFGHIJKLMNOPQRSTUVWXYZ")),"")</f>
        <v/>
      </c>
      <c r="K695">
        <f>IF($F695=1,FIND(MID($B695,5,1),"0123456789")-1,"")</f>
        <v/>
      </c>
      <c r="L695">
        <f>IF($F695=1,FIND(MID($B695,6,1),"0123456789")-1,"")</f>
        <v/>
      </c>
      <c r="M695">
        <f>IF($F695=1,FIND(MID($B695,7,1),"0123456789")-1,"")</f>
        <v/>
      </c>
      <c r="N695">
        <f>IF($F695=1,FIND(MID($B695,8,1),"0123456789")-1,"")</f>
        <v/>
      </c>
      <c r="O695">
        <f>IF($F695=1,FIND(MID($B695,9,1),"0123456789")-1,"")</f>
        <v/>
      </c>
      <c r="P695">
        <f>IF($F695=1,FIND(MID($B695,10,1),"0123456789")-1,"")</f>
        <v/>
      </c>
      <c r="Q695">
        <f>IF($F695=1,SUMPRODUCT($G695:$P695,{1,2,4,8,16,32,64,128,256,512}),"")</f>
        <v/>
      </c>
      <c r="R695">
        <f>IF($F695=1,MOD(MOD($Q695,11),10),"")</f>
        <v/>
      </c>
    </row>
    <row r="696">
      <c r="A696" s="6" t="n"/>
      <c r="B696" s="7">
        <f>IF($A696="","",UPPER(SUBSTITUTE(SUBSTITUTE(SUBSTITUTE(SUBSTITUTE(SUBSTITUTE(SUBSTITUTE($A696," ",""),"-",""),".",""),"/",""),"i","I"),"ı","?")))</f>
        <v/>
      </c>
      <c r="C696" s="8">
        <f>IF($F696=1,$R696,"")</f>
        <v/>
      </c>
      <c r="D696" s="7">
        <f>IF($A696="","",IF($F696=0,"Biçim hatalı",IF(FIND(MID($B696,11,1),"0123456789")-1=$R696,"Geçerli","Kontrol hanesi hatalı (doğrusu: "&amp;$R696&amp;")")))</f>
        <v/>
      </c>
      <c r="F696">
        <f>IF($A696="","",IF(AND(LEN($B696)=11,SUMPRODUCT(--ISNUMBER(FIND(MID($B696,{1,2,3},1),"ABCDEFGHIJKLMNOPQRSTUVWXYZ")))=3,ISNUMBER(FIND(MID($B696,4,1),"UJZ")),SUMPRODUCT(--ISNUMBER(FIND(MID($B696,{5,6,7,8,9,10,11},1),"0123456789")))=7),1,0))</f>
        <v/>
      </c>
      <c r="G696">
        <f>IF($F696=1,INDEX({10,12,13,14,15,16,17,18,19,20,21,23,24,25,26,27,28,29,30,31,32,34,35,36,37,38},1,FIND(MID($B696,1,1),"ABCDEFGHIJKLMNOPQRSTUVWXYZ")),"")</f>
        <v/>
      </c>
      <c r="H696">
        <f>IF($F696=1,INDEX({10,12,13,14,15,16,17,18,19,20,21,23,24,25,26,27,28,29,30,31,32,34,35,36,37,38},1,FIND(MID($B696,2,1),"ABCDEFGHIJKLMNOPQRSTUVWXYZ")),"")</f>
        <v/>
      </c>
      <c r="I696">
        <f>IF($F696=1,INDEX({10,12,13,14,15,16,17,18,19,20,21,23,24,25,26,27,28,29,30,31,32,34,35,36,37,38},1,FIND(MID($B696,3,1),"ABCDEFGHIJKLMNOPQRSTUVWXYZ")),"")</f>
        <v/>
      </c>
      <c r="J696">
        <f>IF($F696=1,INDEX({10,12,13,14,15,16,17,18,19,20,21,23,24,25,26,27,28,29,30,31,32,34,35,36,37,38},1,FIND(MID($B696,4,1),"ABCDEFGHIJKLMNOPQRSTUVWXYZ")),"")</f>
        <v/>
      </c>
      <c r="K696">
        <f>IF($F696=1,FIND(MID($B696,5,1),"0123456789")-1,"")</f>
        <v/>
      </c>
      <c r="L696">
        <f>IF($F696=1,FIND(MID($B696,6,1),"0123456789")-1,"")</f>
        <v/>
      </c>
      <c r="M696">
        <f>IF($F696=1,FIND(MID($B696,7,1),"0123456789")-1,"")</f>
        <v/>
      </c>
      <c r="N696">
        <f>IF($F696=1,FIND(MID($B696,8,1),"0123456789")-1,"")</f>
        <v/>
      </c>
      <c r="O696">
        <f>IF($F696=1,FIND(MID($B696,9,1),"0123456789")-1,"")</f>
        <v/>
      </c>
      <c r="P696">
        <f>IF($F696=1,FIND(MID($B696,10,1),"0123456789")-1,"")</f>
        <v/>
      </c>
      <c r="Q696">
        <f>IF($F696=1,SUMPRODUCT($G696:$P696,{1,2,4,8,16,32,64,128,256,512}),"")</f>
        <v/>
      </c>
      <c r="R696">
        <f>IF($F696=1,MOD(MOD($Q696,11),10),"")</f>
        <v/>
      </c>
    </row>
    <row r="697">
      <c r="A697" s="6" t="n"/>
      <c r="B697" s="7">
        <f>IF($A697="","",UPPER(SUBSTITUTE(SUBSTITUTE(SUBSTITUTE(SUBSTITUTE(SUBSTITUTE(SUBSTITUTE($A697," ",""),"-",""),".",""),"/",""),"i","I"),"ı","?")))</f>
        <v/>
      </c>
      <c r="C697" s="8">
        <f>IF($F697=1,$R697,"")</f>
        <v/>
      </c>
      <c r="D697" s="7">
        <f>IF($A697="","",IF($F697=0,"Biçim hatalı",IF(FIND(MID($B697,11,1),"0123456789")-1=$R697,"Geçerli","Kontrol hanesi hatalı (doğrusu: "&amp;$R697&amp;")")))</f>
        <v/>
      </c>
      <c r="F697">
        <f>IF($A697="","",IF(AND(LEN($B697)=11,SUMPRODUCT(--ISNUMBER(FIND(MID($B697,{1,2,3},1),"ABCDEFGHIJKLMNOPQRSTUVWXYZ")))=3,ISNUMBER(FIND(MID($B697,4,1),"UJZ")),SUMPRODUCT(--ISNUMBER(FIND(MID($B697,{5,6,7,8,9,10,11},1),"0123456789")))=7),1,0))</f>
        <v/>
      </c>
      <c r="G697">
        <f>IF($F697=1,INDEX({10,12,13,14,15,16,17,18,19,20,21,23,24,25,26,27,28,29,30,31,32,34,35,36,37,38},1,FIND(MID($B697,1,1),"ABCDEFGHIJKLMNOPQRSTUVWXYZ")),"")</f>
        <v/>
      </c>
      <c r="H697">
        <f>IF($F697=1,INDEX({10,12,13,14,15,16,17,18,19,20,21,23,24,25,26,27,28,29,30,31,32,34,35,36,37,38},1,FIND(MID($B697,2,1),"ABCDEFGHIJKLMNOPQRSTUVWXYZ")),"")</f>
        <v/>
      </c>
      <c r="I697">
        <f>IF($F697=1,INDEX({10,12,13,14,15,16,17,18,19,20,21,23,24,25,26,27,28,29,30,31,32,34,35,36,37,38},1,FIND(MID($B697,3,1),"ABCDEFGHIJKLMNOPQRSTUVWXYZ")),"")</f>
        <v/>
      </c>
      <c r="J697">
        <f>IF($F697=1,INDEX({10,12,13,14,15,16,17,18,19,20,21,23,24,25,26,27,28,29,30,31,32,34,35,36,37,38},1,FIND(MID($B697,4,1),"ABCDEFGHIJKLMNOPQRSTUVWXYZ")),"")</f>
        <v/>
      </c>
      <c r="K697">
        <f>IF($F697=1,FIND(MID($B697,5,1),"0123456789")-1,"")</f>
        <v/>
      </c>
      <c r="L697">
        <f>IF($F697=1,FIND(MID($B697,6,1),"0123456789")-1,"")</f>
        <v/>
      </c>
      <c r="M697">
        <f>IF($F697=1,FIND(MID($B697,7,1),"0123456789")-1,"")</f>
        <v/>
      </c>
      <c r="N697">
        <f>IF($F697=1,FIND(MID($B697,8,1),"0123456789")-1,"")</f>
        <v/>
      </c>
      <c r="O697">
        <f>IF($F697=1,FIND(MID($B697,9,1),"0123456789")-1,"")</f>
        <v/>
      </c>
      <c r="P697">
        <f>IF($F697=1,FIND(MID($B697,10,1),"0123456789")-1,"")</f>
        <v/>
      </c>
      <c r="Q697">
        <f>IF($F697=1,SUMPRODUCT($G697:$P697,{1,2,4,8,16,32,64,128,256,512}),"")</f>
        <v/>
      </c>
      <c r="R697">
        <f>IF($F697=1,MOD(MOD($Q697,11),10),"")</f>
        <v/>
      </c>
    </row>
    <row r="698">
      <c r="A698" s="6" t="n"/>
      <c r="B698" s="7">
        <f>IF($A698="","",UPPER(SUBSTITUTE(SUBSTITUTE(SUBSTITUTE(SUBSTITUTE(SUBSTITUTE(SUBSTITUTE($A698," ",""),"-",""),".",""),"/",""),"i","I"),"ı","?")))</f>
        <v/>
      </c>
      <c r="C698" s="8">
        <f>IF($F698=1,$R698,"")</f>
        <v/>
      </c>
      <c r="D698" s="7">
        <f>IF($A698="","",IF($F698=0,"Biçim hatalı",IF(FIND(MID($B698,11,1),"0123456789")-1=$R698,"Geçerli","Kontrol hanesi hatalı (doğrusu: "&amp;$R698&amp;")")))</f>
        <v/>
      </c>
      <c r="F698">
        <f>IF($A698="","",IF(AND(LEN($B698)=11,SUMPRODUCT(--ISNUMBER(FIND(MID($B698,{1,2,3},1),"ABCDEFGHIJKLMNOPQRSTUVWXYZ")))=3,ISNUMBER(FIND(MID($B698,4,1),"UJZ")),SUMPRODUCT(--ISNUMBER(FIND(MID($B698,{5,6,7,8,9,10,11},1),"0123456789")))=7),1,0))</f>
        <v/>
      </c>
      <c r="G698">
        <f>IF($F698=1,INDEX({10,12,13,14,15,16,17,18,19,20,21,23,24,25,26,27,28,29,30,31,32,34,35,36,37,38},1,FIND(MID($B698,1,1),"ABCDEFGHIJKLMNOPQRSTUVWXYZ")),"")</f>
        <v/>
      </c>
      <c r="H698">
        <f>IF($F698=1,INDEX({10,12,13,14,15,16,17,18,19,20,21,23,24,25,26,27,28,29,30,31,32,34,35,36,37,38},1,FIND(MID($B698,2,1),"ABCDEFGHIJKLMNOPQRSTUVWXYZ")),"")</f>
        <v/>
      </c>
      <c r="I698">
        <f>IF($F698=1,INDEX({10,12,13,14,15,16,17,18,19,20,21,23,24,25,26,27,28,29,30,31,32,34,35,36,37,38},1,FIND(MID($B698,3,1),"ABCDEFGHIJKLMNOPQRSTUVWXYZ")),"")</f>
        <v/>
      </c>
      <c r="J698">
        <f>IF($F698=1,INDEX({10,12,13,14,15,16,17,18,19,20,21,23,24,25,26,27,28,29,30,31,32,34,35,36,37,38},1,FIND(MID($B698,4,1),"ABCDEFGHIJKLMNOPQRSTUVWXYZ")),"")</f>
        <v/>
      </c>
      <c r="K698">
        <f>IF($F698=1,FIND(MID($B698,5,1),"0123456789")-1,"")</f>
        <v/>
      </c>
      <c r="L698">
        <f>IF($F698=1,FIND(MID($B698,6,1),"0123456789")-1,"")</f>
        <v/>
      </c>
      <c r="M698">
        <f>IF($F698=1,FIND(MID($B698,7,1),"0123456789")-1,"")</f>
        <v/>
      </c>
      <c r="N698">
        <f>IF($F698=1,FIND(MID($B698,8,1),"0123456789")-1,"")</f>
        <v/>
      </c>
      <c r="O698">
        <f>IF($F698=1,FIND(MID($B698,9,1),"0123456789")-1,"")</f>
        <v/>
      </c>
      <c r="P698">
        <f>IF($F698=1,FIND(MID($B698,10,1),"0123456789")-1,"")</f>
        <v/>
      </c>
      <c r="Q698">
        <f>IF($F698=1,SUMPRODUCT($G698:$P698,{1,2,4,8,16,32,64,128,256,512}),"")</f>
        <v/>
      </c>
      <c r="R698">
        <f>IF($F698=1,MOD(MOD($Q698,11),10),"")</f>
        <v/>
      </c>
    </row>
    <row r="699">
      <c r="A699" s="6" t="n"/>
      <c r="B699" s="7">
        <f>IF($A699="","",UPPER(SUBSTITUTE(SUBSTITUTE(SUBSTITUTE(SUBSTITUTE(SUBSTITUTE(SUBSTITUTE($A699," ",""),"-",""),".",""),"/",""),"i","I"),"ı","?")))</f>
        <v/>
      </c>
      <c r="C699" s="8">
        <f>IF($F699=1,$R699,"")</f>
        <v/>
      </c>
      <c r="D699" s="7">
        <f>IF($A699="","",IF($F699=0,"Biçim hatalı",IF(FIND(MID($B699,11,1),"0123456789")-1=$R699,"Geçerli","Kontrol hanesi hatalı (doğrusu: "&amp;$R699&amp;")")))</f>
        <v/>
      </c>
      <c r="F699">
        <f>IF($A699="","",IF(AND(LEN($B699)=11,SUMPRODUCT(--ISNUMBER(FIND(MID($B699,{1,2,3},1),"ABCDEFGHIJKLMNOPQRSTUVWXYZ")))=3,ISNUMBER(FIND(MID($B699,4,1),"UJZ")),SUMPRODUCT(--ISNUMBER(FIND(MID($B699,{5,6,7,8,9,10,11},1),"0123456789")))=7),1,0))</f>
        <v/>
      </c>
      <c r="G699">
        <f>IF($F699=1,INDEX({10,12,13,14,15,16,17,18,19,20,21,23,24,25,26,27,28,29,30,31,32,34,35,36,37,38},1,FIND(MID($B699,1,1),"ABCDEFGHIJKLMNOPQRSTUVWXYZ")),"")</f>
        <v/>
      </c>
      <c r="H699">
        <f>IF($F699=1,INDEX({10,12,13,14,15,16,17,18,19,20,21,23,24,25,26,27,28,29,30,31,32,34,35,36,37,38},1,FIND(MID($B699,2,1),"ABCDEFGHIJKLMNOPQRSTUVWXYZ")),"")</f>
        <v/>
      </c>
      <c r="I699">
        <f>IF($F699=1,INDEX({10,12,13,14,15,16,17,18,19,20,21,23,24,25,26,27,28,29,30,31,32,34,35,36,37,38},1,FIND(MID($B699,3,1),"ABCDEFGHIJKLMNOPQRSTUVWXYZ")),"")</f>
        <v/>
      </c>
      <c r="J699">
        <f>IF($F699=1,INDEX({10,12,13,14,15,16,17,18,19,20,21,23,24,25,26,27,28,29,30,31,32,34,35,36,37,38},1,FIND(MID($B699,4,1),"ABCDEFGHIJKLMNOPQRSTUVWXYZ")),"")</f>
        <v/>
      </c>
      <c r="K699">
        <f>IF($F699=1,FIND(MID($B699,5,1),"0123456789")-1,"")</f>
        <v/>
      </c>
      <c r="L699">
        <f>IF($F699=1,FIND(MID($B699,6,1),"0123456789")-1,"")</f>
        <v/>
      </c>
      <c r="M699">
        <f>IF($F699=1,FIND(MID($B699,7,1),"0123456789")-1,"")</f>
        <v/>
      </c>
      <c r="N699">
        <f>IF($F699=1,FIND(MID($B699,8,1),"0123456789")-1,"")</f>
        <v/>
      </c>
      <c r="O699">
        <f>IF($F699=1,FIND(MID($B699,9,1),"0123456789")-1,"")</f>
        <v/>
      </c>
      <c r="P699">
        <f>IF($F699=1,FIND(MID($B699,10,1),"0123456789")-1,"")</f>
        <v/>
      </c>
      <c r="Q699">
        <f>IF($F699=1,SUMPRODUCT($G699:$P699,{1,2,4,8,16,32,64,128,256,512}),"")</f>
        <v/>
      </c>
      <c r="R699">
        <f>IF($F699=1,MOD(MOD($Q699,11),10),"")</f>
        <v/>
      </c>
    </row>
    <row r="700">
      <c r="A700" s="6" t="n"/>
      <c r="B700" s="7">
        <f>IF($A700="","",UPPER(SUBSTITUTE(SUBSTITUTE(SUBSTITUTE(SUBSTITUTE(SUBSTITUTE(SUBSTITUTE($A700," ",""),"-",""),".",""),"/",""),"i","I"),"ı","?")))</f>
        <v/>
      </c>
      <c r="C700" s="8">
        <f>IF($F700=1,$R700,"")</f>
        <v/>
      </c>
      <c r="D700" s="7">
        <f>IF($A700="","",IF($F700=0,"Biçim hatalı",IF(FIND(MID($B700,11,1),"0123456789")-1=$R700,"Geçerli","Kontrol hanesi hatalı (doğrusu: "&amp;$R700&amp;")")))</f>
        <v/>
      </c>
      <c r="F700">
        <f>IF($A700="","",IF(AND(LEN($B700)=11,SUMPRODUCT(--ISNUMBER(FIND(MID($B700,{1,2,3},1),"ABCDEFGHIJKLMNOPQRSTUVWXYZ")))=3,ISNUMBER(FIND(MID($B700,4,1),"UJZ")),SUMPRODUCT(--ISNUMBER(FIND(MID($B700,{5,6,7,8,9,10,11},1),"0123456789")))=7),1,0))</f>
        <v/>
      </c>
      <c r="G700">
        <f>IF($F700=1,INDEX({10,12,13,14,15,16,17,18,19,20,21,23,24,25,26,27,28,29,30,31,32,34,35,36,37,38},1,FIND(MID($B700,1,1),"ABCDEFGHIJKLMNOPQRSTUVWXYZ")),"")</f>
        <v/>
      </c>
      <c r="H700">
        <f>IF($F700=1,INDEX({10,12,13,14,15,16,17,18,19,20,21,23,24,25,26,27,28,29,30,31,32,34,35,36,37,38},1,FIND(MID($B700,2,1),"ABCDEFGHIJKLMNOPQRSTUVWXYZ")),"")</f>
        <v/>
      </c>
      <c r="I700">
        <f>IF($F700=1,INDEX({10,12,13,14,15,16,17,18,19,20,21,23,24,25,26,27,28,29,30,31,32,34,35,36,37,38},1,FIND(MID($B700,3,1),"ABCDEFGHIJKLMNOPQRSTUVWXYZ")),"")</f>
        <v/>
      </c>
      <c r="J700">
        <f>IF($F700=1,INDEX({10,12,13,14,15,16,17,18,19,20,21,23,24,25,26,27,28,29,30,31,32,34,35,36,37,38},1,FIND(MID($B700,4,1),"ABCDEFGHIJKLMNOPQRSTUVWXYZ")),"")</f>
        <v/>
      </c>
      <c r="K700">
        <f>IF($F700=1,FIND(MID($B700,5,1),"0123456789")-1,"")</f>
        <v/>
      </c>
      <c r="L700">
        <f>IF($F700=1,FIND(MID($B700,6,1),"0123456789")-1,"")</f>
        <v/>
      </c>
      <c r="M700">
        <f>IF($F700=1,FIND(MID($B700,7,1),"0123456789")-1,"")</f>
        <v/>
      </c>
      <c r="N700">
        <f>IF($F700=1,FIND(MID($B700,8,1),"0123456789")-1,"")</f>
        <v/>
      </c>
      <c r="O700">
        <f>IF($F700=1,FIND(MID($B700,9,1),"0123456789")-1,"")</f>
        <v/>
      </c>
      <c r="P700">
        <f>IF($F700=1,FIND(MID($B700,10,1),"0123456789")-1,"")</f>
        <v/>
      </c>
      <c r="Q700">
        <f>IF($F700=1,SUMPRODUCT($G700:$P700,{1,2,4,8,16,32,64,128,256,512}),"")</f>
        <v/>
      </c>
      <c r="R700">
        <f>IF($F700=1,MOD(MOD($Q700,11),10),"")</f>
        <v/>
      </c>
    </row>
    <row r="701">
      <c r="A701" s="6" t="n"/>
      <c r="B701" s="7">
        <f>IF($A701="","",UPPER(SUBSTITUTE(SUBSTITUTE(SUBSTITUTE(SUBSTITUTE(SUBSTITUTE(SUBSTITUTE($A701," ",""),"-",""),".",""),"/",""),"i","I"),"ı","?")))</f>
        <v/>
      </c>
      <c r="C701" s="8">
        <f>IF($F701=1,$R701,"")</f>
        <v/>
      </c>
      <c r="D701" s="7">
        <f>IF($A701="","",IF($F701=0,"Biçim hatalı",IF(FIND(MID($B701,11,1),"0123456789")-1=$R701,"Geçerli","Kontrol hanesi hatalı (doğrusu: "&amp;$R701&amp;")")))</f>
        <v/>
      </c>
      <c r="F701">
        <f>IF($A701="","",IF(AND(LEN($B701)=11,SUMPRODUCT(--ISNUMBER(FIND(MID($B701,{1,2,3},1),"ABCDEFGHIJKLMNOPQRSTUVWXYZ")))=3,ISNUMBER(FIND(MID($B701,4,1),"UJZ")),SUMPRODUCT(--ISNUMBER(FIND(MID($B701,{5,6,7,8,9,10,11},1),"0123456789")))=7),1,0))</f>
        <v/>
      </c>
      <c r="G701">
        <f>IF($F701=1,INDEX({10,12,13,14,15,16,17,18,19,20,21,23,24,25,26,27,28,29,30,31,32,34,35,36,37,38},1,FIND(MID($B701,1,1),"ABCDEFGHIJKLMNOPQRSTUVWXYZ")),"")</f>
        <v/>
      </c>
      <c r="H701">
        <f>IF($F701=1,INDEX({10,12,13,14,15,16,17,18,19,20,21,23,24,25,26,27,28,29,30,31,32,34,35,36,37,38},1,FIND(MID($B701,2,1),"ABCDEFGHIJKLMNOPQRSTUVWXYZ")),"")</f>
        <v/>
      </c>
      <c r="I701">
        <f>IF($F701=1,INDEX({10,12,13,14,15,16,17,18,19,20,21,23,24,25,26,27,28,29,30,31,32,34,35,36,37,38},1,FIND(MID($B701,3,1),"ABCDEFGHIJKLMNOPQRSTUVWXYZ")),"")</f>
        <v/>
      </c>
      <c r="J701">
        <f>IF($F701=1,INDEX({10,12,13,14,15,16,17,18,19,20,21,23,24,25,26,27,28,29,30,31,32,34,35,36,37,38},1,FIND(MID($B701,4,1),"ABCDEFGHIJKLMNOPQRSTUVWXYZ")),"")</f>
        <v/>
      </c>
      <c r="K701">
        <f>IF($F701=1,FIND(MID($B701,5,1),"0123456789")-1,"")</f>
        <v/>
      </c>
      <c r="L701">
        <f>IF($F701=1,FIND(MID($B701,6,1),"0123456789")-1,"")</f>
        <v/>
      </c>
      <c r="M701">
        <f>IF($F701=1,FIND(MID($B701,7,1),"0123456789")-1,"")</f>
        <v/>
      </c>
      <c r="N701">
        <f>IF($F701=1,FIND(MID($B701,8,1),"0123456789")-1,"")</f>
        <v/>
      </c>
      <c r="O701">
        <f>IF($F701=1,FIND(MID($B701,9,1),"0123456789")-1,"")</f>
        <v/>
      </c>
      <c r="P701">
        <f>IF($F701=1,FIND(MID($B701,10,1),"0123456789")-1,"")</f>
        <v/>
      </c>
      <c r="Q701">
        <f>IF($F701=1,SUMPRODUCT($G701:$P701,{1,2,4,8,16,32,64,128,256,512}),"")</f>
        <v/>
      </c>
      <c r="R701">
        <f>IF($F701=1,MOD(MOD($Q701,11),10),"")</f>
        <v/>
      </c>
    </row>
    <row r="702">
      <c r="A702" s="6" t="n"/>
      <c r="B702" s="7">
        <f>IF($A702="","",UPPER(SUBSTITUTE(SUBSTITUTE(SUBSTITUTE(SUBSTITUTE(SUBSTITUTE(SUBSTITUTE($A702," ",""),"-",""),".",""),"/",""),"i","I"),"ı","?")))</f>
        <v/>
      </c>
      <c r="C702" s="8">
        <f>IF($F702=1,$R702,"")</f>
        <v/>
      </c>
      <c r="D702" s="7">
        <f>IF($A702="","",IF($F702=0,"Biçim hatalı",IF(FIND(MID($B702,11,1),"0123456789")-1=$R702,"Geçerli","Kontrol hanesi hatalı (doğrusu: "&amp;$R702&amp;")")))</f>
        <v/>
      </c>
      <c r="F702">
        <f>IF($A702="","",IF(AND(LEN($B702)=11,SUMPRODUCT(--ISNUMBER(FIND(MID($B702,{1,2,3},1),"ABCDEFGHIJKLMNOPQRSTUVWXYZ")))=3,ISNUMBER(FIND(MID($B702,4,1),"UJZ")),SUMPRODUCT(--ISNUMBER(FIND(MID($B702,{5,6,7,8,9,10,11},1),"0123456789")))=7),1,0))</f>
        <v/>
      </c>
      <c r="G702">
        <f>IF($F702=1,INDEX({10,12,13,14,15,16,17,18,19,20,21,23,24,25,26,27,28,29,30,31,32,34,35,36,37,38},1,FIND(MID($B702,1,1),"ABCDEFGHIJKLMNOPQRSTUVWXYZ")),"")</f>
        <v/>
      </c>
      <c r="H702">
        <f>IF($F702=1,INDEX({10,12,13,14,15,16,17,18,19,20,21,23,24,25,26,27,28,29,30,31,32,34,35,36,37,38},1,FIND(MID($B702,2,1),"ABCDEFGHIJKLMNOPQRSTUVWXYZ")),"")</f>
        <v/>
      </c>
      <c r="I702">
        <f>IF($F702=1,INDEX({10,12,13,14,15,16,17,18,19,20,21,23,24,25,26,27,28,29,30,31,32,34,35,36,37,38},1,FIND(MID($B702,3,1),"ABCDEFGHIJKLMNOPQRSTUVWXYZ")),"")</f>
        <v/>
      </c>
      <c r="J702">
        <f>IF($F702=1,INDEX({10,12,13,14,15,16,17,18,19,20,21,23,24,25,26,27,28,29,30,31,32,34,35,36,37,38},1,FIND(MID($B702,4,1),"ABCDEFGHIJKLMNOPQRSTUVWXYZ")),"")</f>
        <v/>
      </c>
      <c r="K702">
        <f>IF($F702=1,FIND(MID($B702,5,1),"0123456789")-1,"")</f>
        <v/>
      </c>
      <c r="L702">
        <f>IF($F702=1,FIND(MID($B702,6,1),"0123456789")-1,"")</f>
        <v/>
      </c>
      <c r="M702">
        <f>IF($F702=1,FIND(MID($B702,7,1),"0123456789")-1,"")</f>
        <v/>
      </c>
      <c r="N702">
        <f>IF($F702=1,FIND(MID($B702,8,1),"0123456789")-1,"")</f>
        <v/>
      </c>
      <c r="O702">
        <f>IF($F702=1,FIND(MID($B702,9,1),"0123456789")-1,"")</f>
        <v/>
      </c>
      <c r="P702">
        <f>IF($F702=1,FIND(MID($B702,10,1),"0123456789")-1,"")</f>
        <v/>
      </c>
      <c r="Q702">
        <f>IF($F702=1,SUMPRODUCT($G702:$P702,{1,2,4,8,16,32,64,128,256,512}),"")</f>
        <v/>
      </c>
      <c r="R702">
        <f>IF($F702=1,MOD(MOD($Q702,11),10),"")</f>
        <v/>
      </c>
    </row>
    <row r="703">
      <c r="A703" s="6" t="n"/>
      <c r="B703" s="7">
        <f>IF($A703="","",UPPER(SUBSTITUTE(SUBSTITUTE(SUBSTITUTE(SUBSTITUTE(SUBSTITUTE(SUBSTITUTE($A703," ",""),"-",""),".",""),"/",""),"i","I"),"ı","?")))</f>
        <v/>
      </c>
      <c r="C703" s="8">
        <f>IF($F703=1,$R703,"")</f>
        <v/>
      </c>
      <c r="D703" s="7">
        <f>IF($A703="","",IF($F703=0,"Biçim hatalı",IF(FIND(MID($B703,11,1),"0123456789")-1=$R703,"Geçerli","Kontrol hanesi hatalı (doğrusu: "&amp;$R703&amp;")")))</f>
        <v/>
      </c>
      <c r="F703">
        <f>IF($A703="","",IF(AND(LEN($B703)=11,SUMPRODUCT(--ISNUMBER(FIND(MID($B703,{1,2,3},1),"ABCDEFGHIJKLMNOPQRSTUVWXYZ")))=3,ISNUMBER(FIND(MID($B703,4,1),"UJZ")),SUMPRODUCT(--ISNUMBER(FIND(MID($B703,{5,6,7,8,9,10,11},1),"0123456789")))=7),1,0))</f>
        <v/>
      </c>
      <c r="G703">
        <f>IF($F703=1,INDEX({10,12,13,14,15,16,17,18,19,20,21,23,24,25,26,27,28,29,30,31,32,34,35,36,37,38},1,FIND(MID($B703,1,1),"ABCDEFGHIJKLMNOPQRSTUVWXYZ")),"")</f>
        <v/>
      </c>
      <c r="H703">
        <f>IF($F703=1,INDEX({10,12,13,14,15,16,17,18,19,20,21,23,24,25,26,27,28,29,30,31,32,34,35,36,37,38},1,FIND(MID($B703,2,1),"ABCDEFGHIJKLMNOPQRSTUVWXYZ")),"")</f>
        <v/>
      </c>
      <c r="I703">
        <f>IF($F703=1,INDEX({10,12,13,14,15,16,17,18,19,20,21,23,24,25,26,27,28,29,30,31,32,34,35,36,37,38},1,FIND(MID($B703,3,1),"ABCDEFGHIJKLMNOPQRSTUVWXYZ")),"")</f>
        <v/>
      </c>
      <c r="J703">
        <f>IF($F703=1,INDEX({10,12,13,14,15,16,17,18,19,20,21,23,24,25,26,27,28,29,30,31,32,34,35,36,37,38},1,FIND(MID($B703,4,1),"ABCDEFGHIJKLMNOPQRSTUVWXYZ")),"")</f>
        <v/>
      </c>
      <c r="K703">
        <f>IF($F703=1,FIND(MID($B703,5,1),"0123456789")-1,"")</f>
        <v/>
      </c>
      <c r="L703">
        <f>IF($F703=1,FIND(MID($B703,6,1),"0123456789")-1,"")</f>
        <v/>
      </c>
      <c r="M703">
        <f>IF($F703=1,FIND(MID($B703,7,1),"0123456789")-1,"")</f>
        <v/>
      </c>
      <c r="N703">
        <f>IF($F703=1,FIND(MID($B703,8,1),"0123456789")-1,"")</f>
        <v/>
      </c>
      <c r="O703">
        <f>IF($F703=1,FIND(MID($B703,9,1),"0123456789")-1,"")</f>
        <v/>
      </c>
      <c r="P703">
        <f>IF($F703=1,FIND(MID($B703,10,1),"0123456789")-1,"")</f>
        <v/>
      </c>
      <c r="Q703">
        <f>IF($F703=1,SUMPRODUCT($G703:$P703,{1,2,4,8,16,32,64,128,256,512}),"")</f>
        <v/>
      </c>
      <c r="R703">
        <f>IF($F703=1,MOD(MOD($Q703,11),10),"")</f>
        <v/>
      </c>
    </row>
    <row r="704">
      <c r="A704" s="6" t="n"/>
      <c r="B704" s="7">
        <f>IF($A704="","",UPPER(SUBSTITUTE(SUBSTITUTE(SUBSTITUTE(SUBSTITUTE(SUBSTITUTE(SUBSTITUTE($A704," ",""),"-",""),".",""),"/",""),"i","I"),"ı","?")))</f>
        <v/>
      </c>
      <c r="C704" s="8">
        <f>IF($F704=1,$R704,"")</f>
        <v/>
      </c>
      <c r="D704" s="7">
        <f>IF($A704="","",IF($F704=0,"Biçim hatalı",IF(FIND(MID($B704,11,1),"0123456789")-1=$R704,"Geçerli","Kontrol hanesi hatalı (doğrusu: "&amp;$R704&amp;")")))</f>
        <v/>
      </c>
      <c r="F704">
        <f>IF($A704="","",IF(AND(LEN($B704)=11,SUMPRODUCT(--ISNUMBER(FIND(MID($B704,{1,2,3},1),"ABCDEFGHIJKLMNOPQRSTUVWXYZ")))=3,ISNUMBER(FIND(MID($B704,4,1),"UJZ")),SUMPRODUCT(--ISNUMBER(FIND(MID($B704,{5,6,7,8,9,10,11},1),"0123456789")))=7),1,0))</f>
        <v/>
      </c>
      <c r="G704">
        <f>IF($F704=1,INDEX({10,12,13,14,15,16,17,18,19,20,21,23,24,25,26,27,28,29,30,31,32,34,35,36,37,38},1,FIND(MID($B704,1,1),"ABCDEFGHIJKLMNOPQRSTUVWXYZ")),"")</f>
        <v/>
      </c>
      <c r="H704">
        <f>IF($F704=1,INDEX({10,12,13,14,15,16,17,18,19,20,21,23,24,25,26,27,28,29,30,31,32,34,35,36,37,38},1,FIND(MID($B704,2,1),"ABCDEFGHIJKLMNOPQRSTUVWXYZ")),"")</f>
        <v/>
      </c>
      <c r="I704">
        <f>IF($F704=1,INDEX({10,12,13,14,15,16,17,18,19,20,21,23,24,25,26,27,28,29,30,31,32,34,35,36,37,38},1,FIND(MID($B704,3,1),"ABCDEFGHIJKLMNOPQRSTUVWXYZ")),"")</f>
        <v/>
      </c>
      <c r="J704">
        <f>IF($F704=1,INDEX({10,12,13,14,15,16,17,18,19,20,21,23,24,25,26,27,28,29,30,31,32,34,35,36,37,38},1,FIND(MID($B704,4,1),"ABCDEFGHIJKLMNOPQRSTUVWXYZ")),"")</f>
        <v/>
      </c>
      <c r="K704">
        <f>IF($F704=1,FIND(MID($B704,5,1),"0123456789")-1,"")</f>
        <v/>
      </c>
      <c r="L704">
        <f>IF($F704=1,FIND(MID($B704,6,1),"0123456789")-1,"")</f>
        <v/>
      </c>
      <c r="M704">
        <f>IF($F704=1,FIND(MID($B704,7,1),"0123456789")-1,"")</f>
        <v/>
      </c>
      <c r="N704">
        <f>IF($F704=1,FIND(MID($B704,8,1),"0123456789")-1,"")</f>
        <v/>
      </c>
      <c r="O704">
        <f>IF($F704=1,FIND(MID($B704,9,1),"0123456789")-1,"")</f>
        <v/>
      </c>
      <c r="P704">
        <f>IF($F704=1,FIND(MID($B704,10,1),"0123456789")-1,"")</f>
        <v/>
      </c>
      <c r="Q704">
        <f>IF($F704=1,SUMPRODUCT($G704:$P704,{1,2,4,8,16,32,64,128,256,512}),"")</f>
        <v/>
      </c>
      <c r="R704">
        <f>IF($F704=1,MOD(MOD($Q704,11),10),"")</f>
        <v/>
      </c>
    </row>
    <row r="705">
      <c r="A705" s="6" t="n"/>
      <c r="B705" s="7">
        <f>IF($A705="","",UPPER(SUBSTITUTE(SUBSTITUTE(SUBSTITUTE(SUBSTITUTE(SUBSTITUTE(SUBSTITUTE($A705," ",""),"-",""),".",""),"/",""),"i","I"),"ı","?")))</f>
        <v/>
      </c>
      <c r="C705" s="8">
        <f>IF($F705=1,$R705,"")</f>
        <v/>
      </c>
      <c r="D705" s="7">
        <f>IF($A705="","",IF($F705=0,"Biçim hatalı",IF(FIND(MID($B705,11,1),"0123456789")-1=$R705,"Geçerli","Kontrol hanesi hatalı (doğrusu: "&amp;$R705&amp;")")))</f>
        <v/>
      </c>
      <c r="F705">
        <f>IF($A705="","",IF(AND(LEN($B705)=11,SUMPRODUCT(--ISNUMBER(FIND(MID($B705,{1,2,3},1),"ABCDEFGHIJKLMNOPQRSTUVWXYZ")))=3,ISNUMBER(FIND(MID($B705,4,1),"UJZ")),SUMPRODUCT(--ISNUMBER(FIND(MID($B705,{5,6,7,8,9,10,11},1),"0123456789")))=7),1,0))</f>
        <v/>
      </c>
      <c r="G705">
        <f>IF($F705=1,INDEX({10,12,13,14,15,16,17,18,19,20,21,23,24,25,26,27,28,29,30,31,32,34,35,36,37,38},1,FIND(MID($B705,1,1),"ABCDEFGHIJKLMNOPQRSTUVWXYZ")),"")</f>
        <v/>
      </c>
      <c r="H705">
        <f>IF($F705=1,INDEX({10,12,13,14,15,16,17,18,19,20,21,23,24,25,26,27,28,29,30,31,32,34,35,36,37,38},1,FIND(MID($B705,2,1),"ABCDEFGHIJKLMNOPQRSTUVWXYZ")),"")</f>
        <v/>
      </c>
      <c r="I705">
        <f>IF($F705=1,INDEX({10,12,13,14,15,16,17,18,19,20,21,23,24,25,26,27,28,29,30,31,32,34,35,36,37,38},1,FIND(MID($B705,3,1),"ABCDEFGHIJKLMNOPQRSTUVWXYZ")),"")</f>
        <v/>
      </c>
      <c r="J705">
        <f>IF($F705=1,INDEX({10,12,13,14,15,16,17,18,19,20,21,23,24,25,26,27,28,29,30,31,32,34,35,36,37,38},1,FIND(MID($B705,4,1),"ABCDEFGHIJKLMNOPQRSTUVWXYZ")),"")</f>
        <v/>
      </c>
      <c r="K705">
        <f>IF($F705=1,FIND(MID($B705,5,1),"0123456789")-1,"")</f>
        <v/>
      </c>
      <c r="L705">
        <f>IF($F705=1,FIND(MID($B705,6,1),"0123456789")-1,"")</f>
        <v/>
      </c>
      <c r="M705">
        <f>IF($F705=1,FIND(MID($B705,7,1),"0123456789")-1,"")</f>
        <v/>
      </c>
      <c r="N705">
        <f>IF($F705=1,FIND(MID($B705,8,1),"0123456789")-1,"")</f>
        <v/>
      </c>
      <c r="O705">
        <f>IF($F705=1,FIND(MID($B705,9,1),"0123456789")-1,"")</f>
        <v/>
      </c>
      <c r="P705">
        <f>IF($F705=1,FIND(MID($B705,10,1),"0123456789")-1,"")</f>
        <v/>
      </c>
      <c r="Q705">
        <f>IF($F705=1,SUMPRODUCT($G705:$P705,{1,2,4,8,16,32,64,128,256,512}),"")</f>
        <v/>
      </c>
      <c r="R705">
        <f>IF($F705=1,MOD(MOD($Q705,11),10),"")</f>
        <v/>
      </c>
    </row>
    <row r="706">
      <c r="A706" s="6" t="n"/>
      <c r="B706" s="7">
        <f>IF($A706="","",UPPER(SUBSTITUTE(SUBSTITUTE(SUBSTITUTE(SUBSTITUTE(SUBSTITUTE(SUBSTITUTE($A706," ",""),"-",""),".",""),"/",""),"i","I"),"ı","?")))</f>
        <v/>
      </c>
      <c r="C706" s="8">
        <f>IF($F706=1,$R706,"")</f>
        <v/>
      </c>
      <c r="D706" s="7">
        <f>IF($A706="","",IF($F706=0,"Biçim hatalı",IF(FIND(MID($B706,11,1),"0123456789")-1=$R706,"Geçerli","Kontrol hanesi hatalı (doğrusu: "&amp;$R706&amp;")")))</f>
        <v/>
      </c>
      <c r="F706">
        <f>IF($A706="","",IF(AND(LEN($B706)=11,SUMPRODUCT(--ISNUMBER(FIND(MID($B706,{1,2,3},1),"ABCDEFGHIJKLMNOPQRSTUVWXYZ")))=3,ISNUMBER(FIND(MID($B706,4,1),"UJZ")),SUMPRODUCT(--ISNUMBER(FIND(MID($B706,{5,6,7,8,9,10,11},1),"0123456789")))=7),1,0))</f>
        <v/>
      </c>
      <c r="G706">
        <f>IF($F706=1,INDEX({10,12,13,14,15,16,17,18,19,20,21,23,24,25,26,27,28,29,30,31,32,34,35,36,37,38},1,FIND(MID($B706,1,1),"ABCDEFGHIJKLMNOPQRSTUVWXYZ")),"")</f>
        <v/>
      </c>
      <c r="H706">
        <f>IF($F706=1,INDEX({10,12,13,14,15,16,17,18,19,20,21,23,24,25,26,27,28,29,30,31,32,34,35,36,37,38},1,FIND(MID($B706,2,1),"ABCDEFGHIJKLMNOPQRSTUVWXYZ")),"")</f>
        <v/>
      </c>
      <c r="I706">
        <f>IF($F706=1,INDEX({10,12,13,14,15,16,17,18,19,20,21,23,24,25,26,27,28,29,30,31,32,34,35,36,37,38},1,FIND(MID($B706,3,1),"ABCDEFGHIJKLMNOPQRSTUVWXYZ")),"")</f>
        <v/>
      </c>
      <c r="J706">
        <f>IF($F706=1,INDEX({10,12,13,14,15,16,17,18,19,20,21,23,24,25,26,27,28,29,30,31,32,34,35,36,37,38},1,FIND(MID($B706,4,1),"ABCDEFGHIJKLMNOPQRSTUVWXYZ")),"")</f>
        <v/>
      </c>
      <c r="K706">
        <f>IF($F706=1,FIND(MID($B706,5,1),"0123456789")-1,"")</f>
        <v/>
      </c>
      <c r="L706">
        <f>IF($F706=1,FIND(MID($B706,6,1),"0123456789")-1,"")</f>
        <v/>
      </c>
      <c r="M706">
        <f>IF($F706=1,FIND(MID($B706,7,1),"0123456789")-1,"")</f>
        <v/>
      </c>
      <c r="N706">
        <f>IF($F706=1,FIND(MID($B706,8,1),"0123456789")-1,"")</f>
        <v/>
      </c>
      <c r="O706">
        <f>IF($F706=1,FIND(MID($B706,9,1),"0123456789")-1,"")</f>
        <v/>
      </c>
      <c r="P706">
        <f>IF($F706=1,FIND(MID($B706,10,1),"0123456789")-1,"")</f>
        <v/>
      </c>
      <c r="Q706">
        <f>IF($F706=1,SUMPRODUCT($G706:$P706,{1,2,4,8,16,32,64,128,256,512}),"")</f>
        <v/>
      </c>
      <c r="R706">
        <f>IF($F706=1,MOD(MOD($Q706,11),10),"")</f>
        <v/>
      </c>
    </row>
    <row r="707">
      <c r="A707" s="6" t="n"/>
      <c r="B707" s="7">
        <f>IF($A707="","",UPPER(SUBSTITUTE(SUBSTITUTE(SUBSTITUTE(SUBSTITUTE(SUBSTITUTE(SUBSTITUTE($A707," ",""),"-",""),".",""),"/",""),"i","I"),"ı","?")))</f>
        <v/>
      </c>
      <c r="C707" s="8">
        <f>IF($F707=1,$R707,"")</f>
        <v/>
      </c>
      <c r="D707" s="7">
        <f>IF($A707="","",IF($F707=0,"Biçim hatalı",IF(FIND(MID($B707,11,1),"0123456789")-1=$R707,"Geçerli","Kontrol hanesi hatalı (doğrusu: "&amp;$R707&amp;")")))</f>
        <v/>
      </c>
      <c r="F707">
        <f>IF($A707="","",IF(AND(LEN($B707)=11,SUMPRODUCT(--ISNUMBER(FIND(MID($B707,{1,2,3},1),"ABCDEFGHIJKLMNOPQRSTUVWXYZ")))=3,ISNUMBER(FIND(MID($B707,4,1),"UJZ")),SUMPRODUCT(--ISNUMBER(FIND(MID($B707,{5,6,7,8,9,10,11},1),"0123456789")))=7),1,0))</f>
        <v/>
      </c>
      <c r="G707">
        <f>IF($F707=1,INDEX({10,12,13,14,15,16,17,18,19,20,21,23,24,25,26,27,28,29,30,31,32,34,35,36,37,38},1,FIND(MID($B707,1,1),"ABCDEFGHIJKLMNOPQRSTUVWXYZ")),"")</f>
        <v/>
      </c>
      <c r="H707">
        <f>IF($F707=1,INDEX({10,12,13,14,15,16,17,18,19,20,21,23,24,25,26,27,28,29,30,31,32,34,35,36,37,38},1,FIND(MID($B707,2,1),"ABCDEFGHIJKLMNOPQRSTUVWXYZ")),"")</f>
        <v/>
      </c>
      <c r="I707">
        <f>IF($F707=1,INDEX({10,12,13,14,15,16,17,18,19,20,21,23,24,25,26,27,28,29,30,31,32,34,35,36,37,38},1,FIND(MID($B707,3,1),"ABCDEFGHIJKLMNOPQRSTUVWXYZ")),"")</f>
        <v/>
      </c>
      <c r="J707">
        <f>IF($F707=1,INDEX({10,12,13,14,15,16,17,18,19,20,21,23,24,25,26,27,28,29,30,31,32,34,35,36,37,38},1,FIND(MID($B707,4,1),"ABCDEFGHIJKLMNOPQRSTUVWXYZ")),"")</f>
        <v/>
      </c>
      <c r="K707">
        <f>IF($F707=1,FIND(MID($B707,5,1),"0123456789")-1,"")</f>
        <v/>
      </c>
      <c r="L707">
        <f>IF($F707=1,FIND(MID($B707,6,1),"0123456789")-1,"")</f>
        <v/>
      </c>
      <c r="M707">
        <f>IF($F707=1,FIND(MID($B707,7,1),"0123456789")-1,"")</f>
        <v/>
      </c>
      <c r="N707">
        <f>IF($F707=1,FIND(MID($B707,8,1),"0123456789")-1,"")</f>
        <v/>
      </c>
      <c r="O707">
        <f>IF($F707=1,FIND(MID($B707,9,1),"0123456789")-1,"")</f>
        <v/>
      </c>
      <c r="P707">
        <f>IF($F707=1,FIND(MID($B707,10,1),"0123456789")-1,"")</f>
        <v/>
      </c>
      <c r="Q707">
        <f>IF($F707=1,SUMPRODUCT($G707:$P707,{1,2,4,8,16,32,64,128,256,512}),"")</f>
        <v/>
      </c>
      <c r="R707">
        <f>IF($F707=1,MOD(MOD($Q707,11),10),"")</f>
        <v/>
      </c>
    </row>
    <row r="708">
      <c r="A708" s="6" t="n"/>
      <c r="B708" s="7">
        <f>IF($A708="","",UPPER(SUBSTITUTE(SUBSTITUTE(SUBSTITUTE(SUBSTITUTE(SUBSTITUTE(SUBSTITUTE($A708," ",""),"-",""),".",""),"/",""),"i","I"),"ı","?")))</f>
        <v/>
      </c>
      <c r="C708" s="8">
        <f>IF($F708=1,$R708,"")</f>
        <v/>
      </c>
      <c r="D708" s="7">
        <f>IF($A708="","",IF($F708=0,"Biçim hatalı",IF(FIND(MID($B708,11,1),"0123456789")-1=$R708,"Geçerli","Kontrol hanesi hatalı (doğrusu: "&amp;$R708&amp;")")))</f>
        <v/>
      </c>
      <c r="F708">
        <f>IF($A708="","",IF(AND(LEN($B708)=11,SUMPRODUCT(--ISNUMBER(FIND(MID($B708,{1,2,3},1),"ABCDEFGHIJKLMNOPQRSTUVWXYZ")))=3,ISNUMBER(FIND(MID($B708,4,1),"UJZ")),SUMPRODUCT(--ISNUMBER(FIND(MID($B708,{5,6,7,8,9,10,11},1),"0123456789")))=7),1,0))</f>
        <v/>
      </c>
      <c r="G708">
        <f>IF($F708=1,INDEX({10,12,13,14,15,16,17,18,19,20,21,23,24,25,26,27,28,29,30,31,32,34,35,36,37,38},1,FIND(MID($B708,1,1),"ABCDEFGHIJKLMNOPQRSTUVWXYZ")),"")</f>
        <v/>
      </c>
      <c r="H708">
        <f>IF($F708=1,INDEX({10,12,13,14,15,16,17,18,19,20,21,23,24,25,26,27,28,29,30,31,32,34,35,36,37,38},1,FIND(MID($B708,2,1),"ABCDEFGHIJKLMNOPQRSTUVWXYZ")),"")</f>
        <v/>
      </c>
      <c r="I708">
        <f>IF($F708=1,INDEX({10,12,13,14,15,16,17,18,19,20,21,23,24,25,26,27,28,29,30,31,32,34,35,36,37,38},1,FIND(MID($B708,3,1),"ABCDEFGHIJKLMNOPQRSTUVWXYZ")),"")</f>
        <v/>
      </c>
      <c r="J708">
        <f>IF($F708=1,INDEX({10,12,13,14,15,16,17,18,19,20,21,23,24,25,26,27,28,29,30,31,32,34,35,36,37,38},1,FIND(MID($B708,4,1),"ABCDEFGHIJKLMNOPQRSTUVWXYZ")),"")</f>
        <v/>
      </c>
      <c r="K708">
        <f>IF($F708=1,FIND(MID($B708,5,1),"0123456789")-1,"")</f>
        <v/>
      </c>
      <c r="L708">
        <f>IF($F708=1,FIND(MID($B708,6,1),"0123456789")-1,"")</f>
        <v/>
      </c>
      <c r="M708">
        <f>IF($F708=1,FIND(MID($B708,7,1),"0123456789")-1,"")</f>
        <v/>
      </c>
      <c r="N708">
        <f>IF($F708=1,FIND(MID($B708,8,1),"0123456789")-1,"")</f>
        <v/>
      </c>
      <c r="O708">
        <f>IF($F708=1,FIND(MID($B708,9,1),"0123456789")-1,"")</f>
        <v/>
      </c>
      <c r="P708">
        <f>IF($F708=1,FIND(MID($B708,10,1),"0123456789")-1,"")</f>
        <v/>
      </c>
      <c r="Q708">
        <f>IF($F708=1,SUMPRODUCT($G708:$P708,{1,2,4,8,16,32,64,128,256,512}),"")</f>
        <v/>
      </c>
      <c r="R708">
        <f>IF($F708=1,MOD(MOD($Q708,11),10),"")</f>
        <v/>
      </c>
    </row>
    <row r="709">
      <c r="A709" s="6" t="n"/>
      <c r="B709" s="7">
        <f>IF($A709="","",UPPER(SUBSTITUTE(SUBSTITUTE(SUBSTITUTE(SUBSTITUTE(SUBSTITUTE(SUBSTITUTE($A709," ",""),"-",""),".",""),"/",""),"i","I"),"ı","?")))</f>
        <v/>
      </c>
      <c r="C709" s="8">
        <f>IF($F709=1,$R709,"")</f>
        <v/>
      </c>
      <c r="D709" s="7">
        <f>IF($A709="","",IF($F709=0,"Biçim hatalı",IF(FIND(MID($B709,11,1),"0123456789")-1=$R709,"Geçerli","Kontrol hanesi hatalı (doğrusu: "&amp;$R709&amp;")")))</f>
        <v/>
      </c>
      <c r="F709">
        <f>IF($A709="","",IF(AND(LEN($B709)=11,SUMPRODUCT(--ISNUMBER(FIND(MID($B709,{1,2,3},1),"ABCDEFGHIJKLMNOPQRSTUVWXYZ")))=3,ISNUMBER(FIND(MID($B709,4,1),"UJZ")),SUMPRODUCT(--ISNUMBER(FIND(MID($B709,{5,6,7,8,9,10,11},1),"0123456789")))=7),1,0))</f>
        <v/>
      </c>
      <c r="G709">
        <f>IF($F709=1,INDEX({10,12,13,14,15,16,17,18,19,20,21,23,24,25,26,27,28,29,30,31,32,34,35,36,37,38},1,FIND(MID($B709,1,1),"ABCDEFGHIJKLMNOPQRSTUVWXYZ")),"")</f>
        <v/>
      </c>
      <c r="H709">
        <f>IF($F709=1,INDEX({10,12,13,14,15,16,17,18,19,20,21,23,24,25,26,27,28,29,30,31,32,34,35,36,37,38},1,FIND(MID($B709,2,1),"ABCDEFGHIJKLMNOPQRSTUVWXYZ")),"")</f>
        <v/>
      </c>
      <c r="I709">
        <f>IF($F709=1,INDEX({10,12,13,14,15,16,17,18,19,20,21,23,24,25,26,27,28,29,30,31,32,34,35,36,37,38},1,FIND(MID($B709,3,1),"ABCDEFGHIJKLMNOPQRSTUVWXYZ")),"")</f>
        <v/>
      </c>
      <c r="J709">
        <f>IF($F709=1,INDEX({10,12,13,14,15,16,17,18,19,20,21,23,24,25,26,27,28,29,30,31,32,34,35,36,37,38},1,FIND(MID($B709,4,1),"ABCDEFGHIJKLMNOPQRSTUVWXYZ")),"")</f>
        <v/>
      </c>
      <c r="K709">
        <f>IF($F709=1,FIND(MID($B709,5,1),"0123456789")-1,"")</f>
        <v/>
      </c>
      <c r="L709">
        <f>IF($F709=1,FIND(MID($B709,6,1),"0123456789")-1,"")</f>
        <v/>
      </c>
      <c r="M709">
        <f>IF($F709=1,FIND(MID($B709,7,1),"0123456789")-1,"")</f>
        <v/>
      </c>
      <c r="N709">
        <f>IF($F709=1,FIND(MID($B709,8,1),"0123456789")-1,"")</f>
        <v/>
      </c>
      <c r="O709">
        <f>IF($F709=1,FIND(MID($B709,9,1),"0123456789")-1,"")</f>
        <v/>
      </c>
      <c r="P709">
        <f>IF($F709=1,FIND(MID($B709,10,1),"0123456789")-1,"")</f>
        <v/>
      </c>
      <c r="Q709">
        <f>IF($F709=1,SUMPRODUCT($G709:$P709,{1,2,4,8,16,32,64,128,256,512}),"")</f>
        <v/>
      </c>
      <c r="R709">
        <f>IF($F709=1,MOD(MOD($Q709,11),10),"")</f>
        <v/>
      </c>
    </row>
    <row r="710">
      <c r="A710" s="6" t="n"/>
      <c r="B710" s="7">
        <f>IF($A710="","",UPPER(SUBSTITUTE(SUBSTITUTE(SUBSTITUTE(SUBSTITUTE(SUBSTITUTE(SUBSTITUTE($A710," ",""),"-",""),".",""),"/",""),"i","I"),"ı","?")))</f>
        <v/>
      </c>
      <c r="C710" s="8">
        <f>IF($F710=1,$R710,"")</f>
        <v/>
      </c>
      <c r="D710" s="7">
        <f>IF($A710="","",IF($F710=0,"Biçim hatalı",IF(FIND(MID($B710,11,1),"0123456789")-1=$R710,"Geçerli","Kontrol hanesi hatalı (doğrusu: "&amp;$R710&amp;")")))</f>
        <v/>
      </c>
      <c r="F710">
        <f>IF($A710="","",IF(AND(LEN($B710)=11,SUMPRODUCT(--ISNUMBER(FIND(MID($B710,{1,2,3},1),"ABCDEFGHIJKLMNOPQRSTUVWXYZ")))=3,ISNUMBER(FIND(MID($B710,4,1),"UJZ")),SUMPRODUCT(--ISNUMBER(FIND(MID($B710,{5,6,7,8,9,10,11},1),"0123456789")))=7),1,0))</f>
        <v/>
      </c>
      <c r="G710">
        <f>IF($F710=1,INDEX({10,12,13,14,15,16,17,18,19,20,21,23,24,25,26,27,28,29,30,31,32,34,35,36,37,38},1,FIND(MID($B710,1,1),"ABCDEFGHIJKLMNOPQRSTUVWXYZ")),"")</f>
        <v/>
      </c>
      <c r="H710">
        <f>IF($F710=1,INDEX({10,12,13,14,15,16,17,18,19,20,21,23,24,25,26,27,28,29,30,31,32,34,35,36,37,38},1,FIND(MID($B710,2,1),"ABCDEFGHIJKLMNOPQRSTUVWXYZ")),"")</f>
        <v/>
      </c>
      <c r="I710">
        <f>IF($F710=1,INDEX({10,12,13,14,15,16,17,18,19,20,21,23,24,25,26,27,28,29,30,31,32,34,35,36,37,38},1,FIND(MID($B710,3,1),"ABCDEFGHIJKLMNOPQRSTUVWXYZ")),"")</f>
        <v/>
      </c>
      <c r="J710">
        <f>IF($F710=1,INDEX({10,12,13,14,15,16,17,18,19,20,21,23,24,25,26,27,28,29,30,31,32,34,35,36,37,38},1,FIND(MID($B710,4,1),"ABCDEFGHIJKLMNOPQRSTUVWXYZ")),"")</f>
        <v/>
      </c>
      <c r="K710">
        <f>IF($F710=1,FIND(MID($B710,5,1),"0123456789")-1,"")</f>
        <v/>
      </c>
      <c r="L710">
        <f>IF($F710=1,FIND(MID($B710,6,1),"0123456789")-1,"")</f>
        <v/>
      </c>
      <c r="M710">
        <f>IF($F710=1,FIND(MID($B710,7,1),"0123456789")-1,"")</f>
        <v/>
      </c>
      <c r="N710">
        <f>IF($F710=1,FIND(MID($B710,8,1),"0123456789")-1,"")</f>
        <v/>
      </c>
      <c r="O710">
        <f>IF($F710=1,FIND(MID($B710,9,1),"0123456789")-1,"")</f>
        <v/>
      </c>
      <c r="P710">
        <f>IF($F710=1,FIND(MID($B710,10,1),"0123456789")-1,"")</f>
        <v/>
      </c>
      <c r="Q710">
        <f>IF($F710=1,SUMPRODUCT($G710:$P710,{1,2,4,8,16,32,64,128,256,512}),"")</f>
        <v/>
      </c>
      <c r="R710">
        <f>IF($F710=1,MOD(MOD($Q710,11),10),"")</f>
        <v/>
      </c>
    </row>
    <row r="711">
      <c r="A711" s="6" t="n"/>
      <c r="B711" s="7">
        <f>IF($A711="","",UPPER(SUBSTITUTE(SUBSTITUTE(SUBSTITUTE(SUBSTITUTE(SUBSTITUTE(SUBSTITUTE($A711," ",""),"-",""),".",""),"/",""),"i","I"),"ı","?")))</f>
        <v/>
      </c>
      <c r="C711" s="8">
        <f>IF($F711=1,$R711,"")</f>
        <v/>
      </c>
      <c r="D711" s="7">
        <f>IF($A711="","",IF($F711=0,"Biçim hatalı",IF(FIND(MID($B711,11,1),"0123456789")-1=$R711,"Geçerli","Kontrol hanesi hatalı (doğrusu: "&amp;$R711&amp;")")))</f>
        <v/>
      </c>
      <c r="F711">
        <f>IF($A711="","",IF(AND(LEN($B711)=11,SUMPRODUCT(--ISNUMBER(FIND(MID($B711,{1,2,3},1),"ABCDEFGHIJKLMNOPQRSTUVWXYZ")))=3,ISNUMBER(FIND(MID($B711,4,1),"UJZ")),SUMPRODUCT(--ISNUMBER(FIND(MID($B711,{5,6,7,8,9,10,11},1),"0123456789")))=7),1,0))</f>
        <v/>
      </c>
      <c r="G711">
        <f>IF($F711=1,INDEX({10,12,13,14,15,16,17,18,19,20,21,23,24,25,26,27,28,29,30,31,32,34,35,36,37,38},1,FIND(MID($B711,1,1),"ABCDEFGHIJKLMNOPQRSTUVWXYZ")),"")</f>
        <v/>
      </c>
      <c r="H711">
        <f>IF($F711=1,INDEX({10,12,13,14,15,16,17,18,19,20,21,23,24,25,26,27,28,29,30,31,32,34,35,36,37,38},1,FIND(MID($B711,2,1),"ABCDEFGHIJKLMNOPQRSTUVWXYZ")),"")</f>
        <v/>
      </c>
      <c r="I711">
        <f>IF($F711=1,INDEX({10,12,13,14,15,16,17,18,19,20,21,23,24,25,26,27,28,29,30,31,32,34,35,36,37,38},1,FIND(MID($B711,3,1),"ABCDEFGHIJKLMNOPQRSTUVWXYZ")),"")</f>
        <v/>
      </c>
      <c r="J711">
        <f>IF($F711=1,INDEX({10,12,13,14,15,16,17,18,19,20,21,23,24,25,26,27,28,29,30,31,32,34,35,36,37,38},1,FIND(MID($B711,4,1),"ABCDEFGHIJKLMNOPQRSTUVWXYZ")),"")</f>
        <v/>
      </c>
      <c r="K711">
        <f>IF($F711=1,FIND(MID($B711,5,1),"0123456789")-1,"")</f>
        <v/>
      </c>
      <c r="L711">
        <f>IF($F711=1,FIND(MID($B711,6,1),"0123456789")-1,"")</f>
        <v/>
      </c>
      <c r="M711">
        <f>IF($F711=1,FIND(MID($B711,7,1),"0123456789")-1,"")</f>
        <v/>
      </c>
      <c r="N711">
        <f>IF($F711=1,FIND(MID($B711,8,1),"0123456789")-1,"")</f>
        <v/>
      </c>
      <c r="O711">
        <f>IF($F711=1,FIND(MID($B711,9,1),"0123456789")-1,"")</f>
        <v/>
      </c>
      <c r="P711">
        <f>IF($F711=1,FIND(MID($B711,10,1),"0123456789")-1,"")</f>
        <v/>
      </c>
      <c r="Q711">
        <f>IF($F711=1,SUMPRODUCT($G711:$P711,{1,2,4,8,16,32,64,128,256,512}),"")</f>
        <v/>
      </c>
      <c r="R711">
        <f>IF($F711=1,MOD(MOD($Q711,11),10),"")</f>
        <v/>
      </c>
    </row>
    <row r="712">
      <c r="A712" s="6" t="n"/>
      <c r="B712" s="7">
        <f>IF($A712="","",UPPER(SUBSTITUTE(SUBSTITUTE(SUBSTITUTE(SUBSTITUTE(SUBSTITUTE(SUBSTITUTE($A712," ",""),"-",""),".",""),"/",""),"i","I"),"ı","?")))</f>
        <v/>
      </c>
      <c r="C712" s="8">
        <f>IF($F712=1,$R712,"")</f>
        <v/>
      </c>
      <c r="D712" s="7">
        <f>IF($A712="","",IF($F712=0,"Biçim hatalı",IF(FIND(MID($B712,11,1),"0123456789")-1=$R712,"Geçerli","Kontrol hanesi hatalı (doğrusu: "&amp;$R712&amp;")")))</f>
        <v/>
      </c>
      <c r="F712">
        <f>IF($A712="","",IF(AND(LEN($B712)=11,SUMPRODUCT(--ISNUMBER(FIND(MID($B712,{1,2,3},1),"ABCDEFGHIJKLMNOPQRSTUVWXYZ")))=3,ISNUMBER(FIND(MID($B712,4,1),"UJZ")),SUMPRODUCT(--ISNUMBER(FIND(MID($B712,{5,6,7,8,9,10,11},1),"0123456789")))=7),1,0))</f>
        <v/>
      </c>
      <c r="G712">
        <f>IF($F712=1,INDEX({10,12,13,14,15,16,17,18,19,20,21,23,24,25,26,27,28,29,30,31,32,34,35,36,37,38},1,FIND(MID($B712,1,1),"ABCDEFGHIJKLMNOPQRSTUVWXYZ")),"")</f>
        <v/>
      </c>
      <c r="H712">
        <f>IF($F712=1,INDEX({10,12,13,14,15,16,17,18,19,20,21,23,24,25,26,27,28,29,30,31,32,34,35,36,37,38},1,FIND(MID($B712,2,1),"ABCDEFGHIJKLMNOPQRSTUVWXYZ")),"")</f>
        <v/>
      </c>
      <c r="I712">
        <f>IF($F712=1,INDEX({10,12,13,14,15,16,17,18,19,20,21,23,24,25,26,27,28,29,30,31,32,34,35,36,37,38},1,FIND(MID($B712,3,1),"ABCDEFGHIJKLMNOPQRSTUVWXYZ")),"")</f>
        <v/>
      </c>
      <c r="J712">
        <f>IF($F712=1,INDEX({10,12,13,14,15,16,17,18,19,20,21,23,24,25,26,27,28,29,30,31,32,34,35,36,37,38},1,FIND(MID($B712,4,1),"ABCDEFGHIJKLMNOPQRSTUVWXYZ")),"")</f>
        <v/>
      </c>
      <c r="K712">
        <f>IF($F712=1,FIND(MID($B712,5,1),"0123456789")-1,"")</f>
        <v/>
      </c>
      <c r="L712">
        <f>IF($F712=1,FIND(MID($B712,6,1),"0123456789")-1,"")</f>
        <v/>
      </c>
      <c r="M712">
        <f>IF($F712=1,FIND(MID($B712,7,1),"0123456789")-1,"")</f>
        <v/>
      </c>
      <c r="N712">
        <f>IF($F712=1,FIND(MID($B712,8,1),"0123456789")-1,"")</f>
        <v/>
      </c>
      <c r="O712">
        <f>IF($F712=1,FIND(MID($B712,9,1),"0123456789")-1,"")</f>
        <v/>
      </c>
      <c r="P712">
        <f>IF($F712=1,FIND(MID($B712,10,1),"0123456789")-1,"")</f>
        <v/>
      </c>
      <c r="Q712">
        <f>IF($F712=1,SUMPRODUCT($G712:$P712,{1,2,4,8,16,32,64,128,256,512}),"")</f>
        <v/>
      </c>
      <c r="R712">
        <f>IF($F712=1,MOD(MOD($Q712,11),10),"")</f>
        <v/>
      </c>
    </row>
    <row r="713">
      <c r="A713" s="6" t="n"/>
      <c r="B713" s="7">
        <f>IF($A713="","",UPPER(SUBSTITUTE(SUBSTITUTE(SUBSTITUTE(SUBSTITUTE(SUBSTITUTE(SUBSTITUTE($A713," ",""),"-",""),".",""),"/",""),"i","I"),"ı","?")))</f>
        <v/>
      </c>
      <c r="C713" s="8">
        <f>IF($F713=1,$R713,"")</f>
        <v/>
      </c>
      <c r="D713" s="7">
        <f>IF($A713="","",IF($F713=0,"Biçim hatalı",IF(FIND(MID($B713,11,1),"0123456789")-1=$R713,"Geçerli","Kontrol hanesi hatalı (doğrusu: "&amp;$R713&amp;")")))</f>
        <v/>
      </c>
      <c r="F713">
        <f>IF($A713="","",IF(AND(LEN($B713)=11,SUMPRODUCT(--ISNUMBER(FIND(MID($B713,{1,2,3},1),"ABCDEFGHIJKLMNOPQRSTUVWXYZ")))=3,ISNUMBER(FIND(MID($B713,4,1),"UJZ")),SUMPRODUCT(--ISNUMBER(FIND(MID($B713,{5,6,7,8,9,10,11},1),"0123456789")))=7),1,0))</f>
        <v/>
      </c>
      <c r="G713">
        <f>IF($F713=1,INDEX({10,12,13,14,15,16,17,18,19,20,21,23,24,25,26,27,28,29,30,31,32,34,35,36,37,38},1,FIND(MID($B713,1,1),"ABCDEFGHIJKLMNOPQRSTUVWXYZ")),"")</f>
        <v/>
      </c>
      <c r="H713">
        <f>IF($F713=1,INDEX({10,12,13,14,15,16,17,18,19,20,21,23,24,25,26,27,28,29,30,31,32,34,35,36,37,38},1,FIND(MID($B713,2,1),"ABCDEFGHIJKLMNOPQRSTUVWXYZ")),"")</f>
        <v/>
      </c>
      <c r="I713">
        <f>IF($F713=1,INDEX({10,12,13,14,15,16,17,18,19,20,21,23,24,25,26,27,28,29,30,31,32,34,35,36,37,38},1,FIND(MID($B713,3,1),"ABCDEFGHIJKLMNOPQRSTUVWXYZ")),"")</f>
        <v/>
      </c>
      <c r="J713">
        <f>IF($F713=1,INDEX({10,12,13,14,15,16,17,18,19,20,21,23,24,25,26,27,28,29,30,31,32,34,35,36,37,38},1,FIND(MID($B713,4,1),"ABCDEFGHIJKLMNOPQRSTUVWXYZ")),"")</f>
        <v/>
      </c>
      <c r="K713">
        <f>IF($F713=1,FIND(MID($B713,5,1),"0123456789")-1,"")</f>
        <v/>
      </c>
      <c r="L713">
        <f>IF($F713=1,FIND(MID($B713,6,1),"0123456789")-1,"")</f>
        <v/>
      </c>
      <c r="M713">
        <f>IF($F713=1,FIND(MID($B713,7,1),"0123456789")-1,"")</f>
        <v/>
      </c>
      <c r="N713">
        <f>IF($F713=1,FIND(MID($B713,8,1),"0123456789")-1,"")</f>
        <v/>
      </c>
      <c r="O713">
        <f>IF($F713=1,FIND(MID($B713,9,1),"0123456789")-1,"")</f>
        <v/>
      </c>
      <c r="P713">
        <f>IF($F713=1,FIND(MID($B713,10,1),"0123456789")-1,"")</f>
        <v/>
      </c>
      <c r="Q713">
        <f>IF($F713=1,SUMPRODUCT($G713:$P713,{1,2,4,8,16,32,64,128,256,512}),"")</f>
        <v/>
      </c>
      <c r="R713">
        <f>IF($F713=1,MOD(MOD($Q713,11),10),"")</f>
        <v/>
      </c>
    </row>
    <row r="714">
      <c r="A714" s="6" t="n"/>
      <c r="B714" s="7">
        <f>IF($A714="","",UPPER(SUBSTITUTE(SUBSTITUTE(SUBSTITUTE(SUBSTITUTE(SUBSTITUTE(SUBSTITUTE($A714," ",""),"-",""),".",""),"/",""),"i","I"),"ı","?")))</f>
        <v/>
      </c>
      <c r="C714" s="8">
        <f>IF($F714=1,$R714,"")</f>
        <v/>
      </c>
      <c r="D714" s="7">
        <f>IF($A714="","",IF($F714=0,"Biçim hatalı",IF(FIND(MID($B714,11,1),"0123456789")-1=$R714,"Geçerli","Kontrol hanesi hatalı (doğrusu: "&amp;$R714&amp;")")))</f>
        <v/>
      </c>
      <c r="F714">
        <f>IF($A714="","",IF(AND(LEN($B714)=11,SUMPRODUCT(--ISNUMBER(FIND(MID($B714,{1,2,3},1),"ABCDEFGHIJKLMNOPQRSTUVWXYZ")))=3,ISNUMBER(FIND(MID($B714,4,1),"UJZ")),SUMPRODUCT(--ISNUMBER(FIND(MID($B714,{5,6,7,8,9,10,11},1),"0123456789")))=7),1,0))</f>
        <v/>
      </c>
      <c r="G714">
        <f>IF($F714=1,INDEX({10,12,13,14,15,16,17,18,19,20,21,23,24,25,26,27,28,29,30,31,32,34,35,36,37,38},1,FIND(MID($B714,1,1),"ABCDEFGHIJKLMNOPQRSTUVWXYZ")),"")</f>
        <v/>
      </c>
      <c r="H714">
        <f>IF($F714=1,INDEX({10,12,13,14,15,16,17,18,19,20,21,23,24,25,26,27,28,29,30,31,32,34,35,36,37,38},1,FIND(MID($B714,2,1),"ABCDEFGHIJKLMNOPQRSTUVWXYZ")),"")</f>
        <v/>
      </c>
      <c r="I714">
        <f>IF($F714=1,INDEX({10,12,13,14,15,16,17,18,19,20,21,23,24,25,26,27,28,29,30,31,32,34,35,36,37,38},1,FIND(MID($B714,3,1),"ABCDEFGHIJKLMNOPQRSTUVWXYZ")),"")</f>
        <v/>
      </c>
      <c r="J714">
        <f>IF($F714=1,INDEX({10,12,13,14,15,16,17,18,19,20,21,23,24,25,26,27,28,29,30,31,32,34,35,36,37,38},1,FIND(MID($B714,4,1),"ABCDEFGHIJKLMNOPQRSTUVWXYZ")),"")</f>
        <v/>
      </c>
      <c r="K714">
        <f>IF($F714=1,FIND(MID($B714,5,1),"0123456789")-1,"")</f>
        <v/>
      </c>
      <c r="L714">
        <f>IF($F714=1,FIND(MID($B714,6,1),"0123456789")-1,"")</f>
        <v/>
      </c>
      <c r="M714">
        <f>IF($F714=1,FIND(MID($B714,7,1),"0123456789")-1,"")</f>
        <v/>
      </c>
      <c r="N714">
        <f>IF($F714=1,FIND(MID($B714,8,1),"0123456789")-1,"")</f>
        <v/>
      </c>
      <c r="O714">
        <f>IF($F714=1,FIND(MID($B714,9,1),"0123456789")-1,"")</f>
        <v/>
      </c>
      <c r="P714">
        <f>IF($F714=1,FIND(MID($B714,10,1),"0123456789")-1,"")</f>
        <v/>
      </c>
      <c r="Q714">
        <f>IF($F714=1,SUMPRODUCT($G714:$P714,{1,2,4,8,16,32,64,128,256,512}),"")</f>
        <v/>
      </c>
      <c r="R714">
        <f>IF($F714=1,MOD(MOD($Q714,11),10),"")</f>
        <v/>
      </c>
    </row>
    <row r="715">
      <c r="A715" s="6" t="n"/>
      <c r="B715" s="7">
        <f>IF($A715="","",UPPER(SUBSTITUTE(SUBSTITUTE(SUBSTITUTE(SUBSTITUTE(SUBSTITUTE(SUBSTITUTE($A715," ",""),"-",""),".",""),"/",""),"i","I"),"ı","?")))</f>
        <v/>
      </c>
      <c r="C715" s="8">
        <f>IF($F715=1,$R715,"")</f>
        <v/>
      </c>
      <c r="D715" s="7">
        <f>IF($A715="","",IF($F715=0,"Biçim hatalı",IF(FIND(MID($B715,11,1),"0123456789")-1=$R715,"Geçerli","Kontrol hanesi hatalı (doğrusu: "&amp;$R715&amp;")")))</f>
        <v/>
      </c>
      <c r="F715">
        <f>IF($A715="","",IF(AND(LEN($B715)=11,SUMPRODUCT(--ISNUMBER(FIND(MID($B715,{1,2,3},1),"ABCDEFGHIJKLMNOPQRSTUVWXYZ")))=3,ISNUMBER(FIND(MID($B715,4,1),"UJZ")),SUMPRODUCT(--ISNUMBER(FIND(MID($B715,{5,6,7,8,9,10,11},1),"0123456789")))=7),1,0))</f>
        <v/>
      </c>
      <c r="G715">
        <f>IF($F715=1,INDEX({10,12,13,14,15,16,17,18,19,20,21,23,24,25,26,27,28,29,30,31,32,34,35,36,37,38},1,FIND(MID($B715,1,1),"ABCDEFGHIJKLMNOPQRSTUVWXYZ")),"")</f>
        <v/>
      </c>
      <c r="H715">
        <f>IF($F715=1,INDEX({10,12,13,14,15,16,17,18,19,20,21,23,24,25,26,27,28,29,30,31,32,34,35,36,37,38},1,FIND(MID($B715,2,1),"ABCDEFGHIJKLMNOPQRSTUVWXYZ")),"")</f>
        <v/>
      </c>
      <c r="I715">
        <f>IF($F715=1,INDEX({10,12,13,14,15,16,17,18,19,20,21,23,24,25,26,27,28,29,30,31,32,34,35,36,37,38},1,FIND(MID($B715,3,1),"ABCDEFGHIJKLMNOPQRSTUVWXYZ")),"")</f>
        <v/>
      </c>
      <c r="J715">
        <f>IF($F715=1,INDEX({10,12,13,14,15,16,17,18,19,20,21,23,24,25,26,27,28,29,30,31,32,34,35,36,37,38},1,FIND(MID($B715,4,1),"ABCDEFGHIJKLMNOPQRSTUVWXYZ")),"")</f>
        <v/>
      </c>
      <c r="K715">
        <f>IF($F715=1,FIND(MID($B715,5,1),"0123456789")-1,"")</f>
        <v/>
      </c>
      <c r="L715">
        <f>IF($F715=1,FIND(MID($B715,6,1),"0123456789")-1,"")</f>
        <v/>
      </c>
      <c r="M715">
        <f>IF($F715=1,FIND(MID($B715,7,1),"0123456789")-1,"")</f>
        <v/>
      </c>
      <c r="N715">
        <f>IF($F715=1,FIND(MID($B715,8,1),"0123456789")-1,"")</f>
        <v/>
      </c>
      <c r="O715">
        <f>IF($F715=1,FIND(MID($B715,9,1),"0123456789")-1,"")</f>
        <v/>
      </c>
      <c r="P715">
        <f>IF($F715=1,FIND(MID($B715,10,1),"0123456789")-1,"")</f>
        <v/>
      </c>
      <c r="Q715">
        <f>IF($F715=1,SUMPRODUCT($G715:$P715,{1,2,4,8,16,32,64,128,256,512}),"")</f>
        <v/>
      </c>
      <c r="R715">
        <f>IF($F715=1,MOD(MOD($Q715,11),10),"")</f>
        <v/>
      </c>
    </row>
    <row r="716">
      <c r="A716" s="6" t="n"/>
      <c r="B716" s="7">
        <f>IF($A716="","",UPPER(SUBSTITUTE(SUBSTITUTE(SUBSTITUTE(SUBSTITUTE(SUBSTITUTE(SUBSTITUTE($A716," ",""),"-",""),".",""),"/",""),"i","I"),"ı","?")))</f>
        <v/>
      </c>
      <c r="C716" s="8">
        <f>IF($F716=1,$R716,"")</f>
        <v/>
      </c>
      <c r="D716" s="7">
        <f>IF($A716="","",IF($F716=0,"Biçim hatalı",IF(FIND(MID($B716,11,1),"0123456789")-1=$R716,"Geçerli","Kontrol hanesi hatalı (doğrusu: "&amp;$R716&amp;")")))</f>
        <v/>
      </c>
      <c r="F716">
        <f>IF($A716="","",IF(AND(LEN($B716)=11,SUMPRODUCT(--ISNUMBER(FIND(MID($B716,{1,2,3},1),"ABCDEFGHIJKLMNOPQRSTUVWXYZ")))=3,ISNUMBER(FIND(MID($B716,4,1),"UJZ")),SUMPRODUCT(--ISNUMBER(FIND(MID($B716,{5,6,7,8,9,10,11},1),"0123456789")))=7),1,0))</f>
        <v/>
      </c>
      <c r="G716">
        <f>IF($F716=1,INDEX({10,12,13,14,15,16,17,18,19,20,21,23,24,25,26,27,28,29,30,31,32,34,35,36,37,38},1,FIND(MID($B716,1,1),"ABCDEFGHIJKLMNOPQRSTUVWXYZ")),"")</f>
        <v/>
      </c>
      <c r="H716">
        <f>IF($F716=1,INDEX({10,12,13,14,15,16,17,18,19,20,21,23,24,25,26,27,28,29,30,31,32,34,35,36,37,38},1,FIND(MID($B716,2,1),"ABCDEFGHIJKLMNOPQRSTUVWXYZ")),"")</f>
        <v/>
      </c>
      <c r="I716">
        <f>IF($F716=1,INDEX({10,12,13,14,15,16,17,18,19,20,21,23,24,25,26,27,28,29,30,31,32,34,35,36,37,38},1,FIND(MID($B716,3,1),"ABCDEFGHIJKLMNOPQRSTUVWXYZ")),"")</f>
        <v/>
      </c>
      <c r="J716">
        <f>IF($F716=1,INDEX({10,12,13,14,15,16,17,18,19,20,21,23,24,25,26,27,28,29,30,31,32,34,35,36,37,38},1,FIND(MID($B716,4,1),"ABCDEFGHIJKLMNOPQRSTUVWXYZ")),"")</f>
        <v/>
      </c>
      <c r="K716">
        <f>IF($F716=1,FIND(MID($B716,5,1),"0123456789")-1,"")</f>
        <v/>
      </c>
      <c r="L716">
        <f>IF($F716=1,FIND(MID($B716,6,1),"0123456789")-1,"")</f>
        <v/>
      </c>
      <c r="M716">
        <f>IF($F716=1,FIND(MID($B716,7,1),"0123456789")-1,"")</f>
        <v/>
      </c>
      <c r="N716">
        <f>IF($F716=1,FIND(MID($B716,8,1),"0123456789")-1,"")</f>
        <v/>
      </c>
      <c r="O716">
        <f>IF($F716=1,FIND(MID($B716,9,1),"0123456789")-1,"")</f>
        <v/>
      </c>
      <c r="P716">
        <f>IF($F716=1,FIND(MID($B716,10,1),"0123456789")-1,"")</f>
        <v/>
      </c>
      <c r="Q716">
        <f>IF($F716=1,SUMPRODUCT($G716:$P716,{1,2,4,8,16,32,64,128,256,512}),"")</f>
        <v/>
      </c>
      <c r="R716">
        <f>IF($F716=1,MOD(MOD($Q716,11),10),"")</f>
        <v/>
      </c>
    </row>
    <row r="717">
      <c r="A717" s="6" t="n"/>
      <c r="B717" s="7">
        <f>IF($A717="","",UPPER(SUBSTITUTE(SUBSTITUTE(SUBSTITUTE(SUBSTITUTE(SUBSTITUTE(SUBSTITUTE($A717," ",""),"-",""),".",""),"/",""),"i","I"),"ı","?")))</f>
        <v/>
      </c>
      <c r="C717" s="8">
        <f>IF($F717=1,$R717,"")</f>
        <v/>
      </c>
      <c r="D717" s="7">
        <f>IF($A717="","",IF($F717=0,"Biçim hatalı",IF(FIND(MID($B717,11,1),"0123456789")-1=$R717,"Geçerli","Kontrol hanesi hatalı (doğrusu: "&amp;$R717&amp;")")))</f>
        <v/>
      </c>
      <c r="F717">
        <f>IF($A717="","",IF(AND(LEN($B717)=11,SUMPRODUCT(--ISNUMBER(FIND(MID($B717,{1,2,3},1),"ABCDEFGHIJKLMNOPQRSTUVWXYZ")))=3,ISNUMBER(FIND(MID($B717,4,1),"UJZ")),SUMPRODUCT(--ISNUMBER(FIND(MID($B717,{5,6,7,8,9,10,11},1),"0123456789")))=7),1,0))</f>
        <v/>
      </c>
      <c r="G717">
        <f>IF($F717=1,INDEX({10,12,13,14,15,16,17,18,19,20,21,23,24,25,26,27,28,29,30,31,32,34,35,36,37,38},1,FIND(MID($B717,1,1),"ABCDEFGHIJKLMNOPQRSTUVWXYZ")),"")</f>
        <v/>
      </c>
      <c r="H717">
        <f>IF($F717=1,INDEX({10,12,13,14,15,16,17,18,19,20,21,23,24,25,26,27,28,29,30,31,32,34,35,36,37,38},1,FIND(MID($B717,2,1),"ABCDEFGHIJKLMNOPQRSTUVWXYZ")),"")</f>
        <v/>
      </c>
      <c r="I717">
        <f>IF($F717=1,INDEX({10,12,13,14,15,16,17,18,19,20,21,23,24,25,26,27,28,29,30,31,32,34,35,36,37,38},1,FIND(MID($B717,3,1),"ABCDEFGHIJKLMNOPQRSTUVWXYZ")),"")</f>
        <v/>
      </c>
      <c r="J717">
        <f>IF($F717=1,INDEX({10,12,13,14,15,16,17,18,19,20,21,23,24,25,26,27,28,29,30,31,32,34,35,36,37,38},1,FIND(MID($B717,4,1),"ABCDEFGHIJKLMNOPQRSTUVWXYZ")),"")</f>
        <v/>
      </c>
      <c r="K717">
        <f>IF($F717=1,FIND(MID($B717,5,1),"0123456789")-1,"")</f>
        <v/>
      </c>
      <c r="L717">
        <f>IF($F717=1,FIND(MID($B717,6,1),"0123456789")-1,"")</f>
        <v/>
      </c>
      <c r="M717">
        <f>IF($F717=1,FIND(MID($B717,7,1),"0123456789")-1,"")</f>
        <v/>
      </c>
      <c r="N717">
        <f>IF($F717=1,FIND(MID($B717,8,1),"0123456789")-1,"")</f>
        <v/>
      </c>
      <c r="O717">
        <f>IF($F717=1,FIND(MID($B717,9,1),"0123456789")-1,"")</f>
        <v/>
      </c>
      <c r="P717">
        <f>IF($F717=1,FIND(MID($B717,10,1),"0123456789")-1,"")</f>
        <v/>
      </c>
      <c r="Q717">
        <f>IF($F717=1,SUMPRODUCT($G717:$P717,{1,2,4,8,16,32,64,128,256,512}),"")</f>
        <v/>
      </c>
      <c r="R717">
        <f>IF($F717=1,MOD(MOD($Q717,11),10),"")</f>
        <v/>
      </c>
    </row>
    <row r="718">
      <c r="A718" s="6" t="n"/>
      <c r="B718" s="7">
        <f>IF($A718="","",UPPER(SUBSTITUTE(SUBSTITUTE(SUBSTITUTE(SUBSTITUTE(SUBSTITUTE(SUBSTITUTE($A718," ",""),"-",""),".",""),"/",""),"i","I"),"ı","?")))</f>
        <v/>
      </c>
      <c r="C718" s="8">
        <f>IF($F718=1,$R718,"")</f>
        <v/>
      </c>
      <c r="D718" s="7">
        <f>IF($A718="","",IF($F718=0,"Biçim hatalı",IF(FIND(MID($B718,11,1),"0123456789")-1=$R718,"Geçerli","Kontrol hanesi hatalı (doğrusu: "&amp;$R718&amp;")")))</f>
        <v/>
      </c>
      <c r="F718">
        <f>IF($A718="","",IF(AND(LEN($B718)=11,SUMPRODUCT(--ISNUMBER(FIND(MID($B718,{1,2,3},1),"ABCDEFGHIJKLMNOPQRSTUVWXYZ")))=3,ISNUMBER(FIND(MID($B718,4,1),"UJZ")),SUMPRODUCT(--ISNUMBER(FIND(MID($B718,{5,6,7,8,9,10,11},1),"0123456789")))=7),1,0))</f>
        <v/>
      </c>
      <c r="G718">
        <f>IF($F718=1,INDEX({10,12,13,14,15,16,17,18,19,20,21,23,24,25,26,27,28,29,30,31,32,34,35,36,37,38},1,FIND(MID($B718,1,1),"ABCDEFGHIJKLMNOPQRSTUVWXYZ")),"")</f>
        <v/>
      </c>
      <c r="H718">
        <f>IF($F718=1,INDEX({10,12,13,14,15,16,17,18,19,20,21,23,24,25,26,27,28,29,30,31,32,34,35,36,37,38},1,FIND(MID($B718,2,1),"ABCDEFGHIJKLMNOPQRSTUVWXYZ")),"")</f>
        <v/>
      </c>
      <c r="I718">
        <f>IF($F718=1,INDEX({10,12,13,14,15,16,17,18,19,20,21,23,24,25,26,27,28,29,30,31,32,34,35,36,37,38},1,FIND(MID($B718,3,1),"ABCDEFGHIJKLMNOPQRSTUVWXYZ")),"")</f>
        <v/>
      </c>
      <c r="J718">
        <f>IF($F718=1,INDEX({10,12,13,14,15,16,17,18,19,20,21,23,24,25,26,27,28,29,30,31,32,34,35,36,37,38},1,FIND(MID($B718,4,1),"ABCDEFGHIJKLMNOPQRSTUVWXYZ")),"")</f>
        <v/>
      </c>
      <c r="K718">
        <f>IF($F718=1,FIND(MID($B718,5,1),"0123456789")-1,"")</f>
        <v/>
      </c>
      <c r="L718">
        <f>IF($F718=1,FIND(MID($B718,6,1),"0123456789")-1,"")</f>
        <v/>
      </c>
      <c r="M718">
        <f>IF($F718=1,FIND(MID($B718,7,1),"0123456789")-1,"")</f>
        <v/>
      </c>
      <c r="N718">
        <f>IF($F718=1,FIND(MID($B718,8,1),"0123456789")-1,"")</f>
        <v/>
      </c>
      <c r="O718">
        <f>IF($F718=1,FIND(MID($B718,9,1),"0123456789")-1,"")</f>
        <v/>
      </c>
      <c r="P718">
        <f>IF($F718=1,FIND(MID($B718,10,1),"0123456789")-1,"")</f>
        <v/>
      </c>
      <c r="Q718">
        <f>IF($F718=1,SUMPRODUCT($G718:$P718,{1,2,4,8,16,32,64,128,256,512}),"")</f>
        <v/>
      </c>
      <c r="R718">
        <f>IF($F718=1,MOD(MOD($Q718,11),10),"")</f>
        <v/>
      </c>
    </row>
    <row r="719">
      <c r="A719" s="6" t="n"/>
      <c r="B719" s="7">
        <f>IF($A719="","",UPPER(SUBSTITUTE(SUBSTITUTE(SUBSTITUTE(SUBSTITUTE(SUBSTITUTE(SUBSTITUTE($A719," ",""),"-",""),".",""),"/",""),"i","I"),"ı","?")))</f>
        <v/>
      </c>
      <c r="C719" s="8">
        <f>IF($F719=1,$R719,"")</f>
        <v/>
      </c>
      <c r="D719" s="7">
        <f>IF($A719="","",IF($F719=0,"Biçim hatalı",IF(FIND(MID($B719,11,1),"0123456789")-1=$R719,"Geçerli","Kontrol hanesi hatalı (doğrusu: "&amp;$R719&amp;")")))</f>
        <v/>
      </c>
      <c r="F719">
        <f>IF($A719="","",IF(AND(LEN($B719)=11,SUMPRODUCT(--ISNUMBER(FIND(MID($B719,{1,2,3},1),"ABCDEFGHIJKLMNOPQRSTUVWXYZ")))=3,ISNUMBER(FIND(MID($B719,4,1),"UJZ")),SUMPRODUCT(--ISNUMBER(FIND(MID($B719,{5,6,7,8,9,10,11},1),"0123456789")))=7),1,0))</f>
        <v/>
      </c>
      <c r="G719">
        <f>IF($F719=1,INDEX({10,12,13,14,15,16,17,18,19,20,21,23,24,25,26,27,28,29,30,31,32,34,35,36,37,38},1,FIND(MID($B719,1,1),"ABCDEFGHIJKLMNOPQRSTUVWXYZ")),"")</f>
        <v/>
      </c>
      <c r="H719">
        <f>IF($F719=1,INDEX({10,12,13,14,15,16,17,18,19,20,21,23,24,25,26,27,28,29,30,31,32,34,35,36,37,38},1,FIND(MID($B719,2,1),"ABCDEFGHIJKLMNOPQRSTUVWXYZ")),"")</f>
        <v/>
      </c>
      <c r="I719">
        <f>IF($F719=1,INDEX({10,12,13,14,15,16,17,18,19,20,21,23,24,25,26,27,28,29,30,31,32,34,35,36,37,38},1,FIND(MID($B719,3,1),"ABCDEFGHIJKLMNOPQRSTUVWXYZ")),"")</f>
        <v/>
      </c>
      <c r="J719">
        <f>IF($F719=1,INDEX({10,12,13,14,15,16,17,18,19,20,21,23,24,25,26,27,28,29,30,31,32,34,35,36,37,38},1,FIND(MID($B719,4,1),"ABCDEFGHIJKLMNOPQRSTUVWXYZ")),"")</f>
        <v/>
      </c>
      <c r="K719">
        <f>IF($F719=1,FIND(MID($B719,5,1),"0123456789")-1,"")</f>
        <v/>
      </c>
      <c r="L719">
        <f>IF($F719=1,FIND(MID($B719,6,1),"0123456789")-1,"")</f>
        <v/>
      </c>
      <c r="M719">
        <f>IF($F719=1,FIND(MID($B719,7,1),"0123456789")-1,"")</f>
        <v/>
      </c>
      <c r="N719">
        <f>IF($F719=1,FIND(MID($B719,8,1),"0123456789")-1,"")</f>
        <v/>
      </c>
      <c r="O719">
        <f>IF($F719=1,FIND(MID($B719,9,1),"0123456789")-1,"")</f>
        <v/>
      </c>
      <c r="P719">
        <f>IF($F719=1,FIND(MID($B719,10,1),"0123456789")-1,"")</f>
        <v/>
      </c>
      <c r="Q719">
        <f>IF($F719=1,SUMPRODUCT($G719:$P719,{1,2,4,8,16,32,64,128,256,512}),"")</f>
        <v/>
      </c>
      <c r="R719">
        <f>IF($F719=1,MOD(MOD($Q719,11),10),"")</f>
        <v/>
      </c>
    </row>
    <row r="720">
      <c r="A720" s="6" t="n"/>
      <c r="B720" s="7">
        <f>IF($A720="","",UPPER(SUBSTITUTE(SUBSTITUTE(SUBSTITUTE(SUBSTITUTE(SUBSTITUTE(SUBSTITUTE($A720," ",""),"-",""),".",""),"/",""),"i","I"),"ı","?")))</f>
        <v/>
      </c>
      <c r="C720" s="8">
        <f>IF($F720=1,$R720,"")</f>
        <v/>
      </c>
      <c r="D720" s="7">
        <f>IF($A720="","",IF($F720=0,"Biçim hatalı",IF(FIND(MID($B720,11,1),"0123456789")-1=$R720,"Geçerli","Kontrol hanesi hatalı (doğrusu: "&amp;$R720&amp;")")))</f>
        <v/>
      </c>
      <c r="F720">
        <f>IF($A720="","",IF(AND(LEN($B720)=11,SUMPRODUCT(--ISNUMBER(FIND(MID($B720,{1,2,3},1),"ABCDEFGHIJKLMNOPQRSTUVWXYZ")))=3,ISNUMBER(FIND(MID($B720,4,1),"UJZ")),SUMPRODUCT(--ISNUMBER(FIND(MID($B720,{5,6,7,8,9,10,11},1),"0123456789")))=7),1,0))</f>
        <v/>
      </c>
      <c r="G720">
        <f>IF($F720=1,INDEX({10,12,13,14,15,16,17,18,19,20,21,23,24,25,26,27,28,29,30,31,32,34,35,36,37,38},1,FIND(MID($B720,1,1),"ABCDEFGHIJKLMNOPQRSTUVWXYZ")),"")</f>
        <v/>
      </c>
      <c r="H720">
        <f>IF($F720=1,INDEX({10,12,13,14,15,16,17,18,19,20,21,23,24,25,26,27,28,29,30,31,32,34,35,36,37,38},1,FIND(MID($B720,2,1),"ABCDEFGHIJKLMNOPQRSTUVWXYZ")),"")</f>
        <v/>
      </c>
      <c r="I720">
        <f>IF($F720=1,INDEX({10,12,13,14,15,16,17,18,19,20,21,23,24,25,26,27,28,29,30,31,32,34,35,36,37,38},1,FIND(MID($B720,3,1),"ABCDEFGHIJKLMNOPQRSTUVWXYZ")),"")</f>
        <v/>
      </c>
      <c r="J720">
        <f>IF($F720=1,INDEX({10,12,13,14,15,16,17,18,19,20,21,23,24,25,26,27,28,29,30,31,32,34,35,36,37,38},1,FIND(MID($B720,4,1),"ABCDEFGHIJKLMNOPQRSTUVWXYZ")),"")</f>
        <v/>
      </c>
      <c r="K720">
        <f>IF($F720=1,FIND(MID($B720,5,1),"0123456789")-1,"")</f>
        <v/>
      </c>
      <c r="L720">
        <f>IF($F720=1,FIND(MID($B720,6,1),"0123456789")-1,"")</f>
        <v/>
      </c>
      <c r="M720">
        <f>IF($F720=1,FIND(MID($B720,7,1),"0123456789")-1,"")</f>
        <v/>
      </c>
      <c r="N720">
        <f>IF($F720=1,FIND(MID($B720,8,1),"0123456789")-1,"")</f>
        <v/>
      </c>
      <c r="O720">
        <f>IF($F720=1,FIND(MID($B720,9,1),"0123456789")-1,"")</f>
        <v/>
      </c>
      <c r="P720">
        <f>IF($F720=1,FIND(MID($B720,10,1),"0123456789")-1,"")</f>
        <v/>
      </c>
      <c r="Q720">
        <f>IF($F720=1,SUMPRODUCT($G720:$P720,{1,2,4,8,16,32,64,128,256,512}),"")</f>
        <v/>
      </c>
      <c r="R720">
        <f>IF($F720=1,MOD(MOD($Q720,11),10),"")</f>
        <v/>
      </c>
    </row>
    <row r="721">
      <c r="A721" s="6" t="n"/>
      <c r="B721" s="7">
        <f>IF($A721="","",UPPER(SUBSTITUTE(SUBSTITUTE(SUBSTITUTE(SUBSTITUTE(SUBSTITUTE(SUBSTITUTE($A721," ",""),"-",""),".",""),"/",""),"i","I"),"ı","?")))</f>
        <v/>
      </c>
      <c r="C721" s="8">
        <f>IF($F721=1,$R721,"")</f>
        <v/>
      </c>
      <c r="D721" s="7">
        <f>IF($A721="","",IF($F721=0,"Biçim hatalı",IF(FIND(MID($B721,11,1),"0123456789")-1=$R721,"Geçerli","Kontrol hanesi hatalı (doğrusu: "&amp;$R721&amp;")")))</f>
        <v/>
      </c>
      <c r="F721">
        <f>IF($A721="","",IF(AND(LEN($B721)=11,SUMPRODUCT(--ISNUMBER(FIND(MID($B721,{1,2,3},1),"ABCDEFGHIJKLMNOPQRSTUVWXYZ")))=3,ISNUMBER(FIND(MID($B721,4,1),"UJZ")),SUMPRODUCT(--ISNUMBER(FIND(MID($B721,{5,6,7,8,9,10,11},1),"0123456789")))=7),1,0))</f>
        <v/>
      </c>
      <c r="G721">
        <f>IF($F721=1,INDEX({10,12,13,14,15,16,17,18,19,20,21,23,24,25,26,27,28,29,30,31,32,34,35,36,37,38},1,FIND(MID($B721,1,1),"ABCDEFGHIJKLMNOPQRSTUVWXYZ")),"")</f>
        <v/>
      </c>
      <c r="H721">
        <f>IF($F721=1,INDEX({10,12,13,14,15,16,17,18,19,20,21,23,24,25,26,27,28,29,30,31,32,34,35,36,37,38},1,FIND(MID($B721,2,1),"ABCDEFGHIJKLMNOPQRSTUVWXYZ")),"")</f>
        <v/>
      </c>
      <c r="I721">
        <f>IF($F721=1,INDEX({10,12,13,14,15,16,17,18,19,20,21,23,24,25,26,27,28,29,30,31,32,34,35,36,37,38},1,FIND(MID($B721,3,1),"ABCDEFGHIJKLMNOPQRSTUVWXYZ")),"")</f>
        <v/>
      </c>
      <c r="J721">
        <f>IF($F721=1,INDEX({10,12,13,14,15,16,17,18,19,20,21,23,24,25,26,27,28,29,30,31,32,34,35,36,37,38},1,FIND(MID($B721,4,1),"ABCDEFGHIJKLMNOPQRSTUVWXYZ")),"")</f>
        <v/>
      </c>
      <c r="K721">
        <f>IF($F721=1,FIND(MID($B721,5,1),"0123456789")-1,"")</f>
        <v/>
      </c>
      <c r="L721">
        <f>IF($F721=1,FIND(MID($B721,6,1),"0123456789")-1,"")</f>
        <v/>
      </c>
      <c r="M721">
        <f>IF($F721=1,FIND(MID($B721,7,1),"0123456789")-1,"")</f>
        <v/>
      </c>
      <c r="N721">
        <f>IF($F721=1,FIND(MID($B721,8,1),"0123456789")-1,"")</f>
        <v/>
      </c>
      <c r="O721">
        <f>IF($F721=1,FIND(MID($B721,9,1),"0123456789")-1,"")</f>
        <v/>
      </c>
      <c r="P721">
        <f>IF($F721=1,FIND(MID($B721,10,1),"0123456789")-1,"")</f>
        <v/>
      </c>
      <c r="Q721">
        <f>IF($F721=1,SUMPRODUCT($G721:$P721,{1,2,4,8,16,32,64,128,256,512}),"")</f>
        <v/>
      </c>
      <c r="R721">
        <f>IF($F721=1,MOD(MOD($Q721,11),10),"")</f>
        <v/>
      </c>
    </row>
    <row r="722">
      <c r="A722" s="6" t="n"/>
      <c r="B722" s="7">
        <f>IF($A722="","",UPPER(SUBSTITUTE(SUBSTITUTE(SUBSTITUTE(SUBSTITUTE(SUBSTITUTE(SUBSTITUTE($A722," ",""),"-",""),".",""),"/",""),"i","I"),"ı","?")))</f>
        <v/>
      </c>
      <c r="C722" s="8">
        <f>IF($F722=1,$R722,"")</f>
        <v/>
      </c>
      <c r="D722" s="7">
        <f>IF($A722="","",IF($F722=0,"Biçim hatalı",IF(FIND(MID($B722,11,1),"0123456789")-1=$R722,"Geçerli","Kontrol hanesi hatalı (doğrusu: "&amp;$R722&amp;")")))</f>
        <v/>
      </c>
      <c r="F722">
        <f>IF($A722="","",IF(AND(LEN($B722)=11,SUMPRODUCT(--ISNUMBER(FIND(MID($B722,{1,2,3},1),"ABCDEFGHIJKLMNOPQRSTUVWXYZ")))=3,ISNUMBER(FIND(MID($B722,4,1),"UJZ")),SUMPRODUCT(--ISNUMBER(FIND(MID($B722,{5,6,7,8,9,10,11},1),"0123456789")))=7),1,0))</f>
        <v/>
      </c>
      <c r="G722">
        <f>IF($F722=1,INDEX({10,12,13,14,15,16,17,18,19,20,21,23,24,25,26,27,28,29,30,31,32,34,35,36,37,38},1,FIND(MID($B722,1,1),"ABCDEFGHIJKLMNOPQRSTUVWXYZ")),"")</f>
        <v/>
      </c>
      <c r="H722">
        <f>IF($F722=1,INDEX({10,12,13,14,15,16,17,18,19,20,21,23,24,25,26,27,28,29,30,31,32,34,35,36,37,38},1,FIND(MID($B722,2,1),"ABCDEFGHIJKLMNOPQRSTUVWXYZ")),"")</f>
        <v/>
      </c>
      <c r="I722">
        <f>IF($F722=1,INDEX({10,12,13,14,15,16,17,18,19,20,21,23,24,25,26,27,28,29,30,31,32,34,35,36,37,38},1,FIND(MID($B722,3,1),"ABCDEFGHIJKLMNOPQRSTUVWXYZ")),"")</f>
        <v/>
      </c>
      <c r="J722">
        <f>IF($F722=1,INDEX({10,12,13,14,15,16,17,18,19,20,21,23,24,25,26,27,28,29,30,31,32,34,35,36,37,38},1,FIND(MID($B722,4,1),"ABCDEFGHIJKLMNOPQRSTUVWXYZ")),"")</f>
        <v/>
      </c>
      <c r="K722">
        <f>IF($F722=1,FIND(MID($B722,5,1),"0123456789")-1,"")</f>
        <v/>
      </c>
      <c r="L722">
        <f>IF($F722=1,FIND(MID($B722,6,1),"0123456789")-1,"")</f>
        <v/>
      </c>
      <c r="M722">
        <f>IF($F722=1,FIND(MID($B722,7,1),"0123456789")-1,"")</f>
        <v/>
      </c>
      <c r="N722">
        <f>IF($F722=1,FIND(MID($B722,8,1),"0123456789")-1,"")</f>
        <v/>
      </c>
      <c r="O722">
        <f>IF($F722=1,FIND(MID($B722,9,1),"0123456789")-1,"")</f>
        <v/>
      </c>
      <c r="P722">
        <f>IF($F722=1,FIND(MID($B722,10,1),"0123456789")-1,"")</f>
        <v/>
      </c>
      <c r="Q722">
        <f>IF($F722=1,SUMPRODUCT($G722:$P722,{1,2,4,8,16,32,64,128,256,512}),"")</f>
        <v/>
      </c>
      <c r="R722">
        <f>IF($F722=1,MOD(MOD($Q722,11),10),"")</f>
        <v/>
      </c>
    </row>
    <row r="723">
      <c r="A723" s="6" t="n"/>
      <c r="B723" s="7">
        <f>IF($A723="","",UPPER(SUBSTITUTE(SUBSTITUTE(SUBSTITUTE(SUBSTITUTE(SUBSTITUTE(SUBSTITUTE($A723," ",""),"-",""),".",""),"/",""),"i","I"),"ı","?")))</f>
        <v/>
      </c>
      <c r="C723" s="8">
        <f>IF($F723=1,$R723,"")</f>
        <v/>
      </c>
      <c r="D723" s="7">
        <f>IF($A723="","",IF($F723=0,"Biçim hatalı",IF(FIND(MID($B723,11,1),"0123456789")-1=$R723,"Geçerli","Kontrol hanesi hatalı (doğrusu: "&amp;$R723&amp;")")))</f>
        <v/>
      </c>
      <c r="F723">
        <f>IF($A723="","",IF(AND(LEN($B723)=11,SUMPRODUCT(--ISNUMBER(FIND(MID($B723,{1,2,3},1),"ABCDEFGHIJKLMNOPQRSTUVWXYZ")))=3,ISNUMBER(FIND(MID($B723,4,1),"UJZ")),SUMPRODUCT(--ISNUMBER(FIND(MID($B723,{5,6,7,8,9,10,11},1),"0123456789")))=7),1,0))</f>
        <v/>
      </c>
      <c r="G723">
        <f>IF($F723=1,INDEX({10,12,13,14,15,16,17,18,19,20,21,23,24,25,26,27,28,29,30,31,32,34,35,36,37,38},1,FIND(MID($B723,1,1),"ABCDEFGHIJKLMNOPQRSTUVWXYZ")),"")</f>
        <v/>
      </c>
      <c r="H723">
        <f>IF($F723=1,INDEX({10,12,13,14,15,16,17,18,19,20,21,23,24,25,26,27,28,29,30,31,32,34,35,36,37,38},1,FIND(MID($B723,2,1),"ABCDEFGHIJKLMNOPQRSTUVWXYZ")),"")</f>
        <v/>
      </c>
      <c r="I723">
        <f>IF($F723=1,INDEX({10,12,13,14,15,16,17,18,19,20,21,23,24,25,26,27,28,29,30,31,32,34,35,36,37,38},1,FIND(MID($B723,3,1),"ABCDEFGHIJKLMNOPQRSTUVWXYZ")),"")</f>
        <v/>
      </c>
      <c r="J723">
        <f>IF($F723=1,INDEX({10,12,13,14,15,16,17,18,19,20,21,23,24,25,26,27,28,29,30,31,32,34,35,36,37,38},1,FIND(MID($B723,4,1),"ABCDEFGHIJKLMNOPQRSTUVWXYZ")),"")</f>
        <v/>
      </c>
      <c r="K723">
        <f>IF($F723=1,FIND(MID($B723,5,1),"0123456789")-1,"")</f>
        <v/>
      </c>
      <c r="L723">
        <f>IF($F723=1,FIND(MID($B723,6,1),"0123456789")-1,"")</f>
        <v/>
      </c>
      <c r="M723">
        <f>IF($F723=1,FIND(MID($B723,7,1),"0123456789")-1,"")</f>
        <v/>
      </c>
      <c r="N723">
        <f>IF($F723=1,FIND(MID($B723,8,1),"0123456789")-1,"")</f>
        <v/>
      </c>
      <c r="O723">
        <f>IF($F723=1,FIND(MID($B723,9,1),"0123456789")-1,"")</f>
        <v/>
      </c>
      <c r="P723">
        <f>IF($F723=1,FIND(MID($B723,10,1),"0123456789")-1,"")</f>
        <v/>
      </c>
      <c r="Q723">
        <f>IF($F723=1,SUMPRODUCT($G723:$P723,{1,2,4,8,16,32,64,128,256,512}),"")</f>
        <v/>
      </c>
      <c r="R723">
        <f>IF($F723=1,MOD(MOD($Q723,11),10),"")</f>
        <v/>
      </c>
    </row>
    <row r="724">
      <c r="A724" s="6" t="n"/>
      <c r="B724" s="7">
        <f>IF($A724="","",UPPER(SUBSTITUTE(SUBSTITUTE(SUBSTITUTE(SUBSTITUTE(SUBSTITUTE(SUBSTITUTE($A724," ",""),"-",""),".",""),"/",""),"i","I"),"ı","?")))</f>
        <v/>
      </c>
      <c r="C724" s="8">
        <f>IF($F724=1,$R724,"")</f>
        <v/>
      </c>
      <c r="D724" s="7">
        <f>IF($A724="","",IF($F724=0,"Biçim hatalı",IF(FIND(MID($B724,11,1),"0123456789")-1=$R724,"Geçerli","Kontrol hanesi hatalı (doğrusu: "&amp;$R724&amp;")")))</f>
        <v/>
      </c>
      <c r="F724">
        <f>IF($A724="","",IF(AND(LEN($B724)=11,SUMPRODUCT(--ISNUMBER(FIND(MID($B724,{1,2,3},1),"ABCDEFGHIJKLMNOPQRSTUVWXYZ")))=3,ISNUMBER(FIND(MID($B724,4,1),"UJZ")),SUMPRODUCT(--ISNUMBER(FIND(MID($B724,{5,6,7,8,9,10,11},1),"0123456789")))=7),1,0))</f>
        <v/>
      </c>
      <c r="G724">
        <f>IF($F724=1,INDEX({10,12,13,14,15,16,17,18,19,20,21,23,24,25,26,27,28,29,30,31,32,34,35,36,37,38},1,FIND(MID($B724,1,1),"ABCDEFGHIJKLMNOPQRSTUVWXYZ")),"")</f>
        <v/>
      </c>
      <c r="H724">
        <f>IF($F724=1,INDEX({10,12,13,14,15,16,17,18,19,20,21,23,24,25,26,27,28,29,30,31,32,34,35,36,37,38},1,FIND(MID($B724,2,1),"ABCDEFGHIJKLMNOPQRSTUVWXYZ")),"")</f>
        <v/>
      </c>
      <c r="I724">
        <f>IF($F724=1,INDEX({10,12,13,14,15,16,17,18,19,20,21,23,24,25,26,27,28,29,30,31,32,34,35,36,37,38},1,FIND(MID($B724,3,1),"ABCDEFGHIJKLMNOPQRSTUVWXYZ")),"")</f>
        <v/>
      </c>
      <c r="J724">
        <f>IF($F724=1,INDEX({10,12,13,14,15,16,17,18,19,20,21,23,24,25,26,27,28,29,30,31,32,34,35,36,37,38},1,FIND(MID($B724,4,1),"ABCDEFGHIJKLMNOPQRSTUVWXYZ")),"")</f>
        <v/>
      </c>
      <c r="K724">
        <f>IF($F724=1,FIND(MID($B724,5,1),"0123456789")-1,"")</f>
        <v/>
      </c>
      <c r="L724">
        <f>IF($F724=1,FIND(MID($B724,6,1),"0123456789")-1,"")</f>
        <v/>
      </c>
      <c r="M724">
        <f>IF($F724=1,FIND(MID($B724,7,1),"0123456789")-1,"")</f>
        <v/>
      </c>
      <c r="N724">
        <f>IF($F724=1,FIND(MID($B724,8,1),"0123456789")-1,"")</f>
        <v/>
      </c>
      <c r="O724">
        <f>IF($F724=1,FIND(MID($B724,9,1),"0123456789")-1,"")</f>
        <v/>
      </c>
      <c r="P724">
        <f>IF($F724=1,FIND(MID($B724,10,1),"0123456789")-1,"")</f>
        <v/>
      </c>
      <c r="Q724">
        <f>IF($F724=1,SUMPRODUCT($G724:$P724,{1,2,4,8,16,32,64,128,256,512}),"")</f>
        <v/>
      </c>
      <c r="R724">
        <f>IF($F724=1,MOD(MOD($Q724,11),10),"")</f>
        <v/>
      </c>
    </row>
    <row r="725">
      <c r="A725" s="6" t="n"/>
      <c r="B725" s="7">
        <f>IF($A725="","",UPPER(SUBSTITUTE(SUBSTITUTE(SUBSTITUTE(SUBSTITUTE(SUBSTITUTE(SUBSTITUTE($A725," ",""),"-",""),".",""),"/",""),"i","I"),"ı","?")))</f>
        <v/>
      </c>
      <c r="C725" s="8">
        <f>IF($F725=1,$R725,"")</f>
        <v/>
      </c>
      <c r="D725" s="7">
        <f>IF($A725="","",IF($F725=0,"Biçim hatalı",IF(FIND(MID($B725,11,1),"0123456789")-1=$R725,"Geçerli","Kontrol hanesi hatalı (doğrusu: "&amp;$R725&amp;")")))</f>
        <v/>
      </c>
      <c r="F725">
        <f>IF($A725="","",IF(AND(LEN($B725)=11,SUMPRODUCT(--ISNUMBER(FIND(MID($B725,{1,2,3},1),"ABCDEFGHIJKLMNOPQRSTUVWXYZ")))=3,ISNUMBER(FIND(MID($B725,4,1),"UJZ")),SUMPRODUCT(--ISNUMBER(FIND(MID($B725,{5,6,7,8,9,10,11},1),"0123456789")))=7),1,0))</f>
        <v/>
      </c>
      <c r="G725">
        <f>IF($F725=1,INDEX({10,12,13,14,15,16,17,18,19,20,21,23,24,25,26,27,28,29,30,31,32,34,35,36,37,38},1,FIND(MID($B725,1,1),"ABCDEFGHIJKLMNOPQRSTUVWXYZ")),"")</f>
        <v/>
      </c>
      <c r="H725">
        <f>IF($F725=1,INDEX({10,12,13,14,15,16,17,18,19,20,21,23,24,25,26,27,28,29,30,31,32,34,35,36,37,38},1,FIND(MID($B725,2,1),"ABCDEFGHIJKLMNOPQRSTUVWXYZ")),"")</f>
        <v/>
      </c>
      <c r="I725">
        <f>IF($F725=1,INDEX({10,12,13,14,15,16,17,18,19,20,21,23,24,25,26,27,28,29,30,31,32,34,35,36,37,38},1,FIND(MID($B725,3,1),"ABCDEFGHIJKLMNOPQRSTUVWXYZ")),"")</f>
        <v/>
      </c>
      <c r="J725">
        <f>IF($F725=1,INDEX({10,12,13,14,15,16,17,18,19,20,21,23,24,25,26,27,28,29,30,31,32,34,35,36,37,38},1,FIND(MID($B725,4,1),"ABCDEFGHIJKLMNOPQRSTUVWXYZ")),"")</f>
        <v/>
      </c>
      <c r="K725">
        <f>IF($F725=1,FIND(MID($B725,5,1),"0123456789")-1,"")</f>
        <v/>
      </c>
      <c r="L725">
        <f>IF($F725=1,FIND(MID($B725,6,1),"0123456789")-1,"")</f>
        <v/>
      </c>
      <c r="M725">
        <f>IF($F725=1,FIND(MID($B725,7,1),"0123456789")-1,"")</f>
        <v/>
      </c>
      <c r="N725">
        <f>IF($F725=1,FIND(MID($B725,8,1),"0123456789")-1,"")</f>
        <v/>
      </c>
      <c r="O725">
        <f>IF($F725=1,FIND(MID($B725,9,1),"0123456789")-1,"")</f>
        <v/>
      </c>
      <c r="P725">
        <f>IF($F725=1,FIND(MID($B725,10,1),"0123456789")-1,"")</f>
        <v/>
      </c>
      <c r="Q725">
        <f>IF($F725=1,SUMPRODUCT($G725:$P725,{1,2,4,8,16,32,64,128,256,512}),"")</f>
        <v/>
      </c>
      <c r="R725">
        <f>IF($F725=1,MOD(MOD($Q725,11),10),"")</f>
        <v/>
      </c>
    </row>
    <row r="726">
      <c r="A726" s="6" t="n"/>
      <c r="B726" s="7">
        <f>IF($A726="","",UPPER(SUBSTITUTE(SUBSTITUTE(SUBSTITUTE(SUBSTITUTE(SUBSTITUTE(SUBSTITUTE($A726," ",""),"-",""),".",""),"/",""),"i","I"),"ı","?")))</f>
        <v/>
      </c>
      <c r="C726" s="8">
        <f>IF($F726=1,$R726,"")</f>
        <v/>
      </c>
      <c r="D726" s="7">
        <f>IF($A726="","",IF($F726=0,"Biçim hatalı",IF(FIND(MID($B726,11,1),"0123456789")-1=$R726,"Geçerli","Kontrol hanesi hatalı (doğrusu: "&amp;$R726&amp;")")))</f>
        <v/>
      </c>
      <c r="F726">
        <f>IF($A726="","",IF(AND(LEN($B726)=11,SUMPRODUCT(--ISNUMBER(FIND(MID($B726,{1,2,3},1),"ABCDEFGHIJKLMNOPQRSTUVWXYZ")))=3,ISNUMBER(FIND(MID($B726,4,1),"UJZ")),SUMPRODUCT(--ISNUMBER(FIND(MID($B726,{5,6,7,8,9,10,11},1),"0123456789")))=7),1,0))</f>
        <v/>
      </c>
      <c r="G726">
        <f>IF($F726=1,INDEX({10,12,13,14,15,16,17,18,19,20,21,23,24,25,26,27,28,29,30,31,32,34,35,36,37,38},1,FIND(MID($B726,1,1),"ABCDEFGHIJKLMNOPQRSTUVWXYZ")),"")</f>
        <v/>
      </c>
      <c r="H726">
        <f>IF($F726=1,INDEX({10,12,13,14,15,16,17,18,19,20,21,23,24,25,26,27,28,29,30,31,32,34,35,36,37,38},1,FIND(MID($B726,2,1),"ABCDEFGHIJKLMNOPQRSTUVWXYZ")),"")</f>
        <v/>
      </c>
      <c r="I726">
        <f>IF($F726=1,INDEX({10,12,13,14,15,16,17,18,19,20,21,23,24,25,26,27,28,29,30,31,32,34,35,36,37,38},1,FIND(MID($B726,3,1),"ABCDEFGHIJKLMNOPQRSTUVWXYZ")),"")</f>
        <v/>
      </c>
      <c r="J726">
        <f>IF($F726=1,INDEX({10,12,13,14,15,16,17,18,19,20,21,23,24,25,26,27,28,29,30,31,32,34,35,36,37,38},1,FIND(MID($B726,4,1),"ABCDEFGHIJKLMNOPQRSTUVWXYZ")),"")</f>
        <v/>
      </c>
      <c r="K726">
        <f>IF($F726=1,FIND(MID($B726,5,1),"0123456789")-1,"")</f>
        <v/>
      </c>
      <c r="L726">
        <f>IF($F726=1,FIND(MID($B726,6,1),"0123456789")-1,"")</f>
        <v/>
      </c>
      <c r="M726">
        <f>IF($F726=1,FIND(MID($B726,7,1),"0123456789")-1,"")</f>
        <v/>
      </c>
      <c r="N726">
        <f>IF($F726=1,FIND(MID($B726,8,1),"0123456789")-1,"")</f>
        <v/>
      </c>
      <c r="O726">
        <f>IF($F726=1,FIND(MID($B726,9,1),"0123456789")-1,"")</f>
        <v/>
      </c>
      <c r="P726">
        <f>IF($F726=1,FIND(MID($B726,10,1),"0123456789")-1,"")</f>
        <v/>
      </c>
      <c r="Q726">
        <f>IF($F726=1,SUMPRODUCT($G726:$P726,{1,2,4,8,16,32,64,128,256,512}),"")</f>
        <v/>
      </c>
      <c r="R726">
        <f>IF($F726=1,MOD(MOD($Q726,11),10),"")</f>
        <v/>
      </c>
    </row>
    <row r="727">
      <c r="A727" s="6" t="n"/>
      <c r="B727" s="7">
        <f>IF($A727="","",UPPER(SUBSTITUTE(SUBSTITUTE(SUBSTITUTE(SUBSTITUTE(SUBSTITUTE(SUBSTITUTE($A727," ",""),"-",""),".",""),"/",""),"i","I"),"ı","?")))</f>
        <v/>
      </c>
      <c r="C727" s="8">
        <f>IF($F727=1,$R727,"")</f>
        <v/>
      </c>
      <c r="D727" s="7">
        <f>IF($A727="","",IF($F727=0,"Biçim hatalı",IF(FIND(MID($B727,11,1),"0123456789")-1=$R727,"Geçerli","Kontrol hanesi hatalı (doğrusu: "&amp;$R727&amp;")")))</f>
        <v/>
      </c>
      <c r="F727">
        <f>IF($A727="","",IF(AND(LEN($B727)=11,SUMPRODUCT(--ISNUMBER(FIND(MID($B727,{1,2,3},1),"ABCDEFGHIJKLMNOPQRSTUVWXYZ")))=3,ISNUMBER(FIND(MID($B727,4,1),"UJZ")),SUMPRODUCT(--ISNUMBER(FIND(MID($B727,{5,6,7,8,9,10,11},1),"0123456789")))=7),1,0))</f>
        <v/>
      </c>
      <c r="G727">
        <f>IF($F727=1,INDEX({10,12,13,14,15,16,17,18,19,20,21,23,24,25,26,27,28,29,30,31,32,34,35,36,37,38},1,FIND(MID($B727,1,1),"ABCDEFGHIJKLMNOPQRSTUVWXYZ")),"")</f>
        <v/>
      </c>
      <c r="H727">
        <f>IF($F727=1,INDEX({10,12,13,14,15,16,17,18,19,20,21,23,24,25,26,27,28,29,30,31,32,34,35,36,37,38},1,FIND(MID($B727,2,1),"ABCDEFGHIJKLMNOPQRSTUVWXYZ")),"")</f>
        <v/>
      </c>
      <c r="I727">
        <f>IF($F727=1,INDEX({10,12,13,14,15,16,17,18,19,20,21,23,24,25,26,27,28,29,30,31,32,34,35,36,37,38},1,FIND(MID($B727,3,1),"ABCDEFGHIJKLMNOPQRSTUVWXYZ")),"")</f>
        <v/>
      </c>
      <c r="J727">
        <f>IF($F727=1,INDEX({10,12,13,14,15,16,17,18,19,20,21,23,24,25,26,27,28,29,30,31,32,34,35,36,37,38},1,FIND(MID($B727,4,1),"ABCDEFGHIJKLMNOPQRSTUVWXYZ")),"")</f>
        <v/>
      </c>
      <c r="K727">
        <f>IF($F727=1,FIND(MID($B727,5,1),"0123456789")-1,"")</f>
        <v/>
      </c>
      <c r="L727">
        <f>IF($F727=1,FIND(MID($B727,6,1),"0123456789")-1,"")</f>
        <v/>
      </c>
      <c r="M727">
        <f>IF($F727=1,FIND(MID($B727,7,1),"0123456789")-1,"")</f>
        <v/>
      </c>
      <c r="N727">
        <f>IF($F727=1,FIND(MID($B727,8,1),"0123456789")-1,"")</f>
        <v/>
      </c>
      <c r="O727">
        <f>IF($F727=1,FIND(MID($B727,9,1),"0123456789")-1,"")</f>
        <v/>
      </c>
      <c r="P727">
        <f>IF($F727=1,FIND(MID($B727,10,1),"0123456789")-1,"")</f>
        <v/>
      </c>
      <c r="Q727">
        <f>IF($F727=1,SUMPRODUCT($G727:$P727,{1,2,4,8,16,32,64,128,256,512}),"")</f>
        <v/>
      </c>
      <c r="R727">
        <f>IF($F727=1,MOD(MOD($Q727,11),10),"")</f>
        <v/>
      </c>
    </row>
    <row r="728">
      <c r="A728" s="6" t="n"/>
      <c r="B728" s="7">
        <f>IF($A728="","",UPPER(SUBSTITUTE(SUBSTITUTE(SUBSTITUTE(SUBSTITUTE(SUBSTITUTE(SUBSTITUTE($A728," ",""),"-",""),".",""),"/",""),"i","I"),"ı","?")))</f>
        <v/>
      </c>
      <c r="C728" s="8">
        <f>IF($F728=1,$R728,"")</f>
        <v/>
      </c>
      <c r="D728" s="7">
        <f>IF($A728="","",IF($F728=0,"Biçim hatalı",IF(FIND(MID($B728,11,1),"0123456789")-1=$R728,"Geçerli","Kontrol hanesi hatalı (doğrusu: "&amp;$R728&amp;")")))</f>
        <v/>
      </c>
      <c r="F728">
        <f>IF($A728="","",IF(AND(LEN($B728)=11,SUMPRODUCT(--ISNUMBER(FIND(MID($B728,{1,2,3},1),"ABCDEFGHIJKLMNOPQRSTUVWXYZ")))=3,ISNUMBER(FIND(MID($B728,4,1),"UJZ")),SUMPRODUCT(--ISNUMBER(FIND(MID($B728,{5,6,7,8,9,10,11},1),"0123456789")))=7),1,0))</f>
        <v/>
      </c>
      <c r="G728">
        <f>IF($F728=1,INDEX({10,12,13,14,15,16,17,18,19,20,21,23,24,25,26,27,28,29,30,31,32,34,35,36,37,38},1,FIND(MID($B728,1,1),"ABCDEFGHIJKLMNOPQRSTUVWXYZ")),"")</f>
        <v/>
      </c>
      <c r="H728">
        <f>IF($F728=1,INDEX({10,12,13,14,15,16,17,18,19,20,21,23,24,25,26,27,28,29,30,31,32,34,35,36,37,38},1,FIND(MID($B728,2,1),"ABCDEFGHIJKLMNOPQRSTUVWXYZ")),"")</f>
        <v/>
      </c>
      <c r="I728">
        <f>IF($F728=1,INDEX({10,12,13,14,15,16,17,18,19,20,21,23,24,25,26,27,28,29,30,31,32,34,35,36,37,38},1,FIND(MID($B728,3,1),"ABCDEFGHIJKLMNOPQRSTUVWXYZ")),"")</f>
        <v/>
      </c>
      <c r="J728">
        <f>IF($F728=1,INDEX({10,12,13,14,15,16,17,18,19,20,21,23,24,25,26,27,28,29,30,31,32,34,35,36,37,38},1,FIND(MID($B728,4,1),"ABCDEFGHIJKLMNOPQRSTUVWXYZ")),"")</f>
        <v/>
      </c>
      <c r="K728">
        <f>IF($F728=1,FIND(MID($B728,5,1),"0123456789")-1,"")</f>
        <v/>
      </c>
      <c r="L728">
        <f>IF($F728=1,FIND(MID($B728,6,1),"0123456789")-1,"")</f>
        <v/>
      </c>
      <c r="M728">
        <f>IF($F728=1,FIND(MID($B728,7,1),"0123456789")-1,"")</f>
        <v/>
      </c>
      <c r="N728">
        <f>IF($F728=1,FIND(MID($B728,8,1),"0123456789")-1,"")</f>
        <v/>
      </c>
      <c r="O728">
        <f>IF($F728=1,FIND(MID($B728,9,1),"0123456789")-1,"")</f>
        <v/>
      </c>
      <c r="P728">
        <f>IF($F728=1,FIND(MID($B728,10,1),"0123456789")-1,"")</f>
        <v/>
      </c>
      <c r="Q728">
        <f>IF($F728=1,SUMPRODUCT($G728:$P728,{1,2,4,8,16,32,64,128,256,512}),"")</f>
        <v/>
      </c>
      <c r="R728">
        <f>IF($F728=1,MOD(MOD($Q728,11),10),"")</f>
        <v/>
      </c>
    </row>
    <row r="729">
      <c r="A729" s="6" t="n"/>
      <c r="B729" s="7">
        <f>IF($A729="","",UPPER(SUBSTITUTE(SUBSTITUTE(SUBSTITUTE(SUBSTITUTE(SUBSTITUTE(SUBSTITUTE($A729," ",""),"-",""),".",""),"/",""),"i","I"),"ı","?")))</f>
        <v/>
      </c>
      <c r="C729" s="8">
        <f>IF($F729=1,$R729,"")</f>
        <v/>
      </c>
      <c r="D729" s="7">
        <f>IF($A729="","",IF($F729=0,"Biçim hatalı",IF(FIND(MID($B729,11,1),"0123456789")-1=$R729,"Geçerli","Kontrol hanesi hatalı (doğrusu: "&amp;$R729&amp;")")))</f>
        <v/>
      </c>
      <c r="F729">
        <f>IF($A729="","",IF(AND(LEN($B729)=11,SUMPRODUCT(--ISNUMBER(FIND(MID($B729,{1,2,3},1),"ABCDEFGHIJKLMNOPQRSTUVWXYZ")))=3,ISNUMBER(FIND(MID($B729,4,1),"UJZ")),SUMPRODUCT(--ISNUMBER(FIND(MID($B729,{5,6,7,8,9,10,11},1),"0123456789")))=7),1,0))</f>
        <v/>
      </c>
      <c r="G729">
        <f>IF($F729=1,INDEX({10,12,13,14,15,16,17,18,19,20,21,23,24,25,26,27,28,29,30,31,32,34,35,36,37,38},1,FIND(MID($B729,1,1),"ABCDEFGHIJKLMNOPQRSTUVWXYZ")),"")</f>
        <v/>
      </c>
      <c r="H729">
        <f>IF($F729=1,INDEX({10,12,13,14,15,16,17,18,19,20,21,23,24,25,26,27,28,29,30,31,32,34,35,36,37,38},1,FIND(MID($B729,2,1),"ABCDEFGHIJKLMNOPQRSTUVWXYZ")),"")</f>
        <v/>
      </c>
      <c r="I729">
        <f>IF($F729=1,INDEX({10,12,13,14,15,16,17,18,19,20,21,23,24,25,26,27,28,29,30,31,32,34,35,36,37,38},1,FIND(MID($B729,3,1),"ABCDEFGHIJKLMNOPQRSTUVWXYZ")),"")</f>
        <v/>
      </c>
      <c r="J729">
        <f>IF($F729=1,INDEX({10,12,13,14,15,16,17,18,19,20,21,23,24,25,26,27,28,29,30,31,32,34,35,36,37,38},1,FIND(MID($B729,4,1),"ABCDEFGHIJKLMNOPQRSTUVWXYZ")),"")</f>
        <v/>
      </c>
      <c r="K729">
        <f>IF($F729=1,FIND(MID($B729,5,1),"0123456789")-1,"")</f>
        <v/>
      </c>
      <c r="L729">
        <f>IF($F729=1,FIND(MID($B729,6,1),"0123456789")-1,"")</f>
        <v/>
      </c>
      <c r="M729">
        <f>IF($F729=1,FIND(MID($B729,7,1),"0123456789")-1,"")</f>
        <v/>
      </c>
      <c r="N729">
        <f>IF($F729=1,FIND(MID($B729,8,1),"0123456789")-1,"")</f>
        <v/>
      </c>
      <c r="O729">
        <f>IF($F729=1,FIND(MID($B729,9,1),"0123456789")-1,"")</f>
        <v/>
      </c>
      <c r="P729">
        <f>IF($F729=1,FIND(MID($B729,10,1),"0123456789")-1,"")</f>
        <v/>
      </c>
      <c r="Q729">
        <f>IF($F729=1,SUMPRODUCT($G729:$P729,{1,2,4,8,16,32,64,128,256,512}),"")</f>
        <v/>
      </c>
      <c r="R729">
        <f>IF($F729=1,MOD(MOD($Q729,11),10),"")</f>
        <v/>
      </c>
    </row>
    <row r="730">
      <c r="A730" s="6" t="n"/>
      <c r="B730" s="7">
        <f>IF($A730="","",UPPER(SUBSTITUTE(SUBSTITUTE(SUBSTITUTE(SUBSTITUTE(SUBSTITUTE(SUBSTITUTE($A730," ",""),"-",""),".",""),"/",""),"i","I"),"ı","?")))</f>
        <v/>
      </c>
      <c r="C730" s="8">
        <f>IF($F730=1,$R730,"")</f>
        <v/>
      </c>
      <c r="D730" s="7">
        <f>IF($A730="","",IF($F730=0,"Biçim hatalı",IF(FIND(MID($B730,11,1),"0123456789")-1=$R730,"Geçerli","Kontrol hanesi hatalı (doğrusu: "&amp;$R730&amp;")")))</f>
        <v/>
      </c>
      <c r="F730">
        <f>IF($A730="","",IF(AND(LEN($B730)=11,SUMPRODUCT(--ISNUMBER(FIND(MID($B730,{1,2,3},1),"ABCDEFGHIJKLMNOPQRSTUVWXYZ")))=3,ISNUMBER(FIND(MID($B730,4,1),"UJZ")),SUMPRODUCT(--ISNUMBER(FIND(MID($B730,{5,6,7,8,9,10,11},1),"0123456789")))=7),1,0))</f>
        <v/>
      </c>
      <c r="G730">
        <f>IF($F730=1,INDEX({10,12,13,14,15,16,17,18,19,20,21,23,24,25,26,27,28,29,30,31,32,34,35,36,37,38},1,FIND(MID($B730,1,1),"ABCDEFGHIJKLMNOPQRSTUVWXYZ")),"")</f>
        <v/>
      </c>
      <c r="H730">
        <f>IF($F730=1,INDEX({10,12,13,14,15,16,17,18,19,20,21,23,24,25,26,27,28,29,30,31,32,34,35,36,37,38},1,FIND(MID($B730,2,1),"ABCDEFGHIJKLMNOPQRSTUVWXYZ")),"")</f>
        <v/>
      </c>
      <c r="I730">
        <f>IF($F730=1,INDEX({10,12,13,14,15,16,17,18,19,20,21,23,24,25,26,27,28,29,30,31,32,34,35,36,37,38},1,FIND(MID($B730,3,1),"ABCDEFGHIJKLMNOPQRSTUVWXYZ")),"")</f>
        <v/>
      </c>
      <c r="J730">
        <f>IF($F730=1,INDEX({10,12,13,14,15,16,17,18,19,20,21,23,24,25,26,27,28,29,30,31,32,34,35,36,37,38},1,FIND(MID($B730,4,1),"ABCDEFGHIJKLMNOPQRSTUVWXYZ")),"")</f>
        <v/>
      </c>
      <c r="K730">
        <f>IF($F730=1,FIND(MID($B730,5,1),"0123456789")-1,"")</f>
        <v/>
      </c>
      <c r="L730">
        <f>IF($F730=1,FIND(MID($B730,6,1),"0123456789")-1,"")</f>
        <v/>
      </c>
      <c r="M730">
        <f>IF($F730=1,FIND(MID($B730,7,1),"0123456789")-1,"")</f>
        <v/>
      </c>
      <c r="N730">
        <f>IF($F730=1,FIND(MID($B730,8,1),"0123456789")-1,"")</f>
        <v/>
      </c>
      <c r="O730">
        <f>IF($F730=1,FIND(MID($B730,9,1),"0123456789")-1,"")</f>
        <v/>
      </c>
      <c r="P730">
        <f>IF($F730=1,FIND(MID($B730,10,1),"0123456789")-1,"")</f>
        <v/>
      </c>
      <c r="Q730">
        <f>IF($F730=1,SUMPRODUCT($G730:$P730,{1,2,4,8,16,32,64,128,256,512}),"")</f>
        <v/>
      </c>
      <c r="R730">
        <f>IF($F730=1,MOD(MOD($Q730,11),10),"")</f>
        <v/>
      </c>
    </row>
    <row r="731">
      <c r="A731" s="6" t="n"/>
      <c r="B731" s="7">
        <f>IF($A731="","",UPPER(SUBSTITUTE(SUBSTITUTE(SUBSTITUTE(SUBSTITUTE(SUBSTITUTE(SUBSTITUTE($A731," ",""),"-",""),".",""),"/",""),"i","I"),"ı","?")))</f>
        <v/>
      </c>
      <c r="C731" s="8">
        <f>IF($F731=1,$R731,"")</f>
        <v/>
      </c>
      <c r="D731" s="7">
        <f>IF($A731="","",IF($F731=0,"Biçim hatalı",IF(FIND(MID($B731,11,1),"0123456789")-1=$R731,"Geçerli","Kontrol hanesi hatalı (doğrusu: "&amp;$R731&amp;")")))</f>
        <v/>
      </c>
      <c r="F731">
        <f>IF($A731="","",IF(AND(LEN($B731)=11,SUMPRODUCT(--ISNUMBER(FIND(MID($B731,{1,2,3},1),"ABCDEFGHIJKLMNOPQRSTUVWXYZ")))=3,ISNUMBER(FIND(MID($B731,4,1),"UJZ")),SUMPRODUCT(--ISNUMBER(FIND(MID($B731,{5,6,7,8,9,10,11},1),"0123456789")))=7),1,0))</f>
        <v/>
      </c>
      <c r="G731">
        <f>IF($F731=1,INDEX({10,12,13,14,15,16,17,18,19,20,21,23,24,25,26,27,28,29,30,31,32,34,35,36,37,38},1,FIND(MID($B731,1,1),"ABCDEFGHIJKLMNOPQRSTUVWXYZ")),"")</f>
        <v/>
      </c>
      <c r="H731">
        <f>IF($F731=1,INDEX({10,12,13,14,15,16,17,18,19,20,21,23,24,25,26,27,28,29,30,31,32,34,35,36,37,38},1,FIND(MID($B731,2,1),"ABCDEFGHIJKLMNOPQRSTUVWXYZ")),"")</f>
        <v/>
      </c>
      <c r="I731">
        <f>IF($F731=1,INDEX({10,12,13,14,15,16,17,18,19,20,21,23,24,25,26,27,28,29,30,31,32,34,35,36,37,38},1,FIND(MID($B731,3,1),"ABCDEFGHIJKLMNOPQRSTUVWXYZ")),"")</f>
        <v/>
      </c>
      <c r="J731">
        <f>IF($F731=1,INDEX({10,12,13,14,15,16,17,18,19,20,21,23,24,25,26,27,28,29,30,31,32,34,35,36,37,38},1,FIND(MID($B731,4,1),"ABCDEFGHIJKLMNOPQRSTUVWXYZ")),"")</f>
        <v/>
      </c>
      <c r="K731">
        <f>IF($F731=1,FIND(MID($B731,5,1),"0123456789")-1,"")</f>
        <v/>
      </c>
      <c r="L731">
        <f>IF($F731=1,FIND(MID($B731,6,1),"0123456789")-1,"")</f>
        <v/>
      </c>
      <c r="M731">
        <f>IF($F731=1,FIND(MID($B731,7,1),"0123456789")-1,"")</f>
        <v/>
      </c>
      <c r="N731">
        <f>IF($F731=1,FIND(MID($B731,8,1),"0123456789")-1,"")</f>
        <v/>
      </c>
      <c r="O731">
        <f>IF($F731=1,FIND(MID($B731,9,1),"0123456789")-1,"")</f>
        <v/>
      </c>
      <c r="P731">
        <f>IF($F731=1,FIND(MID($B731,10,1),"0123456789")-1,"")</f>
        <v/>
      </c>
      <c r="Q731">
        <f>IF($F731=1,SUMPRODUCT($G731:$P731,{1,2,4,8,16,32,64,128,256,512}),"")</f>
        <v/>
      </c>
      <c r="R731">
        <f>IF($F731=1,MOD(MOD($Q731,11),10),"")</f>
        <v/>
      </c>
    </row>
    <row r="732">
      <c r="A732" s="6" t="n"/>
      <c r="B732" s="7">
        <f>IF($A732="","",UPPER(SUBSTITUTE(SUBSTITUTE(SUBSTITUTE(SUBSTITUTE(SUBSTITUTE(SUBSTITUTE($A732," ",""),"-",""),".",""),"/",""),"i","I"),"ı","?")))</f>
        <v/>
      </c>
      <c r="C732" s="8">
        <f>IF($F732=1,$R732,"")</f>
        <v/>
      </c>
      <c r="D732" s="7">
        <f>IF($A732="","",IF($F732=0,"Biçim hatalı",IF(FIND(MID($B732,11,1),"0123456789")-1=$R732,"Geçerli","Kontrol hanesi hatalı (doğrusu: "&amp;$R732&amp;")")))</f>
        <v/>
      </c>
      <c r="F732">
        <f>IF($A732="","",IF(AND(LEN($B732)=11,SUMPRODUCT(--ISNUMBER(FIND(MID($B732,{1,2,3},1),"ABCDEFGHIJKLMNOPQRSTUVWXYZ")))=3,ISNUMBER(FIND(MID($B732,4,1),"UJZ")),SUMPRODUCT(--ISNUMBER(FIND(MID($B732,{5,6,7,8,9,10,11},1),"0123456789")))=7),1,0))</f>
        <v/>
      </c>
      <c r="G732">
        <f>IF($F732=1,INDEX({10,12,13,14,15,16,17,18,19,20,21,23,24,25,26,27,28,29,30,31,32,34,35,36,37,38},1,FIND(MID($B732,1,1),"ABCDEFGHIJKLMNOPQRSTUVWXYZ")),"")</f>
        <v/>
      </c>
      <c r="H732">
        <f>IF($F732=1,INDEX({10,12,13,14,15,16,17,18,19,20,21,23,24,25,26,27,28,29,30,31,32,34,35,36,37,38},1,FIND(MID($B732,2,1),"ABCDEFGHIJKLMNOPQRSTUVWXYZ")),"")</f>
        <v/>
      </c>
      <c r="I732">
        <f>IF($F732=1,INDEX({10,12,13,14,15,16,17,18,19,20,21,23,24,25,26,27,28,29,30,31,32,34,35,36,37,38},1,FIND(MID($B732,3,1),"ABCDEFGHIJKLMNOPQRSTUVWXYZ")),"")</f>
        <v/>
      </c>
      <c r="J732">
        <f>IF($F732=1,INDEX({10,12,13,14,15,16,17,18,19,20,21,23,24,25,26,27,28,29,30,31,32,34,35,36,37,38},1,FIND(MID($B732,4,1),"ABCDEFGHIJKLMNOPQRSTUVWXYZ")),"")</f>
        <v/>
      </c>
      <c r="K732">
        <f>IF($F732=1,FIND(MID($B732,5,1),"0123456789")-1,"")</f>
        <v/>
      </c>
      <c r="L732">
        <f>IF($F732=1,FIND(MID($B732,6,1),"0123456789")-1,"")</f>
        <v/>
      </c>
      <c r="M732">
        <f>IF($F732=1,FIND(MID($B732,7,1),"0123456789")-1,"")</f>
        <v/>
      </c>
      <c r="N732">
        <f>IF($F732=1,FIND(MID($B732,8,1),"0123456789")-1,"")</f>
        <v/>
      </c>
      <c r="O732">
        <f>IF($F732=1,FIND(MID($B732,9,1),"0123456789")-1,"")</f>
        <v/>
      </c>
      <c r="P732">
        <f>IF($F732=1,FIND(MID($B732,10,1),"0123456789")-1,"")</f>
        <v/>
      </c>
      <c r="Q732">
        <f>IF($F732=1,SUMPRODUCT($G732:$P732,{1,2,4,8,16,32,64,128,256,512}),"")</f>
        <v/>
      </c>
      <c r="R732">
        <f>IF($F732=1,MOD(MOD($Q732,11),10),"")</f>
        <v/>
      </c>
    </row>
    <row r="733">
      <c r="A733" s="6" t="n"/>
      <c r="B733" s="7">
        <f>IF($A733="","",UPPER(SUBSTITUTE(SUBSTITUTE(SUBSTITUTE(SUBSTITUTE(SUBSTITUTE(SUBSTITUTE($A733," ",""),"-",""),".",""),"/",""),"i","I"),"ı","?")))</f>
        <v/>
      </c>
      <c r="C733" s="8">
        <f>IF($F733=1,$R733,"")</f>
        <v/>
      </c>
      <c r="D733" s="7">
        <f>IF($A733="","",IF($F733=0,"Biçim hatalı",IF(FIND(MID($B733,11,1),"0123456789")-1=$R733,"Geçerli","Kontrol hanesi hatalı (doğrusu: "&amp;$R733&amp;")")))</f>
        <v/>
      </c>
      <c r="F733">
        <f>IF($A733="","",IF(AND(LEN($B733)=11,SUMPRODUCT(--ISNUMBER(FIND(MID($B733,{1,2,3},1),"ABCDEFGHIJKLMNOPQRSTUVWXYZ")))=3,ISNUMBER(FIND(MID($B733,4,1),"UJZ")),SUMPRODUCT(--ISNUMBER(FIND(MID($B733,{5,6,7,8,9,10,11},1),"0123456789")))=7),1,0))</f>
        <v/>
      </c>
      <c r="G733">
        <f>IF($F733=1,INDEX({10,12,13,14,15,16,17,18,19,20,21,23,24,25,26,27,28,29,30,31,32,34,35,36,37,38},1,FIND(MID($B733,1,1),"ABCDEFGHIJKLMNOPQRSTUVWXYZ")),"")</f>
        <v/>
      </c>
      <c r="H733">
        <f>IF($F733=1,INDEX({10,12,13,14,15,16,17,18,19,20,21,23,24,25,26,27,28,29,30,31,32,34,35,36,37,38},1,FIND(MID($B733,2,1),"ABCDEFGHIJKLMNOPQRSTUVWXYZ")),"")</f>
        <v/>
      </c>
      <c r="I733">
        <f>IF($F733=1,INDEX({10,12,13,14,15,16,17,18,19,20,21,23,24,25,26,27,28,29,30,31,32,34,35,36,37,38},1,FIND(MID($B733,3,1),"ABCDEFGHIJKLMNOPQRSTUVWXYZ")),"")</f>
        <v/>
      </c>
      <c r="J733">
        <f>IF($F733=1,INDEX({10,12,13,14,15,16,17,18,19,20,21,23,24,25,26,27,28,29,30,31,32,34,35,36,37,38},1,FIND(MID($B733,4,1),"ABCDEFGHIJKLMNOPQRSTUVWXYZ")),"")</f>
        <v/>
      </c>
      <c r="K733">
        <f>IF($F733=1,FIND(MID($B733,5,1),"0123456789")-1,"")</f>
        <v/>
      </c>
      <c r="L733">
        <f>IF($F733=1,FIND(MID($B733,6,1),"0123456789")-1,"")</f>
        <v/>
      </c>
      <c r="M733">
        <f>IF($F733=1,FIND(MID($B733,7,1),"0123456789")-1,"")</f>
        <v/>
      </c>
      <c r="N733">
        <f>IF($F733=1,FIND(MID($B733,8,1),"0123456789")-1,"")</f>
        <v/>
      </c>
      <c r="O733">
        <f>IF($F733=1,FIND(MID($B733,9,1),"0123456789")-1,"")</f>
        <v/>
      </c>
      <c r="P733">
        <f>IF($F733=1,FIND(MID($B733,10,1),"0123456789")-1,"")</f>
        <v/>
      </c>
      <c r="Q733">
        <f>IF($F733=1,SUMPRODUCT($G733:$P733,{1,2,4,8,16,32,64,128,256,512}),"")</f>
        <v/>
      </c>
      <c r="R733">
        <f>IF($F733=1,MOD(MOD($Q733,11),10),"")</f>
        <v/>
      </c>
    </row>
    <row r="734">
      <c r="A734" s="6" t="n"/>
      <c r="B734" s="7">
        <f>IF($A734="","",UPPER(SUBSTITUTE(SUBSTITUTE(SUBSTITUTE(SUBSTITUTE(SUBSTITUTE(SUBSTITUTE($A734," ",""),"-",""),".",""),"/",""),"i","I"),"ı","?")))</f>
        <v/>
      </c>
      <c r="C734" s="8">
        <f>IF($F734=1,$R734,"")</f>
        <v/>
      </c>
      <c r="D734" s="7">
        <f>IF($A734="","",IF($F734=0,"Biçim hatalı",IF(FIND(MID($B734,11,1),"0123456789")-1=$R734,"Geçerli","Kontrol hanesi hatalı (doğrusu: "&amp;$R734&amp;")")))</f>
        <v/>
      </c>
      <c r="F734">
        <f>IF($A734="","",IF(AND(LEN($B734)=11,SUMPRODUCT(--ISNUMBER(FIND(MID($B734,{1,2,3},1),"ABCDEFGHIJKLMNOPQRSTUVWXYZ")))=3,ISNUMBER(FIND(MID($B734,4,1),"UJZ")),SUMPRODUCT(--ISNUMBER(FIND(MID($B734,{5,6,7,8,9,10,11},1),"0123456789")))=7),1,0))</f>
        <v/>
      </c>
      <c r="G734">
        <f>IF($F734=1,INDEX({10,12,13,14,15,16,17,18,19,20,21,23,24,25,26,27,28,29,30,31,32,34,35,36,37,38},1,FIND(MID($B734,1,1),"ABCDEFGHIJKLMNOPQRSTUVWXYZ")),"")</f>
        <v/>
      </c>
      <c r="H734">
        <f>IF($F734=1,INDEX({10,12,13,14,15,16,17,18,19,20,21,23,24,25,26,27,28,29,30,31,32,34,35,36,37,38},1,FIND(MID($B734,2,1),"ABCDEFGHIJKLMNOPQRSTUVWXYZ")),"")</f>
        <v/>
      </c>
      <c r="I734">
        <f>IF($F734=1,INDEX({10,12,13,14,15,16,17,18,19,20,21,23,24,25,26,27,28,29,30,31,32,34,35,36,37,38},1,FIND(MID($B734,3,1),"ABCDEFGHIJKLMNOPQRSTUVWXYZ")),"")</f>
        <v/>
      </c>
      <c r="J734">
        <f>IF($F734=1,INDEX({10,12,13,14,15,16,17,18,19,20,21,23,24,25,26,27,28,29,30,31,32,34,35,36,37,38},1,FIND(MID($B734,4,1),"ABCDEFGHIJKLMNOPQRSTUVWXYZ")),"")</f>
        <v/>
      </c>
      <c r="K734">
        <f>IF($F734=1,FIND(MID($B734,5,1),"0123456789")-1,"")</f>
        <v/>
      </c>
      <c r="L734">
        <f>IF($F734=1,FIND(MID($B734,6,1),"0123456789")-1,"")</f>
        <v/>
      </c>
      <c r="M734">
        <f>IF($F734=1,FIND(MID($B734,7,1),"0123456789")-1,"")</f>
        <v/>
      </c>
      <c r="N734">
        <f>IF($F734=1,FIND(MID($B734,8,1),"0123456789")-1,"")</f>
        <v/>
      </c>
      <c r="O734">
        <f>IF($F734=1,FIND(MID($B734,9,1),"0123456789")-1,"")</f>
        <v/>
      </c>
      <c r="P734">
        <f>IF($F734=1,FIND(MID($B734,10,1),"0123456789")-1,"")</f>
        <v/>
      </c>
      <c r="Q734">
        <f>IF($F734=1,SUMPRODUCT($G734:$P734,{1,2,4,8,16,32,64,128,256,512}),"")</f>
        <v/>
      </c>
      <c r="R734">
        <f>IF($F734=1,MOD(MOD($Q734,11),10),"")</f>
        <v/>
      </c>
    </row>
    <row r="735">
      <c r="A735" s="6" t="n"/>
      <c r="B735" s="7">
        <f>IF($A735="","",UPPER(SUBSTITUTE(SUBSTITUTE(SUBSTITUTE(SUBSTITUTE(SUBSTITUTE(SUBSTITUTE($A735," ",""),"-",""),".",""),"/",""),"i","I"),"ı","?")))</f>
        <v/>
      </c>
      <c r="C735" s="8">
        <f>IF($F735=1,$R735,"")</f>
        <v/>
      </c>
      <c r="D735" s="7">
        <f>IF($A735="","",IF($F735=0,"Biçim hatalı",IF(FIND(MID($B735,11,1),"0123456789")-1=$R735,"Geçerli","Kontrol hanesi hatalı (doğrusu: "&amp;$R735&amp;")")))</f>
        <v/>
      </c>
      <c r="F735">
        <f>IF($A735="","",IF(AND(LEN($B735)=11,SUMPRODUCT(--ISNUMBER(FIND(MID($B735,{1,2,3},1),"ABCDEFGHIJKLMNOPQRSTUVWXYZ")))=3,ISNUMBER(FIND(MID($B735,4,1),"UJZ")),SUMPRODUCT(--ISNUMBER(FIND(MID($B735,{5,6,7,8,9,10,11},1),"0123456789")))=7),1,0))</f>
        <v/>
      </c>
      <c r="G735">
        <f>IF($F735=1,INDEX({10,12,13,14,15,16,17,18,19,20,21,23,24,25,26,27,28,29,30,31,32,34,35,36,37,38},1,FIND(MID($B735,1,1),"ABCDEFGHIJKLMNOPQRSTUVWXYZ")),"")</f>
        <v/>
      </c>
      <c r="H735">
        <f>IF($F735=1,INDEX({10,12,13,14,15,16,17,18,19,20,21,23,24,25,26,27,28,29,30,31,32,34,35,36,37,38},1,FIND(MID($B735,2,1),"ABCDEFGHIJKLMNOPQRSTUVWXYZ")),"")</f>
        <v/>
      </c>
      <c r="I735">
        <f>IF($F735=1,INDEX({10,12,13,14,15,16,17,18,19,20,21,23,24,25,26,27,28,29,30,31,32,34,35,36,37,38},1,FIND(MID($B735,3,1),"ABCDEFGHIJKLMNOPQRSTUVWXYZ")),"")</f>
        <v/>
      </c>
      <c r="J735">
        <f>IF($F735=1,INDEX({10,12,13,14,15,16,17,18,19,20,21,23,24,25,26,27,28,29,30,31,32,34,35,36,37,38},1,FIND(MID($B735,4,1),"ABCDEFGHIJKLMNOPQRSTUVWXYZ")),"")</f>
        <v/>
      </c>
      <c r="K735">
        <f>IF($F735=1,FIND(MID($B735,5,1),"0123456789")-1,"")</f>
        <v/>
      </c>
      <c r="L735">
        <f>IF($F735=1,FIND(MID($B735,6,1),"0123456789")-1,"")</f>
        <v/>
      </c>
      <c r="M735">
        <f>IF($F735=1,FIND(MID($B735,7,1),"0123456789")-1,"")</f>
        <v/>
      </c>
      <c r="N735">
        <f>IF($F735=1,FIND(MID($B735,8,1),"0123456789")-1,"")</f>
        <v/>
      </c>
      <c r="O735">
        <f>IF($F735=1,FIND(MID($B735,9,1),"0123456789")-1,"")</f>
        <v/>
      </c>
      <c r="P735">
        <f>IF($F735=1,FIND(MID($B735,10,1),"0123456789")-1,"")</f>
        <v/>
      </c>
      <c r="Q735">
        <f>IF($F735=1,SUMPRODUCT($G735:$P735,{1,2,4,8,16,32,64,128,256,512}),"")</f>
        <v/>
      </c>
      <c r="R735">
        <f>IF($F735=1,MOD(MOD($Q735,11),10),"")</f>
        <v/>
      </c>
    </row>
    <row r="736">
      <c r="A736" s="6" t="n"/>
      <c r="B736" s="7">
        <f>IF($A736="","",UPPER(SUBSTITUTE(SUBSTITUTE(SUBSTITUTE(SUBSTITUTE(SUBSTITUTE(SUBSTITUTE($A736," ",""),"-",""),".",""),"/",""),"i","I"),"ı","?")))</f>
        <v/>
      </c>
      <c r="C736" s="8">
        <f>IF($F736=1,$R736,"")</f>
        <v/>
      </c>
      <c r="D736" s="7">
        <f>IF($A736="","",IF($F736=0,"Biçim hatalı",IF(FIND(MID($B736,11,1),"0123456789")-1=$R736,"Geçerli","Kontrol hanesi hatalı (doğrusu: "&amp;$R736&amp;")")))</f>
        <v/>
      </c>
      <c r="F736">
        <f>IF($A736="","",IF(AND(LEN($B736)=11,SUMPRODUCT(--ISNUMBER(FIND(MID($B736,{1,2,3},1),"ABCDEFGHIJKLMNOPQRSTUVWXYZ")))=3,ISNUMBER(FIND(MID($B736,4,1),"UJZ")),SUMPRODUCT(--ISNUMBER(FIND(MID($B736,{5,6,7,8,9,10,11},1),"0123456789")))=7),1,0))</f>
        <v/>
      </c>
      <c r="G736">
        <f>IF($F736=1,INDEX({10,12,13,14,15,16,17,18,19,20,21,23,24,25,26,27,28,29,30,31,32,34,35,36,37,38},1,FIND(MID($B736,1,1),"ABCDEFGHIJKLMNOPQRSTUVWXYZ")),"")</f>
        <v/>
      </c>
      <c r="H736">
        <f>IF($F736=1,INDEX({10,12,13,14,15,16,17,18,19,20,21,23,24,25,26,27,28,29,30,31,32,34,35,36,37,38},1,FIND(MID($B736,2,1),"ABCDEFGHIJKLMNOPQRSTUVWXYZ")),"")</f>
        <v/>
      </c>
      <c r="I736">
        <f>IF($F736=1,INDEX({10,12,13,14,15,16,17,18,19,20,21,23,24,25,26,27,28,29,30,31,32,34,35,36,37,38},1,FIND(MID($B736,3,1),"ABCDEFGHIJKLMNOPQRSTUVWXYZ")),"")</f>
        <v/>
      </c>
      <c r="J736">
        <f>IF($F736=1,INDEX({10,12,13,14,15,16,17,18,19,20,21,23,24,25,26,27,28,29,30,31,32,34,35,36,37,38},1,FIND(MID($B736,4,1),"ABCDEFGHIJKLMNOPQRSTUVWXYZ")),"")</f>
        <v/>
      </c>
      <c r="K736">
        <f>IF($F736=1,FIND(MID($B736,5,1),"0123456789")-1,"")</f>
        <v/>
      </c>
      <c r="L736">
        <f>IF($F736=1,FIND(MID($B736,6,1),"0123456789")-1,"")</f>
        <v/>
      </c>
      <c r="M736">
        <f>IF($F736=1,FIND(MID($B736,7,1),"0123456789")-1,"")</f>
        <v/>
      </c>
      <c r="N736">
        <f>IF($F736=1,FIND(MID($B736,8,1),"0123456789")-1,"")</f>
        <v/>
      </c>
      <c r="O736">
        <f>IF($F736=1,FIND(MID($B736,9,1),"0123456789")-1,"")</f>
        <v/>
      </c>
      <c r="P736">
        <f>IF($F736=1,FIND(MID($B736,10,1),"0123456789")-1,"")</f>
        <v/>
      </c>
      <c r="Q736">
        <f>IF($F736=1,SUMPRODUCT($G736:$P736,{1,2,4,8,16,32,64,128,256,512}),"")</f>
        <v/>
      </c>
      <c r="R736">
        <f>IF($F736=1,MOD(MOD($Q736,11),10),"")</f>
        <v/>
      </c>
    </row>
    <row r="737">
      <c r="A737" s="6" t="n"/>
      <c r="B737" s="7">
        <f>IF($A737="","",UPPER(SUBSTITUTE(SUBSTITUTE(SUBSTITUTE(SUBSTITUTE(SUBSTITUTE(SUBSTITUTE($A737," ",""),"-",""),".",""),"/",""),"i","I"),"ı","?")))</f>
        <v/>
      </c>
      <c r="C737" s="8">
        <f>IF($F737=1,$R737,"")</f>
        <v/>
      </c>
      <c r="D737" s="7">
        <f>IF($A737="","",IF($F737=0,"Biçim hatalı",IF(FIND(MID($B737,11,1),"0123456789")-1=$R737,"Geçerli","Kontrol hanesi hatalı (doğrusu: "&amp;$R737&amp;")")))</f>
        <v/>
      </c>
      <c r="F737">
        <f>IF($A737="","",IF(AND(LEN($B737)=11,SUMPRODUCT(--ISNUMBER(FIND(MID($B737,{1,2,3},1),"ABCDEFGHIJKLMNOPQRSTUVWXYZ")))=3,ISNUMBER(FIND(MID($B737,4,1),"UJZ")),SUMPRODUCT(--ISNUMBER(FIND(MID($B737,{5,6,7,8,9,10,11},1),"0123456789")))=7),1,0))</f>
        <v/>
      </c>
      <c r="G737">
        <f>IF($F737=1,INDEX({10,12,13,14,15,16,17,18,19,20,21,23,24,25,26,27,28,29,30,31,32,34,35,36,37,38},1,FIND(MID($B737,1,1),"ABCDEFGHIJKLMNOPQRSTUVWXYZ")),"")</f>
        <v/>
      </c>
      <c r="H737">
        <f>IF($F737=1,INDEX({10,12,13,14,15,16,17,18,19,20,21,23,24,25,26,27,28,29,30,31,32,34,35,36,37,38},1,FIND(MID($B737,2,1),"ABCDEFGHIJKLMNOPQRSTUVWXYZ")),"")</f>
        <v/>
      </c>
      <c r="I737">
        <f>IF($F737=1,INDEX({10,12,13,14,15,16,17,18,19,20,21,23,24,25,26,27,28,29,30,31,32,34,35,36,37,38},1,FIND(MID($B737,3,1),"ABCDEFGHIJKLMNOPQRSTUVWXYZ")),"")</f>
        <v/>
      </c>
      <c r="J737">
        <f>IF($F737=1,INDEX({10,12,13,14,15,16,17,18,19,20,21,23,24,25,26,27,28,29,30,31,32,34,35,36,37,38},1,FIND(MID($B737,4,1),"ABCDEFGHIJKLMNOPQRSTUVWXYZ")),"")</f>
        <v/>
      </c>
      <c r="K737">
        <f>IF($F737=1,FIND(MID($B737,5,1),"0123456789")-1,"")</f>
        <v/>
      </c>
      <c r="L737">
        <f>IF($F737=1,FIND(MID($B737,6,1),"0123456789")-1,"")</f>
        <v/>
      </c>
      <c r="M737">
        <f>IF($F737=1,FIND(MID($B737,7,1),"0123456789")-1,"")</f>
        <v/>
      </c>
      <c r="N737">
        <f>IF($F737=1,FIND(MID($B737,8,1),"0123456789")-1,"")</f>
        <v/>
      </c>
      <c r="O737">
        <f>IF($F737=1,FIND(MID($B737,9,1),"0123456789")-1,"")</f>
        <v/>
      </c>
      <c r="P737">
        <f>IF($F737=1,FIND(MID($B737,10,1),"0123456789")-1,"")</f>
        <v/>
      </c>
      <c r="Q737">
        <f>IF($F737=1,SUMPRODUCT($G737:$P737,{1,2,4,8,16,32,64,128,256,512}),"")</f>
        <v/>
      </c>
      <c r="R737">
        <f>IF($F737=1,MOD(MOD($Q737,11),10),"")</f>
        <v/>
      </c>
    </row>
    <row r="738">
      <c r="A738" s="6" t="n"/>
      <c r="B738" s="7">
        <f>IF($A738="","",UPPER(SUBSTITUTE(SUBSTITUTE(SUBSTITUTE(SUBSTITUTE(SUBSTITUTE(SUBSTITUTE($A738," ",""),"-",""),".",""),"/",""),"i","I"),"ı","?")))</f>
        <v/>
      </c>
      <c r="C738" s="8">
        <f>IF($F738=1,$R738,"")</f>
        <v/>
      </c>
      <c r="D738" s="7">
        <f>IF($A738="","",IF($F738=0,"Biçim hatalı",IF(FIND(MID($B738,11,1),"0123456789")-1=$R738,"Geçerli","Kontrol hanesi hatalı (doğrusu: "&amp;$R738&amp;")")))</f>
        <v/>
      </c>
      <c r="F738">
        <f>IF($A738="","",IF(AND(LEN($B738)=11,SUMPRODUCT(--ISNUMBER(FIND(MID($B738,{1,2,3},1),"ABCDEFGHIJKLMNOPQRSTUVWXYZ")))=3,ISNUMBER(FIND(MID($B738,4,1),"UJZ")),SUMPRODUCT(--ISNUMBER(FIND(MID($B738,{5,6,7,8,9,10,11},1),"0123456789")))=7),1,0))</f>
        <v/>
      </c>
      <c r="G738">
        <f>IF($F738=1,INDEX({10,12,13,14,15,16,17,18,19,20,21,23,24,25,26,27,28,29,30,31,32,34,35,36,37,38},1,FIND(MID($B738,1,1),"ABCDEFGHIJKLMNOPQRSTUVWXYZ")),"")</f>
        <v/>
      </c>
      <c r="H738">
        <f>IF($F738=1,INDEX({10,12,13,14,15,16,17,18,19,20,21,23,24,25,26,27,28,29,30,31,32,34,35,36,37,38},1,FIND(MID($B738,2,1),"ABCDEFGHIJKLMNOPQRSTUVWXYZ")),"")</f>
        <v/>
      </c>
      <c r="I738">
        <f>IF($F738=1,INDEX({10,12,13,14,15,16,17,18,19,20,21,23,24,25,26,27,28,29,30,31,32,34,35,36,37,38},1,FIND(MID($B738,3,1),"ABCDEFGHIJKLMNOPQRSTUVWXYZ")),"")</f>
        <v/>
      </c>
      <c r="J738">
        <f>IF($F738=1,INDEX({10,12,13,14,15,16,17,18,19,20,21,23,24,25,26,27,28,29,30,31,32,34,35,36,37,38},1,FIND(MID($B738,4,1),"ABCDEFGHIJKLMNOPQRSTUVWXYZ")),"")</f>
        <v/>
      </c>
      <c r="K738">
        <f>IF($F738=1,FIND(MID($B738,5,1),"0123456789")-1,"")</f>
        <v/>
      </c>
      <c r="L738">
        <f>IF($F738=1,FIND(MID($B738,6,1),"0123456789")-1,"")</f>
        <v/>
      </c>
      <c r="M738">
        <f>IF($F738=1,FIND(MID($B738,7,1),"0123456789")-1,"")</f>
        <v/>
      </c>
      <c r="N738">
        <f>IF($F738=1,FIND(MID($B738,8,1),"0123456789")-1,"")</f>
        <v/>
      </c>
      <c r="O738">
        <f>IF($F738=1,FIND(MID($B738,9,1),"0123456789")-1,"")</f>
        <v/>
      </c>
      <c r="P738">
        <f>IF($F738=1,FIND(MID($B738,10,1),"0123456789")-1,"")</f>
        <v/>
      </c>
      <c r="Q738">
        <f>IF($F738=1,SUMPRODUCT($G738:$P738,{1,2,4,8,16,32,64,128,256,512}),"")</f>
        <v/>
      </c>
      <c r="R738">
        <f>IF($F738=1,MOD(MOD($Q738,11),10),"")</f>
        <v/>
      </c>
    </row>
    <row r="739">
      <c r="A739" s="6" t="n"/>
      <c r="B739" s="7">
        <f>IF($A739="","",UPPER(SUBSTITUTE(SUBSTITUTE(SUBSTITUTE(SUBSTITUTE(SUBSTITUTE(SUBSTITUTE($A739," ",""),"-",""),".",""),"/",""),"i","I"),"ı","?")))</f>
        <v/>
      </c>
      <c r="C739" s="8">
        <f>IF($F739=1,$R739,"")</f>
        <v/>
      </c>
      <c r="D739" s="7">
        <f>IF($A739="","",IF($F739=0,"Biçim hatalı",IF(FIND(MID($B739,11,1),"0123456789")-1=$R739,"Geçerli","Kontrol hanesi hatalı (doğrusu: "&amp;$R739&amp;")")))</f>
        <v/>
      </c>
      <c r="F739">
        <f>IF($A739="","",IF(AND(LEN($B739)=11,SUMPRODUCT(--ISNUMBER(FIND(MID($B739,{1,2,3},1),"ABCDEFGHIJKLMNOPQRSTUVWXYZ")))=3,ISNUMBER(FIND(MID($B739,4,1),"UJZ")),SUMPRODUCT(--ISNUMBER(FIND(MID($B739,{5,6,7,8,9,10,11},1),"0123456789")))=7),1,0))</f>
        <v/>
      </c>
      <c r="G739">
        <f>IF($F739=1,INDEX({10,12,13,14,15,16,17,18,19,20,21,23,24,25,26,27,28,29,30,31,32,34,35,36,37,38},1,FIND(MID($B739,1,1),"ABCDEFGHIJKLMNOPQRSTUVWXYZ")),"")</f>
        <v/>
      </c>
      <c r="H739">
        <f>IF($F739=1,INDEX({10,12,13,14,15,16,17,18,19,20,21,23,24,25,26,27,28,29,30,31,32,34,35,36,37,38},1,FIND(MID($B739,2,1),"ABCDEFGHIJKLMNOPQRSTUVWXYZ")),"")</f>
        <v/>
      </c>
      <c r="I739">
        <f>IF($F739=1,INDEX({10,12,13,14,15,16,17,18,19,20,21,23,24,25,26,27,28,29,30,31,32,34,35,36,37,38},1,FIND(MID($B739,3,1),"ABCDEFGHIJKLMNOPQRSTUVWXYZ")),"")</f>
        <v/>
      </c>
      <c r="J739">
        <f>IF($F739=1,INDEX({10,12,13,14,15,16,17,18,19,20,21,23,24,25,26,27,28,29,30,31,32,34,35,36,37,38},1,FIND(MID($B739,4,1),"ABCDEFGHIJKLMNOPQRSTUVWXYZ")),"")</f>
        <v/>
      </c>
      <c r="K739">
        <f>IF($F739=1,FIND(MID($B739,5,1),"0123456789")-1,"")</f>
        <v/>
      </c>
      <c r="L739">
        <f>IF($F739=1,FIND(MID($B739,6,1),"0123456789")-1,"")</f>
        <v/>
      </c>
      <c r="M739">
        <f>IF($F739=1,FIND(MID($B739,7,1),"0123456789")-1,"")</f>
        <v/>
      </c>
      <c r="N739">
        <f>IF($F739=1,FIND(MID($B739,8,1),"0123456789")-1,"")</f>
        <v/>
      </c>
      <c r="O739">
        <f>IF($F739=1,FIND(MID($B739,9,1),"0123456789")-1,"")</f>
        <v/>
      </c>
      <c r="P739">
        <f>IF($F739=1,FIND(MID($B739,10,1),"0123456789")-1,"")</f>
        <v/>
      </c>
      <c r="Q739">
        <f>IF($F739=1,SUMPRODUCT($G739:$P739,{1,2,4,8,16,32,64,128,256,512}),"")</f>
        <v/>
      </c>
      <c r="R739">
        <f>IF($F739=1,MOD(MOD($Q739,11),10),"")</f>
        <v/>
      </c>
    </row>
    <row r="740">
      <c r="A740" s="6" t="n"/>
      <c r="B740" s="7">
        <f>IF($A740="","",UPPER(SUBSTITUTE(SUBSTITUTE(SUBSTITUTE(SUBSTITUTE(SUBSTITUTE(SUBSTITUTE($A740," ",""),"-",""),".",""),"/",""),"i","I"),"ı","?")))</f>
        <v/>
      </c>
      <c r="C740" s="8">
        <f>IF($F740=1,$R740,"")</f>
        <v/>
      </c>
      <c r="D740" s="7">
        <f>IF($A740="","",IF($F740=0,"Biçim hatalı",IF(FIND(MID($B740,11,1),"0123456789")-1=$R740,"Geçerli","Kontrol hanesi hatalı (doğrusu: "&amp;$R740&amp;")")))</f>
        <v/>
      </c>
      <c r="F740">
        <f>IF($A740="","",IF(AND(LEN($B740)=11,SUMPRODUCT(--ISNUMBER(FIND(MID($B740,{1,2,3},1),"ABCDEFGHIJKLMNOPQRSTUVWXYZ")))=3,ISNUMBER(FIND(MID($B740,4,1),"UJZ")),SUMPRODUCT(--ISNUMBER(FIND(MID($B740,{5,6,7,8,9,10,11},1),"0123456789")))=7),1,0))</f>
        <v/>
      </c>
      <c r="G740">
        <f>IF($F740=1,INDEX({10,12,13,14,15,16,17,18,19,20,21,23,24,25,26,27,28,29,30,31,32,34,35,36,37,38},1,FIND(MID($B740,1,1),"ABCDEFGHIJKLMNOPQRSTUVWXYZ")),"")</f>
        <v/>
      </c>
      <c r="H740">
        <f>IF($F740=1,INDEX({10,12,13,14,15,16,17,18,19,20,21,23,24,25,26,27,28,29,30,31,32,34,35,36,37,38},1,FIND(MID($B740,2,1),"ABCDEFGHIJKLMNOPQRSTUVWXYZ")),"")</f>
        <v/>
      </c>
      <c r="I740">
        <f>IF($F740=1,INDEX({10,12,13,14,15,16,17,18,19,20,21,23,24,25,26,27,28,29,30,31,32,34,35,36,37,38},1,FIND(MID($B740,3,1),"ABCDEFGHIJKLMNOPQRSTUVWXYZ")),"")</f>
        <v/>
      </c>
      <c r="J740">
        <f>IF($F740=1,INDEX({10,12,13,14,15,16,17,18,19,20,21,23,24,25,26,27,28,29,30,31,32,34,35,36,37,38},1,FIND(MID($B740,4,1),"ABCDEFGHIJKLMNOPQRSTUVWXYZ")),"")</f>
        <v/>
      </c>
      <c r="K740">
        <f>IF($F740=1,FIND(MID($B740,5,1),"0123456789")-1,"")</f>
        <v/>
      </c>
      <c r="L740">
        <f>IF($F740=1,FIND(MID($B740,6,1),"0123456789")-1,"")</f>
        <v/>
      </c>
      <c r="M740">
        <f>IF($F740=1,FIND(MID($B740,7,1),"0123456789")-1,"")</f>
        <v/>
      </c>
      <c r="N740">
        <f>IF($F740=1,FIND(MID($B740,8,1),"0123456789")-1,"")</f>
        <v/>
      </c>
      <c r="O740">
        <f>IF($F740=1,FIND(MID($B740,9,1),"0123456789")-1,"")</f>
        <v/>
      </c>
      <c r="P740">
        <f>IF($F740=1,FIND(MID($B740,10,1),"0123456789")-1,"")</f>
        <v/>
      </c>
      <c r="Q740">
        <f>IF($F740=1,SUMPRODUCT($G740:$P740,{1,2,4,8,16,32,64,128,256,512}),"")</f>
        <v/>
      </c>
      <c r="R740">
        <f>IF($F740=1,MOD(MOD($Q740,11),10),"")</f>
        <v/>
      </c>
    </row>
    <row r="741">
      <c r="A741" s="6" t="n"/>
      <c r="B741" s="7">
        <f>IF($A741="","",UPPER(SUBSTITUTE(SUBSTITUTE(SUBSTITUTE(SUBSTITUTE(SUBSTITUTE(SUBSTITUTE($A741," ",""),"-",""),".",""),"/",""),"i","I"),"ı","?")))</f>
        <v/>
      </c>
      <c r="C741" s="8">
        <f>IF($F741=1,$R741,"")</f>
        <v/>
      </c>
      <c r="D741" s="7">
        <f>IF($A741="","",IF($F741=0,"Biçim hatalı",IF(FIND(MID($B741,11,1),"0123456789")-1=$R741,"Geçerli","Kontrol hanesi hatalı (doğrusu: "&amp;$R741&amp;")")))</f>
        <v/>
      </c>
      <c r="F741">
        <f>IF($A741="","",IF(AND(LEN($B741)=11,SUMPRODUCT(--ISNUMBER(FIND(MID($B741,{1,2,3},1),"ABCDEFGHIJKLMNOPQRSTUVWXYZ")))=3,ISNUMBER(FIND(MID($B741,4,1),"UJZ")),SUMPRODUCT(--ISNUMBER(FIND(MID($B741,{5,6,7,8,9,10,11},1),"0123456789")))=7),1,0))</f>
        <v/>
      </c>
      <c r="G741">
        <f>IF($F741=1,INDEX({10,12,13,14,15,16,17,18,19,20,21,23,24,25,26,27,28,29,30,31,32,34,35,36,37,38},1,FIND(MID($B741,1,1),"ABCDEFGHIJKLMNOPQRSTUVWXYZ")),"")</f>
        <v/>
      </c>
      <c r="H741">
        <f>IF($F741=1,INDEX({10,12,13,14,15,16,17,18,19,20,21,23,24,25,26,27,28,29,30,31,32,34,35,36,37,38},1,FIND(MID($B741,2,1),"ABCDEFGHIJKLMNOPQRSTUVWXYZ")),"")</f>
        <v/>
      </c>
      <c r="I741">
        <f>IF($F741=1,INDEX({10,12,13,14,15,16,17,18,19,20,21,23,24,25,26,27,28,29,30,31,32,34,35,36,37,38},1,FIND(MID($B741,3,1),"ABCDEFGHIJKLMNOPQRSTUVWXYZ")),"")</f>
        <v/>
      </c>
      <c r="J741">
        <f>IF($F741=1,INDEX({10,12,13,14,15,16,17,18,19,20,21,23,24,25,26,27,28,29,30,31,32,34,35,36,37,38},1,FIND(MID($B741,4,1),"ABCDEFGHIJKLMNOPQRSTUVWXYZ")),"")</f>
        <v/>
      </c>
      <c r="K741">
        <f>IF($F741=1,FIND(MID($B741,5,1),"0123456789")-1,"")</f>
        <v/>
      </c>
      <c r="L741">
        <f>IF($F741=1,FIND(MID($B741,6,1),"0123456789")-1,"")</f>
        <v/>
      </c>
      <c r="M741">
        <f>IF($F741=1,FIND(MID($B741,7,1),"0123456789")-1,"")</f>
        <v/>
      </c>
      <c r="N741">
        <f>IF($F741=1,FIND(MID($B741,8,1),"0123456789")-1,"")</f>
        <v/>
      </c>
      <c r="O741">
        <f>IF($F741=1,FIND(MID($B741,9,1),"0123456789")-1,"")</f>
        <v/>
      </c>
      <c r="P741">
        <f>IF($F741=1,FIND(MID($B741,10,1),"0123456789")-1,"")</f>
        <v/>
      </c>
      <c r="Q741">
        <f>IF($F741=1,SUMPRODUCT($G741:$P741,{1,2,4,8,16,32,64,128,256,512}),"")</f>
        <v/>
      </c>
      <c r="R741">
        <f>IF($F741=1,MOD(MOD($Q741,11),10),"")</f>
        <v/>
      </c>
    </row>
    <row r="742">
      <c r="A742" s="6" t="n"/>
      <c r="B742" s="7">
        <f>IF($A742="","",UPPER(SUBSTITUTE(SUBSTITUTE(SUBSTITUTE(SUBSTITUTE(SUBSTITUTE(SUBSTITUTE($A742," ",""),"-",""),".",""),"/",""),"i","I"),"ı","?")))</f>
        <v/>
      </c>
      <c r="C742" s="8">
        <f>IF($F742=1,$R742,"")</f>
        <v/>
      </c>
      <c r="D742" s="7">
        <f>IF($A742="","",IF($F742=0,"Biçim hatalı",IF(FIND(MID($B742,11,1),"0123456789")-1=$R742,"Geçerli","Kontrol hanesi hatalı (doğrusu: "&amp;$R742&amp;")")))</f>
        <v/>
      </c>
      <c r="F742">
        <f>IF($A742="","",IF(AND(LEN($B742)=11,SUMPRODUCT(--ISNUMBER(FIND(MID($B742,{1,2,3},1),"ABCDEFGHIJKLMNOPQRSTUVWXYZ")))=3,ISNUMBER(FIND(MID($B742,4,1),"UJZ")),SUMPRODUCT(--ISNUMBER(FIND(MID($B742,{5,6,7,8,9,10,11},1),"0123456789")))=7),1,0))</f>
        <v/>
      </c>
      <c r="G742">
        <f>IF($F742=1,INDEX({10,12,13,14,15,16,17,18,19,20,21,23,24,25,26,27,28,29,30,31,32,34,35,36,37,38},1,FIND(MID($B742,1,1),"ABCDEFGHIJKLMNOPQRSTUVWXYZ")),"")</f>
        <v/>
      </c>
      <c r="H742">
        <f>IF($F742=1,INDEX({10,12,13,14,15,16,17,18,19,20,21,23,24,25,26,27,28,29,30,31,32,34,35,36,37,38},1,FIND(MID($B742,2,1),"ABCDEFGHIJKLMNOPQRSTUVWXYZ")),"")</f>
        <v/>
      </c>
      <c r="I742">
        <f>IF($F742=1,INDEX({10,12,13,14,15,16,17,18,19,20,21,23,24,25,26,27,28,29,30,31,32,34,35,36,37,38},1,FIND(MID($B742,3,1),"ABCDEFGHIJKLMNOPQRSTUVWXYZ")),"")</f>
        <v/>
      </c>
      <c r="J742">
        <f>IF($F742=1,INDEX({10,12,13,14,15,16,17,18,19,20,21,23,24,25,26,27,28,29,30,31,32,34,35,36,37,38},1,FIND(MID($B742,4,1),"ABCDEFGHIJKLMNOPQRSTUVWXYZ")),"")</f>
        <v/>
      </c>
      <c r="K742">
        <f>IF($F742=1,FIND(MID($B742,5,1),"0123456789")-1,"")</f>
        <v/>
      </c>
      <c r="L742">
        <f>IF($F742=1,FIND(MID($B742,6,1),"0123456789")-1,"")</f>
        <v/>
      </c>
      <c r="M742">
        <f>IF($F742=1,FIND(MID($B742,7,1),"0123456789")-1,"")</f>
        <v/>
      </c>
      <c r="N742">
        <f>IF($F742=1,FIND(MID($B742,8,1),"0123456789")-1,"")</f>
        <v/>
      </c>
      <c r="O742">
        <f>IF($F742=1,FIND(MID($B742,9,1),"0123456789")-1,"")</f>
        <v/>
      </c>
      <c r="P742">
        <f>IF($F742=1,FIND(MID($B742,10,1),"0123456789")-1,"")</f>
        <v/>
      </c>
      <c r="Q742">
        <f>IF($F742=1,SUMPRODUCT($G742:$P742,{1,2,4,8,16,32,64,128,256,512}),"")</f>
        <v/>
      </c>
      <c r="R742">
        <f>IF($F742=1,MOD(MOD($Q742,11),10),"")</f>
        <v/>
      </c>
    </row>
    <row r="743">
      <c r="A743" s="6" t="n"/>
      <c r="B743" s="7">
        <f>IF($A743="","",UPPER(SUBSTITUTE(SUBSTITUTE(SUBSTITUTE(SUBSTITUTE(SUBSTITUTE(SUBSTITUTE($A743," ",""),"-",""),".",""),"/",""),"i","I"),"ı","?")))</f>
        <v/>
      </c>
      <c r="C743" s="8">
        <f>IF($F743=1,$R743,"")</f>
        <v/>
      </c>
      <c r="D743" s="7">
        <f>IF($A743="","",IF($F743=0,"Biçim hatalı",IF(FIND(MID($B743,11,1),"0123456789")-1=$R743,"Geçerli","Kontrol hanesi hatalı (doğrusu: "&amp;$R743&amp;")")))</f>
        <v/>
      </c>
      <c r="F743">
        <f>IF($A743="","",IF(AND(LEN($B743)=11,SUMPRODUCT(--ISNUMBER(FIND(MID($B743,{1,2,3},1),"ABCDEFGHIJKLMNOPQRSTUVWXYZ")))=3,ISNUMBER(FIND(MID($B743,4,1),"UJZ")),SUMPRODUCT(--ISNUMBER(FIND(MID($B743,{5,6,7,8,9,10,11},1),"0123456789")))=7),1,0))</f>
        <v/>
      </c>
      <c r="G743">
        <f>IF($F743=1,INDEX({10,12,13,14,15,16,17,18,19,20,21,23,24,25,26,27,28,29,30,31,32,34,35,36,37,38},1,FIND(MID($B743,1,1),"ABCDEFGHIJKLMNOPQRSTUVWXYZ")),"")</f>
        <v/>
      </c>
      <c r="H743">
        <f>IF($F743=1,INDEX({10,12,13,14,15,16,17,18,19,20,21,23,24,25,26,27,28,29,30,31,32,34,35,36,37,38},1,FIND(MID($B743,2,1),"ABCDEFGHIJKLMNOPQRSTUVWXYZ")),"")</f>
        <v/>
      </c>
      <c r="I743">
        <f>IF($F743=1,INDEX({10,12,13,14,15,16,17,18,19,20,21,23,24,25,26,27,28,29,30,31,32,34,35,36,37,38},1,FIND(MID($B743,3,1),"ABCDEFGHIJKLMNOPQRSTUVWXYZ")),"")</f>
        <v/>
      </c>
      <c r="J743">
        <f>IF($F743=1,INDEX({10,12,13,14,15,16,17,18,19,20,21,23,24,25,26,27,28,29,30,31,32,34,35,36,37,38},1,FIND(MID($B743,4,1),"ABCDEFGHIJKLMNOPQRSTUVWXYZ")),"")</f>
        <v/>
      </c>
      <c r="K743">
        <f>IF($F743=1,FIND(MID($B743,5,1),"0123456789")-1,"")</f>
        <v/>
      </c>
      <c r="L743">
        <f>IF($F743=1,FIND(MID($B743,6,1),"0123456789")-1,"")</f>
        <v/>
      </c>
      <c r="M743">
        <f>IF($F743=1,FIND(MID($B743,7,1),"0123456789")-1,"")</f>
        <v/>
      </c>
      <c r="N743">
        <f>IF($F743=1,FIND(MID($B743,8,1),"0123456789")-1,"")</f>
        <v/>
      </c>
      <c r="O743">
        <f>IF($F743=1,FIND(MID($B743,9,1),"0123456789")-1,"")</f>
        <v/>
      </c>
      <c r="P743">
        <f>IF($F743=1,FIND(MID($B743,10,1),"0123456789")-1,"")</f>
        <v/>
      </c>
      <c r="Q743">
        <f>IF($F743=1,SUMPRODUCT($G743:$P743,{1,2,4,8,16,32,64,128,256,512}),"")</f>
        <v/>
      </c>
      <c r="R743">
        <f>IF($F743=1,MOD(MOD($Q743,11),10),"")</f>
        <v/>
      </c>
    </row>
    <row r="744">
      <c r="A744" s="6" t="n"/>
      <c r="B744" s="7">
        <f>IF($A744="","",UPPER(SUBSTITUTE(SUBSTITUTE(SUBSTITUTE(SUBSTITUTE(SUBSTITUTE(SUBSTITUTE($A744," ",""),"-",""),".",""),"/",""),"i","I"),"ı","?")))</f>
        <v/>
      </c>
      <c r="C744" s="8">
        <f>IF($F744=1,$R744,"")</f>
        <v/>
      </c>
      <c r="D744" s="7">
        <f>IF($A744="","",IF($F744=0,"Biçim hatalı",IF(FIND(MID($B744,11,1),"0123456789")-1=$R744,"Geçerli","Kontrol hanesi hatalı (doğrusu: "&amp;$R744&amp;")")))</f>
        <v/>
      </c>
      <c r="F744">
        <f>IF($A744="","",IF(AND(LEN($B744)=11,SUMPRODUCT(--ISNUMBER(FIND(MID($B744,{1,2,3},1),"ABCDEFGHIJKLMNOPQRSTUVWXYZ")))=3,ISNUMBER(FIND(MID($B744,4,1),"UJZ")),SUMPRODUCT(--ISNUMBER(FIND(MID($B744,{5,6,7,8,9,10,11},1),"0123456789")))=7),1,0))</f>
        <v/>
      </c>
      <c r="G744">
        <f>IF($F744=1,INDEX({10,12,13,14,15,16,17,18,19,20,21,23,24,25,26,27,28,29,30,31,32,34,35,36,37,38},1,FIND(MID($B744,1,1),"ABCDEFGHIJKLMNOPQRSTUVWXYZ")),"")</f>
        <v/>
      </c>
      <c r="H744">
        <f>IF($F744=1,INDEX({10,12,13,14,15,16,17,18,19,20,21,23,24,25,26,27,28,29,30,31,32,34,35,36,37,38},1,FIND(MID($B744,2,1),"ABCDEFGHIJKLMNOPQRSTUVWXYZ")),"")</f>
        <v/>
      </c>
      <c r="I744">
        <f>IF($F744=1,INDEX({10,12,13,14,15,16,17,18,19,20,21,23,24,25,26,27,28,29,30,31,32,34,35,36,37,38},1,FIND(MID($B744,3,1),"ABCDEFGHIJKLMNOPQRSTUVWXYZ")),"")</f>
        <v/>
      </c>
      <c r="J744">
        <f>IF($F744=1,INDEX({10,12,13,14,15,16,17,18,19,20,21,23,24,25,26,27,28,29,30,31,32,34,35,36,37,38},1,FIND(MID($B744,4,1),"ABCDEFGHIJKLMNOPQRSTUVWXYZ")),"")</f>
        <v/>
      </c>
      <c r="K744">
        <f>IF($F744=1,FIND(MID($B744,5,1),"0123456789")-1,"")</f>
        <v/>
      </c>
      <c r="L744">
        <f>IF($F744=1,FIND(MID($B744,6,1),"0123456789")-1,"")</f>
        <v/>
      </c>
      <c r="M744">
        <f>IF($F744=1,FIND(MID($B744,7,1),"0123456789")-1,"")</f>
        <v/>
      </c>
      <c r="N744">
        <f>IF($F744=1,FIND(MID($B744,8,1),"0123456789")-1,"")</f>
        <v/>
      </c>
      <c r="O744">
        <f>IF($F744=1,FIND(MID($B744,9,1),"0123456789")-1,"")</f>
        <v/>
      </c>
      <c r="P744">
        <f>IF($F744=1,FIND(MID($B744,10,1),"0123456789")-1,"")</f>
        <v/>
      </c>
      <c r="Q744">
        <f>IF($F744=1,SUMPRODUCT($G744:$P744,{1,2,4,8,16,32,64,128,256,512}),"")</f>
        <v/>
      </c>
      <c r="R744">
        <f>IF($F744=1,MOD(MOD($Q744,11),10),"")</f>
        <v/>
      </c>
    </row>
    <row r="745">
      <c r="A745" s="6" t="n"/>
      <c r="B745" s="7">
        <f>IF($A745="","",UPPER(SUBSTITUTE(SUBSTITUTE(SUBSTITUTE(SUBSTITUTE(SUBSTITUTE(SUBSTITUTE($A745," ",""),"-",""),".",""),"/",""),"i","I"),"ı","?")))</f>
        <v/>
      </c>
      <c r="C745" s="8">
        <f>IF($F745=1,$R745,"")</f>
        <v/>
      </c>
      <c r="D745" s="7">
        <f>IF($A745="","",IF($F745=0,"Biçim hatalı",IF(FIND(MID($B745,11,1),"0123456789")-1=$R745,"Geçerli","Kontrol hanesi hatalı (doğrusu: "&amp;$R745&amp;")")))</f>
        <v/>
      </c>
      <c r="F745">
        <f>IF($A745="","",IF(AND(LEN($B745)=11,SUMPRODUCT(--ISNUMBER(FIND(MID($B745,{1,2,3},1),"ABCDEFGHIJKLMNOPQRSTUVWXYZ")))=3,ISNUMBER(FIND(MID($B745,4,1),"UJZ")),SUMPRODUCT(--ISNUMBER(FIND(MID($B745,{5,6,7,8,9,10,11},1),"0123456789")))=7),1,0))</f>
        <v/>
      </c>
      <c r="G745">
        <f>IF($F745=1,INDEX({10,12,13,14,15,16,17,18,19,20,21,23,24,25,26,27,28,29,30,31,32,34,35,36,37,38},1,FIND(MID($B745,1,1),"ABCDEFGHIJKLMNOPQRSTUVWXYZ")),"")</f>
        <v/>
      </c>
      <c r="H745">
        <f>IF($F745=1,INDEX({10,12,13,14,15,16,17,18,19,20,21,23,24,25,26,27,28,29,30,31,32,34,35,36,37,38},1,FIND(MID($B745,2,1),"ABCDEFGHIJKLMNOPQRSTUVWXYZ")),"")</f>
        <v/>
      </c>
      <c r="I745">
        <f>IF($F745=1,INDEX({10,12,13,14,15,16,17,18,19,20,21,23,24,25,26,27,28,29,30,31,32,34,35,36,37,38},1,FIND(MID($B745,3,1),"ABCDEFGHIJKLMNOPQRSTUVWXYZ")),"")</f>
        <v/>
      </c>
      <c r="J745">
        <f>IF($F745=1,INDEX({10,12,13,14,15,16,17,18,19,20,21,23,24,25,26,27,28,29,30,31,32,34,35,36,37,38},1,FIND(MID($B745,4,1),"ABCDEFGHIJKLMNOPQRSTUVWXYZ")),"")</f>
        <v/>
      </c>
      <c r="K745">
        <f>IF($F745=1,FIND(MID($B745,5,1),"0123456789")-1,"")</f>
        <v/>
      </c>
      <c r="L745">
        <f>IF($F745=1,FIND(MID($B745,6,1),"0123456789")-1,"")</f>
        <v/>
      </c>
      <c r="M745">
        <f>IF($F745=1,FIND(MID($B745,7,1),"0123456789")-1,"")</f>
        <v/>
      </c>
      <c r="N745">
        <f>IF($F745=1,FIND(MID($B745,8,1),"0123456789")-1,"")</f>
        <v/>
      </c>
      <c r="O745">
        <f>IF($F745=1,FIND(MID($B745,9,1),"0123456789")-1,"")</f>
        <v/>
      </c>
      <c r="P745">
        <f>IF($F745=1,FIND(MID($B745,10,1),"0123456789")-1,"")</f>
        <v/>
      </c>
      <c r="Q745">
        <f>IF($F745=1,SUMPRODUCT($G745:$P745,{1,2,4,8,16,32,64,128,256,512}),"")</f>
        <v/>
      </c>
      <c r="R745">
        <f>IF($F745=1,MOD(MOD($Q745,11),10),"")</f>
        <v/>
      </c>
    </row>
    <row r="746">
      <c r="A746" s="6" t="n"/>
      <c r="B746" s="7">
        <f>IF($A746="","",UPPER(SUBSTITUTE(SUBSTITUTE(SUBSTITUTE(SUBSTITUTE(SUBSTITUTE(SUBSTITUTE($A746," ",""),"-",""),".",""),"/",""),"i","I"),"ı","?")))</f>
        <v/>
      </c>
      <c r="C746" s="8">
        <f>IF($F746=1,$R746,"")</f>
        <v/>
      </c>
      <c r="D746" s="7">
        <f>IF($A746="","",IF($F746=0,"Biçim hatalı",IF(FIND(MID($B746,11,1),"0123456789")-1=$R746,"Geçerli","Kontrol hanesi hatalı (doğrusu: "&amp;$R746&amp;")")))</f>
        <v/>
      </c>
      <c r="F746">
        <f>IF($A746="","",IF(AND(LEN($B746)=11,SUMPRODUCT(--ISNUMBER(FIND(MID($B746,{1,2,3},1),"ABCDEFGHIJKLMNOPQRSTUVWXYZ")))=3,ISNUMBER(FIND(MID($B746,4,1),"UJZ")),SUMPRODUCT(--ISNUMBER(FIND(MID($B746,{5,6,7,8,9,10,11},1),"0123456789")))=7),1,0))</f>
        <v/>
      </c>
      <c r="G746">
        <f>IF($F746=1,INDEX({10,12,13,14,15,16,17,18,19,20,21,23,24,25,26,27,28,29,30,31,32,34,35,36,37,38},1,FIND(MID($B746,1,1),"ABCDEFGHIJKLMNOPQRSTUVWXYZ")),"")</f>
        <v/>
      </c>
      <c r="H746">
        <f>IF($F746=1,INDEX({10,12,13,14,15,16,17,18,19,20,21,23,24,25,26,27,28,29,30,31,32,34,35,36,37,38},1,FIND(MID($B746,2,1),"ABCDEFGHIJKLMNOPQRSTUVWXYZ")),"")</f>
        <v/>
      </c>
      <c r="I746">
        <f>IF($F746=1,INDEX({10,12,13,14,15,16,17,18,19,20,21,23,24,25,26,27,28,29,30,31,32,34,35,36,37,38},1,FIND(MID($B746,3,1),"ABCDEFGHIJKLMNOPQRSTUVWXYZ")),"")</f>
        <v/>
      </c>
      <c r="J746">
        <f>IF($F746=1,INDEX({10,12,13,14,15,16,17,18,19,20,21,23,24,25,26,27,28,29,30,31,32,34,35,36,37,38},1,FIND(MID($B746,4,1),"ABCDEFGHIJKLMNOPQRSTUVWXYZ")),"")</f>
        <v/>
      </c>
      <c r="K746">
        <f>IF($F746=1,FIND(MID($B746,5,1),"0123456789")-1,"")</f>
        <v/>
      </c>
      <c r="L746">
        <f>IF($F746=1,FIND(MID($B746,6,1),"0123456789")-1,"")</f>
        <v/>
      </c>
      <c r="M746">
        <f>IF($F746=1,FIND(MID($B746,7,1),"0123456789")-1,"")</f>
        <v/>
      </c>
      <c r="N746">
        <f>IF($F746=1,FIND(MID($B746,8,1),"0123456789")-1,"")</f>
        <v/>
      </c>
      <c r="O746">
        <f>IF($F746=1,FIND(MID($B746,9,1),"0123456789")-1,"")</f>
        <v/>
      </c>
      <c r="P746">
        <f>IF($F746=1,FIND(MID($B746,10,1),"0123456789")-1,"")</f>
        <v/>
      </c>
      <c r="Q746">
        <f>IF($F746=1,SUMPRODUCT($G746:$P746,{1,2,4,8,16,32,64,128,256,512}),"")</f>
        <v/>
      </c>
      <c r="R746">
        <f>IF($F746=1,MOD(MOD($Q746,11),10),"")</f>
        <v/>
      </c>
    </row>
    <row r="747">
      <c r="A747" s="6" t="n"/>
      <c r="B747" s="7">
        <f>IF($A747="","",UPPER(SUBSTITUTE(SUBSTITUTE(SUBSTITUTE(SUBSTITUTE(SUBSTITUTE(SUBSTITUTE($A747," ",""),"-",""),".",""),"/",""),"i","I"),"ı","?")))</f>
        <v/>
      </c>
      <c r="C747" s="8">
        <f>IF($F747=1,$R747,"")</f>
        <v/>
      </c>
      <c r="D747" s="7">
        <f>IF($A747="","",IF($F747=0,"Biçim hatalı",IF(FIND(MID($B747,11,1),"0123456789")-1=$R747,"Geçerli","Kontrol hanesi hatalı (doğrusu: "&amp;$R747&amp;")")))</f>
        <v/>
      </c>
      <c r="F747">
        <f>IF($A747="","",IF(AND(LEN($B747)=11,SUMPRODUCT(--ISNUMBER(FIND(MID($B747,{1,2,3},1),"ABCDEFGHIJKLMNOPQRSTUVWXYZ")))=3,ISNUMBER(FIND(MID($B747,4,1),"UJZ")),SUMPRODUCT(--ISNUMBER(FIND(MID($B747,{5,6,7,8,9,10,11},1),"0123456789")))=7),1,0))</f>
        <v/>
      </c>
      <c r="G747">
        <f>IF($F747=1,INDEX({10,12,13,14,15,16,17,18,19,20,21,23,24,25,26,27,28,29,30,31,32,34,35,36,37,38},1,FIND(MID($B747,1,1),"ABCDEFGHIJKLMNOPQRSTUVWXYZ")),"")</f>
        <v/>
      </c>
      <c r="H747">
        <f>IF($F747=1,INDEX({10,12,13,14,15,16,17,18,19,20,21,23,24,25,26,27,28,29,30,31,32,34,35,36,37,38},1,FIND(MID($B747,2,1),"ABCDEFGHIJKLMNOPQRSTUVWXYZ")),"")</f>
        <v/>
      </c>
      <c r="I747">
        <f>IF($F747=1,INDEX({10,12,13,14,15,16,17,18,19,20,21,23,24,25,26,27,28,29,30,31,32,34,35,36,37,38},1,FIND(MID($B747,3,1),"ABCDEFGHIJKLMNOPQRSTUVWXYZ")),"")</f>
        <v/>
      </c>
      <c r="J747">
        <f>IF($F747=1,INDEX({10,12,13,14,15,16,17,18,19,20,21,23,24,25,26,27,28,29,30,31,32,34,35,36,37,38},1,FIND(MID($B747,4,1),"ABCDEFGHIJKLMNOPQRSTUVWXYZ")),"")</f>
        <v/>
      </c>
      <c r="K747">
        <f>IF($F747=1,FIND(MID($B747,5,1),"0123456789")-1,"")</f>
        <v/>
      </c>
      <c r="L747">
        <f>IF($F747=1,FIND(MID($B747,6,1),"0123456789")-1,"")</f>
        <v/>
      </c>
      <c r="M747">
        <f>IF($F747=1,FIND(MID($B747,7,1),"0123456789")-1,"")</f>
        <v/>
      </c>
      <c r="N747">
        <f>IF($F747=1,FIND(MID($B747,8,1),"0123456789")-1,"")</f>
        <v/>
      </c>
      <c r="O747">
        <f>IF($F747=1,FIND(MID($B747,9,1),"0123456789")-1,"")</f>
        <v/>
      </c>
      <c r="P747">
        <f>IF($F747=1,FIND(MID($B747,10,1),"0123456789")-1,"")</f>
        <v/>
      </c>
      <c r="Q747">
        <f>IF($F747=1,SUMPRODUCT($G747:$P747,{1,2,4,8,16,32,64,128,256,512}),"")</f>
        <v/>
      </c>
      <c r="R747">
        <f>IF($F747=1,MOD(MOD($Q747,11),10),"")</f>
        <v/>
      </c>
    </row>
    <row r="748">
      <c r="A748" s="6" t="n"/>
      <c r="B748" s="7">
        <f>IF($A748="","",UPPER(SUBSTITUTE(SUBSTITUTE(SUBSTITUTE(SUBSTITUTE(SUBSTITUTE(SUBSTITUTE($A748," ",""),"-",""),".",""),"/",""),"i","I"),"ı","?")))</f>
        <v/>
      </c>
      <c r="C748" s="8">
        <f>IF($F748=1,$R748,"")</f>
        <v/>
      </c>
      <c r="D748" s="7">
        <f>IF($A748="","",IF($F748=0,"Biçim hatalı",IF(FIND(MID($B748,11,1),"0123456789")-1=$R748,"Geçerli","Kontrol hanesi hatalı (doğrusu: "&amp;$R748&amp;")")))</f>
        <v/>
      </c>
      <c r="F748">
        <f>IF($A748="","",IF(AND(LEN($B748)=11,SUMPRODUCT(--ISNUMBER(FIND(MID($B748,{1,2,3},1),"ABCDEFGHIJKLMNOPQRSTUVWXYZ")))=3,ISNUMBER(FIND(MID($B748,4,1),"UJZ")),SUMPRODUCT(--ISNUMBER(FIND(MID($B748,{5,6,7,8,9,10,11},1),"0123456789")))=7),1,0))</f>
        <v/>
      </c>
      <c r="G748">
        <f>IF($F748=1,INDEX({10,12,13,14,15,16,17,18,19,20,21,23,24,25,26,27,28,29,30,31,32,34,35,36,37,38},1,FIND(MID($B748,1,1),"ABCDEFGHIJKLMNOPQRSTUVWXYZ")),"")</f>
        <v/>
      </c>
      <c r="H748">
        <f>IF($F748=1,INDEX({10,12,13,14,15,16,17,18,19,20,21,23,24,25,26,27,28,29,30,31,32,34,35,36,37,38},1,FIND(MID($B748,2,1),"ABCDEFGHIJKLMNOPQRSTUVWXYZ")),"")</f>
        <v/>
      </c>
      <c r="I748">
        <f>IF($F748=1,INDEX({10,12,13,14,15,16,17,18,19,20,21,23,24,25,26,27,28,29,30,31,32,34,35,36,37,38},1,FIND(MID($B748,3,1),"ABCDEFGHIJKLMNOPQRSTUVWXYZ")),"")</f>
        <v/>
      </c>
      <c r="J748">
        <f>IF($F748=1,INDEX({10,12,13,14,15,16,17,18,19,20,21,23,24,25,26,27,28,29,30,31,32,34,35,36,37,38},1,FIND(MID($B748,4,1),"ABCDEFGHIJKLMNOPQRSTUVWXYZ")),"")</f>
        <v/>
      </c>
      <c r="K748">
        <f>IF($F748=1,FIND(MID($B748,5,1),"0123456789")-1,"")</f>
        <v/>
      </c>
      <c r="L748">
        <f>IF($F748=1,FIND(MID($B748,6,1),"0123456789")-1,"")</f>
        <v/>
      </c>
      <c r="M748">
        <f>IF($F748=1,FIND(MID($B748,7,1),"0123456789")-1,"")</f>
        <v/>
      </c>
      <c r="N748">
        <f>IF($F748=1,FIND(MID($B748,8,1),"0123456789")-1,"")</f>
        <v/>
      </c>
      <c r="O748">
        <f>IF($F748=1,FIND(MID($B748,9,1),"0123456789")-1,"")</f>
        <v/>
      </c>
      <c r="P748">
        <f>IF($F748=1,FIND(MID($B748,10,1),"0123456789")-1,"")</f>
        <v/>
      </c>
      <c r="Q748">
        <f>IF($F748=1,SUMPRODUCT($G748:$P748,{1,2,4,8,16,32,64,128,256,512}),"")</f>
        <v/>
      </c>
      <c r="R748">
        <f>IF($F748=1,MOD(MOD($Q748,11),10),"")</f>
        <v/>
      </c>
    </row>
    <row r="749">
      <c r="A749" s="6" t="n"/>
      <c r="B749" s="7">
        <f>IF($A749="","",UPPER(SUBSTITUTE(SUBSTITUTE(SUBSTITUTE(SUBSTITUTE(SUBSTITUTE(SUBSTITUTE($A749," ",""),"-",""),".",""),"/",""),"i","I"),"ı","?")))</f>
        <v/>
      </c>
      <c r="C749" s="8">
        <f>IF($F749=1,$R749,"")</f>
        <v/>
      </c>
      <c r="D749" s="7">
        <f>IF($A749="","",IF($F749=0,"Biçim hatalı",IF(FIND(MID($B749,11,1),"0123456789")-1=$R749,"Geçerli","Kontrol hanesi hatalı (doğrusu: "&amp;$R749&amp;")")))</f>
        <v/>
      </c>
      <c r="F749">
        <f>IF($A749="","",IF(AND(LEN($B749)=11,SUMPRODUCT(--ISNUMBER(FIND(MID($B749,{1,2,3},1),"ABCDEFGHIJKLMNOPQRSTUVWXYZ")))=3,ISNUMBER(FIND(MID($B749,4,1),"UJZ")),SUMPRODUCT(--ISNUMBER(FIND(MID($B749,{5,6,7,8,9,10,11},1),"0123456789")))=7),1,0))</f>
        <v/>
      </c>
      <c r="G749">
        <f>IF($F749=1,INDEX({10,12,13,14,15,16,17,18,19,20,21,23,24,25,26,27,28,29,30,31,32,34,35,36,37,38},1,FIND(MID($B749,1,1),"ABCDEFGHIJKLMNOPQRSTUVWXYZ")),"")</f>
        <v/>
      </c>
      <c r="H749">
        <f>IF($F749=1,INDEX({10,12,13,14,15,16,17,18,19,20,21,23,24,25,26,27,28,29,30,31,32,34,35,36,37,38},1,FIND(MID($B749,2,1),"ABCDEFGHIJKLMNOPQRSTUVWXYZ")),"")</f>
        <v/>
      </c>
      <c r="I749">
        <f>IF($F749=1,INDEX({10,12,13,14,15,16,17,18,19,20,21,23,24,25,26,27,28,29,30,31,32,34,35,36,37,38},1,FIND(MID($B749,3,1),"ABCDEFGHIJKLMNOPQRSTUVWXYZ")),"")</f>
        <v/>
      </c>
      <c r="J749">
        <f>IF($F749=1,INDEX({10,12,13,14,15,16,17,18,19,20,21,23,24,25,26,27,28,29,30,31,32,34,35,36,37,38},1,FIND(MID($B749,4,1),"ABCDEFGHIJKLMNOPQRSTUVWXYZ")),"")</f>
        <v/>
      </c>
      <c r="K749">
        <f>IF($F749=1,FIND(MID($B749,5,1),"0123456789")-1,"")</f>
        <v/>
      </c>
      <c r="L749">
        <f>IF($F749=1,FIND(MID($B749,6,1),"0123456789")-1,"")</f>
        <v/>
      </c>
      <c r="M749">
        <f>IF($F749=1,FIND(MID($B749,7,1),"0123456789")-1,"")</f>
        <v/>
      </c>
      <c r="N749">
        <f>IF($F749=1,FIND(MID($B749,8,1),"0123456789")-1,"")</f>
        <v/>
      </c>
      <c r="O749">
        <f>IF($F749=1,FIND(MID($B749,9,1),"0123456789")-1,"")</f>
        <v/>
      </c>
      <c r="P749">
        <f>IF($F749=1,FIND(MID($B749,10,1),"0123456789")-1,"")</f>
        <v/>
      </c>
      <c r="Q749">
        <f>IF($F749=1,SUMPRODUCT($G749:$P749,{1,2,4,8,16,32,64,128,256,512}),"")</f>
        <v/>
      </c>
      <c r="R749">
        <f>IF($F749=1,MOD(MOD($Q749,11),10),"")</f>
        <v/>
      </c>
    </row>
    <row r="750">
      <c r="A750" s="6" t="n"/>
      <c r="B750" s="7">
        <f>IF($A750="","",UPPER(SUBSTITUTE(SUBSTITUTE(SUBSTITUTE(SUBSTITUTE(SUBSTITUTE(SUBSTITUTE($A750," ",""),"-",""),".",""),"/",""),"i","I"),"ı","?")))</f>
        <v/>
      </c>
      <c r="C750" s="8">
        <f>IF($F750=1,$R750,"")</f>
        <v/>
      </c>
      <c r="D750" s="7">
        <f>IF($A750="","",IF($F750=0,"Biçim hatalı",IF(FIND(MID($B750,11,1),"0123456789")-1=$R750,"Geçerli","Kontrol hanesi hatalı (doğrusu: "&amp;$R750&amp;")")))</f>
        <v/>
      </c>
      <c r="F750">
        <f>IF($A750="","",IF(AND(LEN($B750)=11,SUMPRODUCT(--ISNUMBER(FIND(MID($B750,{1,2,3},1),"ABCDEFGHIJKLMNOPQRSTUVWXYZ")))=3,ISNUMBER(FIND(MID($B750,4,1),"UJZ")),SUMPRODUCT(--ISNUMBER(FIND(MID($B750,{5,6,7,8,9,10,11},1),"0123456789")))=7),1,0))</f>
        <v/>
      </c>
      <c r="G750">
        <f>IF($F750=1,INDEX({10,12,13,14,15,16,17,18,19,20,21,23,24,25,26,27,28,29,30,31,32,34,35,36,37,38},1,FIND(MID($B750,1,1),"ABCDEFGHIJKLMNOPQRSTUVWXYZ")),"")</f>
        <v/>
      </c>
      <c r="H750">
        <f>IF($F750=1,INDEX({10,12,13,14,15,16,17,18,19,20,21,23,24,25,26,27,28,29,30,31,32,34,35,36,37,38},1,FIND(MID($B750,2,1),"ABCDEFGHIJKLMNOPQRSTUVWXYZ")),"")</f>
        <v/>
      </c>
      <c r="I750">
        <f>IF($F750=1,INDEX({10,12,13,14,15,16,17,18,19,20,21,23,24,25,26,27,28,29,30,31,32,34,35,36,37,38},1,FIND(MID($B750,3,1),"ABCDEFGHIJKLMNOPQRSTUVWXYZ")),"")</f>
        <v/>
      </c>
      <c r="J750">
        <f>IF($F750=1,INDEX({10,12,13,14,15,16,17,18,19,20,21,23,24,25,26,27,28,29,30,31,32,34,35,36,37,38},1,FIND(MID($B750,4,1),"ABCDEFGHIJKLMNOPQRSTUVWXYZ")),"")</f>
        <v/>
      </c>
      <c r="K750">
        <f>IF($F750=1,FIND(MID($B750,5,1),"0123456789")-1,"")</f>
        <v/>
      </c>
      <c r="L750">
        <f>IF($F750=1,FIND(MID($B750,6,1),"0123456789")-1,"")</f>
        <v/>
      </c>
      <c r="M750">
        <f>IF($F750=1,FIND(MID($B750,7,1),"0123456789")-1,"")</f>
        <v/>
      </c>
      <c r="N750">
        <f>IF($F750=1,FIND(MID($B750,8,1),"0123456789")-1,"")</f>
        <v/>
      </c>
      <c r="O750">
        <f>IF($F750=1,FIND(MID($B750,9,1),"0123456789")-1,"")</f>
        <v/>
      </c>
      <c r="P750">
        <f>IF($F750=1,FIND(MID($B750,10,1),"0123456789")-1,"")</f>
        <v/>
      </c>
      <c r="Q750">
        <f>IF($F750=1,SUMPRODUCT($G750:$P750,{1,2,4,8,16,32,64,128,256,512}),"")</f>
        <v/>
      </c>
      <c r="R750">
        <f>IF($F750=1,MOD(MOD($Q750,11),10),"")</f>
        <v/>
      </c>
    </row>
    <row r="751">
      <c r="A751" s="6" t="n"/>
      <c r="B751" s="7">
        <f>IF($A751="","",UPPER(SUBSTITUTE(SUBSTITUTE(SUBSTITUTE(SUBSTITUTE(SUBSTITUTE(SUBSTITUTE($A751," ",""),"-",""),".",""),"/",""),"i","I"),"ı","?")))</f>
        <v/>
      </c>
      <c r="C751" s="8">
        <f>IF($F751=1,$R751,"")</f>
        <v/>
      </c>
      <c r="D751" s="7">
        <f>IF($A751="","",IF($F751=0,"Biçim hatalı",IF(FIND(MID($B751,11,1),"0123456789")-1=$R751,"Geçerli","Kontrol hanesi hatalı (doğrusu: "&amp;$R751&amp;")")))</f>
        <v/>
      </c>
      <c r="F751">
        <f>IF($A751="","",IF(AND(LEN($B751)=11,SUMPRODUCT(--ISNUMBER(FIND(MID($B751,{1,2,3},1),"ABCDEFGHIJKLMNOPQRSTUVWXYZ")))=3,ISNUMBER(FIND(MID($B751,4,1),"UJZ")),SUMPRODUCT(--ISNUMBER(FIND(MID($B751,{5,6,7,8,9,10,11},1),"0123456789")))=7),1,0))</f>
        <v/>
      </c>
      <c r="G751">
        <f>IF($F751=1,INDEX({10,12,13,14,15,16,17,18,19,20,21,23,24,25,26,27,28,29,30,31,32,34,35,36,37,38},1,FIND(MID($B751,1,1),"ABCDEFGHIJKLMNOPQRSTUVWXYZ")),"")</f>
        <v/>
      </c>
      <c r="H751">
        <f>IF($F751=1,INDEX({10,12,13,14,15,16,17,18,19,20,21,23,24,25,26,27,28,29,30,31,32,34,35,36,37,38},1,FIND(MID($B751,2,1),"ABCDEFGHIJKLMNOPQRSTUVWXYZ")),"")</f>
        <v/>
      </c>
      <c r="I751">
        <f>IF($F751=1,INDEX({10,12,13,14,15,16,17,18,19,20,21,23,24,25,26,27,28,29,30,31,32,34,35,36,37,38},1,FIND(MID($B751,3,1),"ABCDEFGHIJKLMNOPQRSTUVWXYZ")),"")</f>
        <v/>
      </c>
      <c r="J751">
        <f>IF($F751=1,INDEX({10,12,13,14,15,16,17,18,19,20,21,23,24,25,26,27,28,29,30,31,32,34,35,36,37,38},1,FIND(MID($B751,4,1),"ABCDEFGHIJKLMNOPQRSTUVWXYZ")),"")</f>
        <v/>
      </c>
      <c r="K751">
        <f>IF($F751=1,FIND(MID($B751,5,1),"0123456789")-1,"")</f>
        <v/>
      </c>
      <c r="L751">
        <f>IF($F751=1,FIND(MID($B751,6,1),"0123456789")-1,"")</f>
        <v/>
      </c>
      <c r="M751">
        <f>IF($F751=1,FIND(MID($B751,7,1),"0123456789")-1,"")</f>
        <v/>
      </c>
      <c r="N751">
        <f>IF($F751=1,FIND(MID($B751,8,1),"0123456789")-1,"")</f>
        <v/>
      </c>
      <c r="O751">
        <f>IF($F751=1,FIND(MID($B751,9,1),"0123456789")-1,"")</f>
        <v/>
      </c>
      <c r="P751">
        <f>IF($F751=1,FIND(MID($B751,10,1),"0123456789")-1,"")</f>
        <v/>
      </c>
      <c r="Q751">
        <f>IF($F751=1,SUMPRODUCT($G751:$P751,{1,2,4,8,16,32,64,128,256,512}),"")</f>
        <v/>
      </c>
      <c r="R751">
        <f>IF($F751=1,MOD(MOD($Q751,11),10),"")</f>
        <v/>
      </c>
    </row>
    <row r="752">
      <c r="A752" s="6" t="n"/>
      <c r="B752" s="7">
        <f>IF($A752="","",UPPER(SUBSTITUTE(SUBSTITUTE(SUBSTITUTE(SUBSTITUTE(SUBSTITUTE(SUBSTITUTE($A752," ",""),"-",""),".",""),"/",""),"i","I"),"ı","?")))</f>
        <v/>
      </c>
      <c r="C752" s="8">
        <f>IF($F752=1,$R752,"")</f>
        <v/>
      </c>
      <c r="D752" s="7">
        <f>IF($A752="","",IF($F752=0,"Biçim hatalı",IF(FIND(MID($B752,11,1),"0123456789")-1=$R752,"Geçerli","Kontrol hanesi hatalı (doğrusu: "&amp;$R752&amp;")")))</f>
        <v/>
      </c>
      <c r="F752">
        <f>IF($A752="","",IF(AND(LEN($B752)=11,SUMPRODUCT(--ISNUMBER(FIND(MID($B752,{1,2,3},1),"ABCDEFGHIJKLMNOPQRSTUVWXYZ")))=3,ISNUMBER(FIND(MID($B752,4,1),"UJZ")),SUMPRODUCT(--ISNUMBER(FIND(MID($B752,{5,6,7,8,9,10,11},1),"0123456789")))=7),1,0))</f>
        <v/>
      </c>
      <c r="G752">
        <f>IF($F752=1,INDEX({10,12,13,14,15,16,17,18,19,20,21,23,24,25,26,27,28,29,30,31,32,34,35,36,37,38},1,FIND(MID($B752,1,1),"ABCDEFGHIJKLMNOPQRSTUVWXYZ")),"")</f>
        <v/>
      </c>
      <c r="H752">
        <f>IF($F752=1,INDEX({10,12,13,14,15,16,17,18,19,20,21,23,24,25,26,27,28,29,30,31,32,34,35,36,37,38},1,FIND(MID($B752,2,1),"ABCDEFGHIJKLMNOPQRSTUVWXYZ")),"")</f>
        <v/>
      </c>
      <c r="I752">
        <f>IF($F752=1,INDEX({10,12,13,14,15,16,17,18,19,20,21,23,24,25,26,27,28,29,30,31,32,34,35,36,37,38},1,FIND(MID($B752,3,1),"ABCDEFGHIJKLMNOPQRSTUVWXYZ")),"")</f>
        <v/>
      </c>
      <c r="J752">
        <f>IF($F752=1,INDEX({10,12,13,14,15,16,17,18,19,20,21,23,24,25,26,27,28,29,30,31,32,34,35,36,37,38},1,FIND(MID($B752,4,1),"ABCDEFGHIJKLMNOPQRSTUVWXYZ")),"")</f>
        <v/>
      </c>
      <c r="K752">
        <f>IF($F752=1,FIND(MID($B752,5,1),"0123456789")-1,"")</f>
        <v/>
      </c>
      <c r="L752">
        <f>IF($F752=1,FIND(MID($B752,6,1),"0123456789")-1,"")</f>
        <v/>
      </c>
      <c r="M752">
        <f>IF($F752=1,FIND(MID($B752,7,1),"0123456789")-1,"")</f>
        <v/>
      </c>
      <c r="N752">
        <f>IF($F752=1,FIND(MID($B752,8,1),"0123456789")-1,"")</f>
        <v/>
      </c>
      <c r="O752">
        <f>IF($F752=1,FIND(MID($B752,9,1),"0123456789")-1,"")</f>
        <v/>
      </c>
      <c r="P752">
        <f>IF($F752=1,FIND(MID($B752,10,1),"0123456789")-1,"")</f>
        <v/>
      </c>
      <c r="Q752">
        <f>IF($F752=1,SUMPRODUCT($G752:$P752,{1,2,4,8,16,32,64,128,256,512}),"")</f>
        <v/>
      </c>
      <c r="R752">
        <f>IF($F752=1,MOD(MOD($Q752,11),10),"")</f>
        <v/>
      </c>
    </row>
    <row r="753">
      <c r="A753" s="6" t="n"/>
      <c r="B753" s="7">
        <f>IF($A753="","",UPPER(SUBSTITUTE(SUBSTITUTE(SUBSTITUTE(SUBSTITUTE(SUBSTITUTE(SUBSTITUTE($A753," ",""),"-",""),".",""),"/",""),"i","I"),"ı","?")))</f>
        <v/>
      </c>
      <c r="C753" s="8">
        <f>IF($F753=1,$R753,"")</f>
        <v/>
      </c>
      <c r="D753" s="7">
        <f>IF($A753="","",IF($F753=0,"Biçim hatalı",IF(FIND(MID($B753,11,1),"0123456789")-1=$R753,"Geçerli","Kontrol hanesi hatalı (doğrusu: "&amp;$R753&amp;")")))</f>
        <v/>
      </c>
      <c r="F753">
        <f>IF($A753="","",IF(AND(LEN($B753)=11,SUMPRODUCT(--ISNUMBER(FIND(MID($B753,{1,2,3},1),"ABCDEFGHIJKLMNOPQRSTUVWXYZ")))=3,ISNUMBER(FIND(MID($B753,4,1),"UJZ")),SUMPRODUCT(--ISNUMBER(FIND(MID($B753,{5,6,7,8,9,10,11},1),"0123456789")))=7),1,0))</f>
        <v/>
      </c>
      <c r="G753">
        <f>IF($F753=1,INDEX({10,12,13,14,15,16,17,18,19,20,21,23,24,25,26,27,28,29,30,31,32,34,35,36,37,38},1,FIND(MID($B753,1,1),"ABCDEFGHIJKLMNOPQRSTUVWXYZ")),"")</f>
        <v/>
      </c>
      <c r="H753">
        <f>IF($F753=1,INDEX({10,12,13,14,15,16,17,18,19,20,21,23,24,25,26,27,28,29,30,31,32,34,35,36,37,38},1,FIND(MID($B753,2,1),"ABCDEFGHIJKLMNOPQRSTUVWXYZ")),"")</f>
        <v/>
      </c>
      <c r="I753">
        <f>IF($F753=1,INDEX({10,12,13,14,15,16,17,18,19,20,21,23,24,25,26,27,28,29,30,31,32,34,35,36,37,38},1,FIND(MID($B753,3,1),"ABCDEFGHIJKLMNOPQRSTUVWXYZ")),"")</f>
        <v/>
      </c>
      <c r="J753">
        <f>IF($F753=1,INDEX({10,12,13,14,15,16,17,18,19,20,21,23,24,25,26,27,28,29,30,31,32,34,35,36,37,38},1,FIND(MID($B753,4,1),"ABCDEFGHIJKLMNOPQRSTUVWXYZ")),"")</f>
        <v/>
      </c>
      <c r="K753">
        <f>IF($F753=1,FIND(MID($B753,5,1),"0123456789")-1,"")</f>
        <v/>
      </c>
      <c r="L753">
        <f>IF($F753=1,FIND(MID($B753,6,1),"0123456789")-1,"")</f>
        <v/>
      </c>
      <c r="M753">
        <f>IF($F753=1,FIND(MID($B753,7,1),"0123456789")-1,"")</f>
        <v/>
      </c>
      <c r="N753">
        <f>IF($F753=1,FIND(MID($B753,8,1),"0123456789")-1,"")</f>
        <v/>
      </c>
      <c r="O753">
        <f>IF($F753=1,FIND(MID($B753,9,1),"0123456789")-1,"")</f>
        <v/>
      </c>
      <c r="P753">
        <f>IF($F753=1,FIND(MID($B753,10,1),"0123456789")-1,"")</f>
        <v/>
      </c>
      <c r="Q753">
        <f>IF($F753=1,SUMPRODUCT($G753:$P753,{1,2,4,8,16,32,64,128,256,512}),"")</f>
        <v/>
      </c>
      <c r="R753">
        <f>IF($F753=1,MOD(MOD($Q753,11),10),"")</f>
        <v/>
      </c>
    </row>
    <row r="754">
      <c r="A754" s="6" t="n"/>
      <c r="B754" s="7">
        <f>IF($A754="","",UPPER(SUBSTITUTE(SUBSTITUTE(SUBSTITUTE(SUBSTITUTE(SUBSTITUTE(SUBSTITUTE($A754," ",""),"-",""),".",""),"/",""),"i","I"),"ı","?")))</f>
        <v/>
      </c>
      <c r="C754" s="8">
        <f>IF($F754=1,$R754,"")</f>
        <v/>
      </c>
      <c r="D754" s="7">
        <f>IF($A754="","",IF($F754=0,"Biçim hatalı",IF(FIND(MID($B754,11,1),"0123456789")-1=$R754,"Geçerli","Kontrol hanesi hatalı (doğrusu: "&amp;$R754&amp;")")))</f>
        <v/>
      </c>
      <c r="F754">
        <f>IF($A754="","",IF(AND(LEN($B754)=11,SUMPRODUCT(--ISNUMBER(FIND(MID($B754,{1,2,3},1),"ABCDEFGHIJKLMNOPQRSTUVWXYZ")))=3,ISNUMBER(FIND(MID($B754,4,1),"UJZ")),SUMPRODUCT(--ISNUMBER(FIND(MID($B754,{5,6,7,8,9,10,11},1),"0123456789")))=7),1,0))</f>
        <v/>
      </c>
      <c r="G754">
        <f>IF($F754=1,INDEX({10,12,13,14,15,16,17,18,19,20,21,23,24,25,26,27,28,29,30,31,32,34,35,36,37,38},1,FIND(MID($B754,1,1),"ABCDEFGHIJKLMNOPQRSTUVWXYZ")),"")</f>
        <v/>
      </c>
      <c r="H754">
        <f>IF($F754=1,INDEX({10,12,13,14,15,16,17,18,19,20,21,23,24,25,26,27,28,29,30,31,32,34,35,36,37,38},1,FIND(MID($B754,2,1),"ABCDEFGHIJKLMNOPQRSTUVWXYZ")),"")</f>
        <v/>
      </c>
      <c r="I754">
        <f>IF($F754=1,INDEX({10,12,13,14,15,16,17,18,19,20,21,23,24,25,26,27,28,29,30,31,32,34,35,36,37,38},1,FIND(MID($B754,3,1),"ABCDEFGHIJKLMNOPQRSTUVWXYZ")),"")</f>
        <v/>
      </c>
      <c r="J754">
        <f>IF($F754=1,INDEX({10,12,13,14,15,16,17,18,19,20,21,23,24,25,26,27,28,29,30,31,32,34,35,36,37,38},1,FIND(MID($B754,4,1),"ABCDEFGHIJKLMNOPQRSTUVWXYZ")),"")</f>
        <v/>
      </c>
      <c r="K754">
        <f>IF($F754=1,FIND(MID($B754,5,1),"0123456789")-1,"")</f>
        <v/>
      </c>
      <c r="L754">
        <f>IF($F754=1,FIND(MID($B754,6,1),"0123456789")-1,"")</f>
        <v/>
      </c>
      <c r="M754">
        <f>IF($F754=1,FIND(MID($B754,7,1),"0123456789")-1,"")</f>
        <v/>
      </c>
      <c r="N754">
        <f>IF($F754=1,FIND(MID($B754,8,1),"0123456789")-1,"")</f>
        <v/>
      </c>
      <c r="O754">
        <f>IF($F754=1,FIND(MID($B754,9,1),"0123456789")-1,"")</f>
        <v/>
      </c>
      <c r="P754">
        <f>IF($F754=1,FIND(MID($B754,10,1),"0123456789")-1,"")</f>
        <v/>
      </c>
      <c r="Q754">
        <f>IF($F754=1,SUMPRODUCT($G754:$P754,{1,2,4,8,16,32,64,128,256,512}),"")</f>
        <v/>
      </c>
      <c r="R754">
        <f>IF($F754=1,MOD(MOD($Q754,11),10),"")</f>
        <v/>
      </c>
    </row>
    <row r="755">
      <c r="A755" s="6" t="n"/>
      <c r="B755" s="7">
        <f>IF($A755="","",UPPER(SUBSTITUTE(SUBSTITUTE(SUBSTITUTE(SUBSTITUTE(SUBSTITUTE(SUBSTITUTE($A755," ",""),"-",""),".",""),"/",""),"i","I"),"ı","?")))</f>
        <v/>
      </c>
      <c r="C755" s="8">
        <f>IF($F755=1,$R755,"")</f>
        <v/>
      </c>
      <c r="D755" s="7">
        <f>IF($A755="","",IF($F755=0,"Biçim hatalı",IF(FIND(MID($B755,11,1),"0123456789")-1=$R755,"Geçerli","Kontrol hanesi hatalı (doğrusu: "&amp;$R755&amp;")")))</f>
        <v/>
      </c>
      <c r="F755">
        <f>IF($A755="","",IF(AND(LEN($B755)=11,SUMPRODUCT(--ISNUMBER(FIND(MID($B755,{1,2,3},1),"ABCDEFGHIJKLMNOPQRSTUVWXYZ")))=3,ISNUMBER(FIND(MID($B755,4,1),"UJZ")),SUMPRODUCT(--ISNUMBER(FIND(MID($B755,{5,6,7,8,9,10,11},1),"0123456789")))=7),1,0))</f>
        <v/>
      </c>
      <c r="G755">
        <f>IF($F755=1,INDEX({10,12,13,14,15,16,17,18,19,20,21,23,24,25,26,27,28,29,30,31,32,34,35,36,37,38},1,FIND(MID($B755,1,1),"ABCDEFGHIJKLMNOPQRSTUVWXYZ")),"")</f>
        <v/>
      </c>
      <c r="H755">
        <f>IF($F755=1,INDEX({10,12,13,14,15,16,17,18,19,20,21,23,24,25,26,27,28,29,30,31,32,34,35,36,37,38},1,FIND(MID($B755,2,1),"ABCDEFGHIJKLMNOPQRSTUVWXYZ")),"")</f>
        <v/>
      </c>
      <c r="I755">
        <f>IF($F755=1,INDEX({10,12,13,14,15,16,17,18,19,20,21,23,24,25,26,27,28,29,30,31,32,34,35,36,37,38},1,FIND(MID($B755,3,1),"ABCDEFGHIJKLMNOPQRSTUVWXYZ")),"")</f>
        <v/>
      </c>
      <c r="J755">
        <f>IF($F755=1,INDEX({10,12,13,14,15,16,17,18,19,20,21,23,24,25,26,27,28,29,30,31,32,34,35,36,37,38},1,FIND(MID($B755,4,1),"ABCDEFGHIJKLMNOPQRSTUVWXYZ")),"")</f>
        <v/>
      </c>
      <c r="K755">
        <f>IF($F755=1,FIND(MID($B755,5,1),"0123456789")-1,"")</f>
        <v/>
      </c>
      <c r="L755">
        <f>IF($F755=1,FIND(MID($B755,6,1),"0123456789")-1,"")</f>
        <v/>
      </c>
      <c r="M755">
        <f>IF($F755=1,FIND(MID($B755,7,1),"0123456789")-1,"")</f>
        <v/>
      </c>
      <c r="N755">
        <f>IF($F755=1,FIND(MID($B755,8,1),"0123456789")-1,"")</f>
        <v/>
      </c>
      <c r="O755">
        <f>IF($F755=1,FIND(MID($B755,9,1),"0123456789")-1,"")</f>
        <v/>
      </c>
      <c r="P755">
        <f>IF($F755=1,FIND(MID($B755,10,1),"0123456789")-1,"")</f>
        <v/>
      </c>
      <c r="Q755">
        <f>IF($F755=1,SUMPRODUCT($G755:$P755,{1,2,4,8,16,32,64,128,256,512}),"")</f>
        <v/>
      </c>
      <c r="R755">
        <f>IF($F755=1,MOD(MOD($Q755,11),10),"")</f>
        <v/>
      </c>
    </row>
    <row r="756">
      <c r="A756" s="6" t="n"/>
      <c r="B756" s="7">
        <f>IF($A756="","",UPPER(SUBSTITUTE(SUBSTITUTE(SUBSTITUTE(SUBSTITUTE(SUBSTITUTE(SUBSTITUTE($A756," ",""),"-",""),".",""),"/",""),"i","I"),"ı","?")))</f>
        <v/>
      </c>
      <c r="C756" s="8">
        <f>IF($F756=1,$R756,"")</f>
        <v/>
      </c>
      <c r="D756" s="7">
        <f>IF($A756="","",IF($F756=0,"Biçim hatalı",IF(FIND(MID($B756,11,1),"0123456789")-1=$R756,"Geçerli","Kontrol hanesi hatalı (doğrusu: "&amp;$R756&amp;")")))</f>
        <v/>
      </c>
      <c r="F756">
        <f>IF($A756="","",IF(AND(LEN($B756)=11,SUMPRODUCT(--ISNUMBER(FIND(MID($B756,{1,2,3},1),"ABCDEFGHIJKLMNOPQRSTUVWXYZ")))=3,ISNUMBER(FIND(MID($B756,4,1),"UJZ")),SUMPRODUCT(--ISNUMBER(FIND(MID($B756,{5,6,7,8,9,10,11},1),"0123456789")))=7),1,0))</f>
        <v/>
      </c>
      <c r="G756">
        <f>IF($F756=1,INDEX({10,12,13,14,15,16,17,18,19,20,21,23,24,25,26,27,28,29,30,31,32,34,35,36,37,38},1,FIND(MID($B756,1,1),"ABCDEFGHIJKLMNOPQRSTUVWXYZ")),"")</f>
        <v/>
      </c>
      <c r="H756">
        <f>IF($F756=1,INDEX({10,12,13,14,15,16,17,18,19,20,21,23,24,25,26,27,28,29,30,31,32,34,35,36,37,38},1,FIND(MID($B756,2,1),"ABCDEFGHIJKLMNOPQRSTUVWXYZ")),"")</f>
        <v/>
      </c>
      <c r="I756">
        <f>IF($F756=1,INDEX({10,12,13,14,15,16,17,18,19,20,21,23,24,25,26,27,28,29,30,31,32,34,35,36,37,38},1,FIND(MID($B756,3,1),"ABCDEFGHIJKLMNOPQRSTUVWXYZ")),"")</f>
        <v/>
      </c>
      <c r="J756">
        <f>IF($F756=1,INDEX({10,12,13,14,15,16,17,18,19,20,21,23,24,25,26,27,28,29,30,31,32,34,35,36,37,38},1,FIND(MID($B756,4,1),"ABCDEFGHIJKLMNOPQRSTUVWXYZ")),"")</f>
        <v/>
      </c>
      <c r="K756">
        <f>IF($F756=1,FIND(MID($B756,5,1),"0123456789")-1,"")</f>
        <v/>
      </c>
      <c r="L756">
        <f>IF($F756=1,FIND(MID($B756,6,1),"0123456789")-1,"")</f>
        <v/>
      </c>
      <c r="M756">
        <f>IF($F756=1,FIND(MID($B756,7,1),"0123456789")-1,"")</f>
        <v/>
      </c>
      <c r="N756">
        <f>IF($F756=1,FIND(MID($B756,8,1),"0123456789")-1,"")</f>
        <v/>
      </c>
      <c r="O756">
        <f>IF($F756=1,FIND(MID($B756,9,1),"0123456789")-1,"")</f>
        <v/>
      </c>
      <c r="P756">
        <f>IF($F756=1,FIND(MID($B756,10,1),"0123456789")-1,"")</f>
        <v/>
      </c>
      <c r="Q756">
        <f>IF($F756=1,SUMPRODUCT($G756:$P756,{1,2,4,8,16,32,64,128,256,512}),"")</f>
        <v/>
      </c>
      <c r="R756">
        <f>IF($F756=1,MOD(MOD($Q756,11),10),"")</f>
        <v/>
      </c>
    </row>
    <row r="757">
      <c r="A757" s="6" t="n"/>
      <c r="B757" s="7">
        <f>IF($A757="","",UPPER(SUBSTITUTE(SUBSTITUTE(SUBSTITUTE(SUBSTITUTE(SUBSTITUTE(SUBSTITUTE($A757," ",""),"-",""),".",""),"/",""),"i","I"),"ı","?")))</f>
        <v/>
      </c>
      <c r="C757" s="8">
        <f>IF($F757=1,$R757,"")</f>
        <v/>
      </c>
      <c r="D757" s="7">
        <f>IF($A757="","",IF($F757=0,"Biçim hatalı",IF(FIND(MID($B757,11,1),"0123456789")-1=$R757,"Geçerli","Kontrol hanesi hatalı (doğrusu: "&amp;$R757&amp;")")))</f>
        <v/>
      </c>
      <c r="F757">
        <f>IF($A757="","",IF(AND(LEN($B757)=11,SUMPRODUCT(--ISNUMBER(FIND(MID($B757,{1,2,3},1),"ABCDEFGHIJKLMNOPQRSTUVWXYZ")))=3,ISNUMBER(FIND(MID($B757,4,1),"UJZ")),SUMPRODUCT(--ISNUMBER(FIND(MID($B757,{5,6,7,8,9,10,11},1),"0123456789")))=7),1,0))</f>
        <v/>
      </c>
      <c r="G757">
        <f>IF($F757=1,INDEX({10,12,13,14,15,16,17,18,19,20,21,23,24,25,26,27,28,29,30,31,32,34,35,36,37,38},1,FIND(MID($B757,1,1),"ABCDEFGHIJKLMNOPQRSTUVWXYZ")),"")</f>
        <v/>
      </c>
      <c r="H757">
        <f>IF($F757=1,INDEX({10,12,13,14,15,16,17,18,19,20,21,23,24,25,26,27,28,29,30,31,32,34,35,36,37,38},1,FIND(MID($B757,2,1),"ABCDEFGHIJKLMNOPQRSTUVWXYZ")),"")</f>
        <v/>
      </c>
      <c r="I757">
        <f>IF($F757=1,INDEX({10,12,13,14,15,16,17,18,19,20,21,23,24,25,26,27,28,29,30,31,32,34,35,36,37,38},1,FIND(MID($B757,3,1),"ABCDEFGHIJKLMNOPQRSTUVWXYZ")),"")</f>
        <v/>
      </c>
      <c r="J757">
        <f>IF($F757=1,INDEX({10,12,13,14,15,16,17,18,19,20,21,23,24,25,26,27,28,29,30,31,32,34,35,36,37,38},1,FIND(MID($B757,4,1),"ABCDEFGHIJKLMNOPQRSTUVWXYZ")),"")</f>
        <v/>
      </c>
      <c r="K757">
        <f>IF($F757=1,FIND(MID($B757,5,1),"0123456789")-1,"")</f>
        <v/>
      </c>
      <c r="L757">
        <f>IF($F757=1,FIND(MID($B757,6,1),"0123456789")-1,"")</f>
        <v/>
      </c>
      <c r="M757">
        <f>IF($F757=1,FIND(MID($B757,7,1),"0123456789")-1,"")</f>
        <v/>
      </c>
      <c r="N757">
        <f>IF($F757=1,FIND(MID($B757,8,1),"0123456789")-1,"")</f>
        <v/>
      </c>
      <c r="O757">
        <f>IF($F757=1,FIND(MID($B757,9,1),"0123456789")-1,"")</f>
        <v/>
      </c>
      <c r="P757">
        <f>IF($F757=1,FIND(MID($B757,10,1),"0123456789")-1,"")</f>
        <v/>
      </c>
      <c r="Q757">
        <f>IF($F757=1,SUMPRODUCT($G757:$P757,{1,2,4,8,16,32,64,128,256,512}),"")</f>
        <v/>
      </c>
      <c r="R757">
        <f>IF($F757=1,MOD(MOD($Q757,11),10),"")</f>
        <v/>
      </c>
    </row>
    <row r="758">
      <c r="A758" s="6" t="n"/>
      <c r="B758" s="7">
        <f>IF($A758="","",UPPER(SUBSTITUTE(SUBSTITUTE(SUBSTITUTE(SUBSTITUTE(SUBSTITUTE(SUBSTITUTE($A758," ",""),"-",""),".",""),"/",""),"i","I"),"ı","?")))</f>
        <v/>
      </c>
      <c r="C758" s="8">
        <f>IF($F758=1,$R758,"")</f>
        <v/>
      </c>
      <c r="D758" s="7">
        <f>IF($A758="","",IF($F758=0,"Biçim hatalı",IF(FIND(MID($B758,11,1),"0123456789")-1=$R758,"Geçerli","Kontrol hanesi hatalı (doğrusu: "&amp;$R758&amp;")")))</f>
        <v/>
      </c>
      <c r="F758">
        <f>IF($A758="","",IF(AND(LEN($B758)=11,SUMPRODUCT(--ISNUMBER(FIND(MID($B758,{1,2,3},1),"ABCDEFGHIJKLMNOPQRSTUVWXYZ")))=3,ISNUMBER(FIND(MID($B758,4,1),"UJZ")),SUMPRODUCT(--ISNUMBER(FIND(MID($B758,{5,6,7,8,9,10,11},1),"0123456789")))=7),1,0))</f>
        <v/>
      </c>
      <c r="G758">
        <f>IF($F758=1,INDEX({10,12,13,14,15,16,17,18,19,20,21,23,24,25,26,27,28,29,30,31,32,34,35,36,37,38},1,FIND(MID($B758,1,1),"ABCDEFGHIJKLMNOPQRSTUVWXYZ")),"")</f>
        <v/>
      </c>
      <c r="H758">
        <f>IF($F758=1,INDEX({10,12,13,14,15,16,17,18,19,20,21,23,24,25,26,27,28,29,30,31,32,34,35,36,37,38},1,FIND(MID($B758,2,1),"ABCDEFGHIJKLMNOPQRSTUVWXYZ")),"")</f>
        <v/>
      </c>
      <c r="I758">
        <f>IF($F758=1,INDEX({10,12,13,14,15,16,17,18,19,20,21,23,24,25,26,27,28,29,30,31,32,34,35,36,37,38},1,FIND(MID($B758,3,1),"ABCDEFGHIJKLMNOPQRSTUVWXYZ")),"")</f>
        <v/>
      </c>
      <c r="J758">
        <f>IF($F758=1,INDEX({10,12,13,14,15,16,17,18,19,20,21,23,24,25,26,27,28,29,30,31,32,34,35,36,37,38},1,FIND(MID($B758,4,1),"ABCDEFGHIJKLMNOPQRSTUVWXYZ")),"")</f>
        <v/>
      </c>
      <c r="K758">
        <f>IF($F758=1,FIND(MID($B758,5,1),"0123456789")-1,"")</f>
        <v/>
      </c>
      <c r="L758">
        <f>IF($F758=1,FIND(MID($B758,6,1),"0123456789")-1,"")</f>
        <v/>
      </c>
      <c r="M758">
        <f>IF($F758=1,FIND(MID($B758,7,1),"0123456789")-1,"")</f>
        <v/>
      </c>
      <c r="N758">
        <f>IF($F758=1,FIND(MID($B758,8,1),"0123456789")-1,"")</f>
        <v/>
      </c>
      <c r="O758">
        <f>IF($F758=1,FIND(MID($B758,9,1),"0123456789")-1,"")</f>
        <v/>
      </c>
      <c r="P758">
        <f>IF($F758=1,FIND(MID($B758,10,1),"0123456789")-1,"")</f>
        <v/>
      </c>
      <c r="Q758">
        <f>IF($F758=1,SUMPRODUCT($G758:$P758,{1,2,4,8,16,32,64,128,256,512}),"")</f>
        <v/>
      </c>
      <c r="R758">
        <f>IF($F758=1,MOD(MOD($Q758,11),10),"")</f>
        <v/>
      </c>
    </row>
    <row r="759">
      <c r="A759" s="6" t="n"/>
      <c r="B759" s="7">
        <f>IF($A759="","",UPPER(SUBSTITUTE(SUBSTITUTE(SUBSTITUTE(SUBSTITUTE(SUBSTITUTE(SUBSTITUTE($A759," ",""),"-",""),".",""),"/",""),"i","I"),"ı","?")))</f>
        <v/>
      </c>
      <c r="C759" s="8">
        <f>IF($F759=1,$R759,"")</f>
        <v/>
      </c>
      <c r="D759" s="7">
        <f>IF($A759="","",IF($F759=0,"Biçim hatalı",IF(FIND(MID($B759,11,1),"0123456789")-1=$R759,"Geçerli","Kontrol hanesi hatalı (doğrusu: "&amp;$R759&amp;")")))</f>
        <v/>
      </c>
      <c r="F759">
        <f>IF($A759="","",IF(AND(LEN($B759)=11,SUMPRODUCT(--ISNUMBER(FIND(MID($B759,{1,2,3},1),"ABCDEFGHIJKLMNOPQRSTUVWXYZ")))=3,ISNUMBER(FIND(MID($B759,4,1),"UJZ")),SUMPRODUCT(--ISNUMBER(FIND(MID($B759,{5,6,7,8,9,10,11},1),"0123456789")))=7),1,0))</f>
        <v/>
      </c>
      <c r="G759">
        <f>IF($F759=1,INDEX({10,12,13,14,15,16,17,18,19,20,21,23,24,25,26,27,28,29,30,31,32,34,35,36,37,38},1,FIND(MID($B759,1,1),"ABCDEFGHIJKLMNOPQRSTUVWXYZ")),"")</f>
        <v/>
      </c>
      <c r="H759">
        <f>IF($F759=1,INDEX({10,12,13,14,15,16,17,18,19,20,21,23,24,25,26,27,28,29,30,31,32,34,35,36,37,38},1,FIND(MID($B759,2,1),"ABCDEFGHIJKLMNOPQRSTUVWXYZ")),"")</f>
        <v/>
      </c>
      <c r="I759">
        <f>IF($F759=1,INDEX({10,12,13,14,15,16,17,18,19,20,21,23,24,25,26,27,28,29,30,31,32,34,35,36,37,38},1,FIND(MID($B759,3,1),"ABCDEFGHIJKLMNOPQRSTUVWXYZ")),"")</f>
        <v/>
      </c>
      <c r="J759">
        <f>IF($F759=1,INDEX({10,12,13,14,15,16,17,18,19,20,21,23,24,25,26,27,28,29,30,31,32,34,35,36,37,38},1,FIND(MID($B759,4,1),"ABCDEFGHIJKLMNOPQRSTUVWXYZ")),"")</f>
        <v/>
      </c>
      <c r="K759">
        <f>IF($F759=1,FIND(MID($B759,5,1),"0123456789")-1,"")</f>
        <v/>
      </c>
      <c r="L759">
        <f>IF($F759=1,FIND(MID($B759,6,1),"0123456789")-1,"")</f>
        <v/>
      </c>
      <c r="M759">
        <f>IF($F759=1,FIND(MID($B759,7,1),"0123456789")-1,"")</f>
        <v/>
      </c>
      <c r="N759">
        <f>IF($F759=1,FIND(MID($B759,8,1),"0123456789")-1,"")</f>
        <v/>
      </c>
      <c r="O759">
        <f>IF($F759=1,FIND(MID($B759,9,1),"0123456789")-1,"")</f>
        <v/>
      </c>
      <c r="P759">
        <f>IF($F759=1,FIND(MID($B759,10,1),"0123456789")-1,"")</f>
        <v/>
      </c>
      <c r="Q759">
        <f>IF($F759=1,SUMPRODUCT($G759:$P759,{1,2,4,8,16,32,64,128,256,512}),"")</f>
        <v/>
      </c>
      <c r="R759">
        <f>IF($F759=1,MOD(MOD($Q759,11),10),"")</f>
        <v/>
      </c>
    </row>
    <row r="760">
      <c r="A760" s="6" t="n"/>
      <c r="B760" s="7">
        <f>IF($A760="","",UPPER(SUBSTITUTE(SUBSTITUTE(SUBSTITUTE(SUBSTITUTE(SUBSTITUTE(SUBSTITUTE($A760," ",""),"-",""),".",""),"/",""),"i","I"),"ı","?")))</f>
        <v/>
      </c>
      <c r="C760" s="8">
        <f>IF($F760=1,$R760,"")</f>
        <v/>
      </c>
      <c r="D760" s="7">
        <f>IF($A760="","",IF($F760=0,"Biçim hatalı",IF(FIND(MID($B760,11,1),"0123456789")-1=$R760,"Geçerli","Kontrol hanesi hatalı (doğrusu: "&amp;$R760&amp;")")))</f>
        <v/>
      </c>
      <c r="F760">
        <f>IF($A760="","",IF(AND(LEN($B760)=11,SUMPRODUCT(--ISNUMBER(FIND(MID($B760,{1,2,3},1),"ABCDEFGHIJKLMNOPQRSTUVWXYZ")))=3,ISNUMBER(FIND(MID($B760,4,1),"UJZ")),SUMPRODUCT(--ISNUMBER(FIND(MID($B760,{5,6,7,8,9,10,11},1),"0123456789")))=7),1,0))</f>
        <v/>
      </c>
      <c r="G760">
        <f>IF($F760=1,INDEX({10,12,13,14,15,16,17,18,19,20,21,23,24,25,26,27,28,29,30,31,32,34,35,36,37,38},1,FIND(MID($B760,1,1),"ABCDEFGHIJKLMNOPQRSTUVWXYZ")),"")</f>
        <v/>
      </c>
      <c r="H760">
        <f>IF($F760=1,INDEX({10,12,13,14,15,16,17,18,19,20,21,23,24,25,26,27,28,29,30,31,32,34,35,36,37,38},1,FIND(MID($B760,2,1),"ABCDEFGHIJKLMNOPQRSTUVWXYZ")),"")</f>
        <v/>
      </c>
      <c r="I760">
        <f>IF($F760=1,INDEX({10,12,13,14,15,16,17,18,19,20,21,23,24,25,26,27,28,29,30,31,32,34,35,36,37,38},1,FIND(MID($B760,3,1),"ABCDEFGHIJKLMNOPQRSTUVWXYZ")),"")</f>
        <v/>
      </c>
      <c r="J760">
        <f>IF($F760=1,INDEX({10,12,13,14,15,16,17,18,19,20,21,23,24,25,26,27,28,29,30,31,32,34,35,36,37,38},1,FIND(MID($B760,4,1),"ABCDEFGHIJKLMNOPQRSTUVWXYZ")),"")</f>
        <v/>
      </c>
      <c r="K760">
        <f>IF($F760=1,FIND(MID($B760,5,1),"0123456789")-1,"")</f>
        <v/>
      </c>
      <c r="L760">
        <f>IF($F760=1,FIND(MID($B760,6,1),"0123456789")-1,"")</f>
        <v/>
      </c>
      <c r="M760">
        <f>IF($F760=1,FIND(MID($B760,7,1),"0123456789")-1,"")</f>
        <v/>
      </c>
      <c r="N760">
        <f>IF($F760=1,FIND(MID($B760,8,1),"0123456789")-1,"")</f>
        <v/>
      </c>
      <c r="O760">
        <f>IF($F760=1,FIND(MID($B760,9,1),"0123456789")-1,"")</f>
        <v/>
      </c>
      <c r="P760">
        <f>IF($F760=1,FIND(MID($B760,10,1),"0123456789")-1,"")</f>
        <v/>
      </c>
      <c r="Q760">
        <f>IF($F760=1,SUMPRODUCT($G760:$P760,{1,2,4,8,16,32,64,128,256,512}),"")</f>
        <v/>
      </c>
      <c r="R760">
        <f>IF($F760=1,MOD(MOD($Q760,11),10),"")</f>
        <v/>
      </c>
    </row>
    <row r="761">
      <c r="A761" s="6" t="n"/>
      <c r="B761" s="7">
        <f>IF($A761="","",UPPER(SUBSTITUTE(SUBSTITUTE(SUBSTITUTE(SUBSTITUTE(SUBSTITUTE(SUBSTITUTE($A761," ",""),"-",""),".",""),"/",""),"i","I"),"ı","?")))</f>
        <v/>
      </c>
      <c r="C761" s="8">
        <f>IF($F761=1,$R761,"")</f>
        <v/>
      </c>
      <c r="D761" s="7">
        <f>IF($A761="","",IF($F761=0,"Biçim hatalı",IF(FIND(MID($B761,11,1),"0123456789")-1=$R761,"Geçerli","Kontrol hanesi hatalı (doğrusu: "&amp;$R761&amp;")")))</f>
        <v/>
      </c>
      <c r="F761">
        <f>IF($A761="","",IF(AND(LEN($B761)=11,SUMPRODUCT(--ISNUMBER(FIND(MID($B761,{1,2,3},1),"ABCDEFGHIJKLMNOPQRSTUVWXYZ")))=3,ISNUMBER(FIND(MID($B761,4,1),"UJZ")),SUMPRODUCT(--ISNUMBER(FIND(MID($B761,{5,6,7,8,9,10,11},1),"0123456789")))=7),1,0))</f>
        <v/>
      </c>
      <c r="G761">
        <f>IF($F761=1,INDEX({10,12,13,14,15,16,17,18,19,20,21,23,24,25,26,27,28,29,30,31,32,34,35,36,37,38},1,FIND(MID($B761,1,1),"ABCDEFGHIJKLMNOPQRSTUVWXYZ")),"")</f>
        <v/>
      </c>
      <c r="H761">
        <f>IF($F761=1,INDEX({10,12,13,14,15,16,17,18,19,20,21,23,24,25,26,27,28,29,30,31,32,34,35,36,37,38},1,FIND(MID($B761,2,1),"ABCDEFGHIJKLMNOPQRSTUVWXYZ")),"")</f>
        <v/>
      </c>
      <c r="I761">
        <f>IF($F761=1,INDEX({10,12,13,14,15,16,17,18,19,20,21,23,24,25,26,27,28,29,30,31,32,34,35,36,37,38},1,FIND(MID($B761,3,1),"ABCDEFGHIJKLMNOPQRSTUVWXYZ")),"")</f>
        <v/>
      </c>
      <c r="J761">
        <f>IF($F761=1,INDEX({10,12,13,14,15,16,17,18,19,20,21,23,24,25,26,27,28,29,30,31,32,34,35,36,37,38},1,FIND(MID($B761,4,1),"ABCDEFGHIJKLMNOPQRSTUVWXYZ")),"")</f>
        <v/>
      </c>
      <c r="K761">
        <f>IF($F761=1,FIND(MID($B761,5,1),"0123456789")-1,"")</f>
        <v/>
      </c>
      <c r="L761">
        <f>IF($F761=1,FIND(MID($B761,6,1),"0123456789")-1,"")</f>
        <v/>
      </c>
      <c r="M761">
        <f>IF($F761=1,FIND(MID($B761,7,1),"0123456789")-1,"")</f>
        <v/>
      </c>
      <c r="N761">
        <f>IF($F761=1,FIND(MID($B761,8,1),"0123456789")-1,"")</f>
        <v/>
      </c>
      <c r="O761">
        <f>IF($F761=1,FIND(MID($B761,9,1),"0123456789")-1,"")</f>
        <v/>
      </c>
      <c r="P761">
        <f>IF($F761=1,FIND(MID($B761,10,1),"0123456789")-1,"")</f>
        <v/>
      </c>
      <c r="Q761">
        <f>IF($F761=1,SUMPRODUCT($G761:$P761,{1,2,4,8,16,32,64,128,256,512}),"")</f>
        <v/>
      </c>
      <c r="R761">
        <f>IF($F761=1,MOD(MOD($Q761,11),10),"")</f>
        <v/>
      </c>
    </row>
    <row r="762">
      <c r="A762" s="6" t="n"/>
      <c r="B762" s="7">
        <f>IF($A762="","",UPPER(SUBSTITUTE(SUBSTITUTE(SUBSTITUTE(SUBSTITUTE(SUBSTITUTE(SUBSTITUTE($A762," ",""),"-",""),".",""),"/",""),"i","I"),"ı","?")))</f>
        <v/>
      </c>
      <c r="C762" s="8">
        <f>IF($F762=1,$R762,"")</f>
        <v/>
      </c>
      <c r="D762" s="7">
        <f>IF($A762="","",IF($F762=0,"Biçim hatalı",IF(FIND(MID($B762,11,1),"0123456789")-1=$R762,"Geçerli","Kontrol hanesi hatalı (doğrusu: "&amp;$R762&amp;")")))</f>
        <v/>
      </c>
      <c r="F762">
        <f>IF($A762="","",IF(AND(LEN($B762)=11,SUMPRODUCT(--ISNUMBER(FIND(MID($B762,{1,2,3},1),"ABCDEFGHIJKLMNOPQRSTUVWXYZ")))=3,ISNUMBER(FIND(MID($B762,4,1),"UJZ")),SUMPRODUCT(--ISNUMBER(FIND(MID($B762,{5,6,7,8,9,10,11},1),"0123456789")))=7),1,0))</f>
        <v/>
      </c>
      <c r="G762">
        <f>IF($F762=1,INDEX({10,12,13,14,15,16,17,18,19,20,21,23,24,25,26,27,28,29,30,31,32,34,35,36,37,38},1,FIND(MID($B762,1,1),"ABCDEFGHIJKLMNOPQRSTUVWXYZ")),"")</f>
        <v/>
      </c>
      <c r="H762">
        <f>IF($F762=1,INDEX({10,12,13,14,15,16,17,18,19,20,21,23,24,25,26,27,28,29,30,31,32,34,35,36,37,38},1,FIND(MID($B762,2,1),"ABCDEFGHIJKLMNOPQRSTUVWXYZ")),"")</f>
        <v/>
      </c>
      <c r="I762">
        <f>IF($F762=1,INDEX({10,12,13,14,15,16,17,18,19,20,21,23,24,25,26,27,28,29,30,31,32,34,35,36,37,38},1,FIND(MID($B762,3,1),"ABCDEFGHIJKLMNOPQRSTUVWXYZ")),"")</f>
        <v/>
      </c>
      <c r="J762">
        <f>IF($F762=1,INDEX({10,12,13,14,15,16,17,18,19,20,21,23,24,25,26,27,28,29,30,31,32,34,35,36,37,38},1,FIND(MID($B762,4,1),"ABCDEFGHIJKLMNOPQRSTUVWXYZ")),"")</f>
        <v/>
      </c>
      <c r="K762">
        <f>IF($F762=1,FIND(MID($B762,5,1),"0123456789")-1,"")</f>
        <v/>
      </c>
      <c r="L762">
        <f>IF($F762=1,FIND(MID($B762,6,1),"0123456789")-1,"")</f>
        <v/>
      </c>
      <c r="M762">
        <f>IF($F762=1,FIND(MID($B762,7,1),"0123456789")-1,"")</f>
        <v/>
      </c>
      <c r="N762">
        <f>IF($F762=1,FIND(MID($B762,8,1),"0123456789")-1,"")</f>
        <v/>
      </c>
      <c r="O762">
        <f>IF($F762=1,FIND(MID($B762,9,1),"0123456789")-1,"")</f>
        <v/>
      </c>
      <c r="P762">
        <f>IF($F762=1,FIND(MID($B762,10,1),"0123456789")-1,"")</f>
        <v/>
      </c>
      <c r="Q762">
        <f>IF($F762=1,SUMPRODUCT($G762:$P762,{1,2,4,8,16,32,64,128,256,512}),"")</f>
        <v/>
      </c>
      <c r="R762">
        <f>IF($F762=1,MOD(MOD($Q762,11),10),"")</f>
        <v/>
      </c>
    </row>
    <row r="763">
      <c r="A763" s="6" t="n"/>
      <c r="B763" s="7">
        <f>IF($A763="","",UPPER(SUBSTITUTE(SUBSTITUTE(SUBSTITUTE(SUBSTITUTE(SUBSTITUTE(SUBSTITUTE($A763," ",""),"-",""),".",""),"/",""),"i","I"),"ı","?")))</f>
        <v/>
      </c>
      <c r="C763" s="8">
        <f>IF($F763=1,$R763,"")</f>
        <v/>
      </c>
      <c r="D763" s="7">
        <f>IF($A763="","",IF($F763=0,"Biçim hatalı",IF(FIND(MID($B763,11,1),"0123456789")-1=$R763,"Geçerli","Kontrol hanesi hatalı (doğrusu: "&amp;$R763&amp;")")))</f>
        <v/>
      </c>
      <c r="F763">
        <f>IF($A763="","",IF(AND(LEN($B763)=11,SUMPRODUCT(--ISNUMBER(FIND(MID($B763,{1,2,3},1),"ABCDEFGHIJKLMNOPQRSTUVWXYZ")))=3,ISNUMBER(FIND(MID($B763,4,1),"UJZ")),SUMPRODUCT(--ISNUMBER(FIND(MID($B763,{5,6,7,8,9,10,11},1),"0123456789")))=7),1,0))</f>
        <v/>
      </c>
      <c r="G763">
        <f>IF($F763=1,INDEX({10,12,13,14,15,16,17,18,19,20,21,23,24,25,26,27,28,29,30,31,32,34,35,36,37,38},1,FIND(MID($B763,1,1),"ABCDEFGHIJKLMNOPQRSTUVWXYZ")),"")</f>
        <v/>
      </c>
      <c r="H763">
        <f>IF($F763=1,INDEX({10,12,13,14,15,16,17,18,19,20,21,23,24,25,26,27,28,29,30,31,32,34,35,36,37,38},1,FIND(MID($B763,2,1),"ABCDEFGHIJKLMNOPQRSTUVWXYZ")),"")</f>
        <v/>
      </c>
      <c r="I763">
        <f>IF($F763=1,INDEX({10,12,13,14,15,16,17,18,19,20,21,23,24,25,26,27,28,29,30,31,32,34,35,36,37,38},1,FIND(MID($B763,3,1),"ABCDEFGHIJKLMNOPQRSTUVWXYZ")),"")</f>
        <v/>
      </c>
      <c r="J763">
        <f>IF($F763=1,INDEX({10,12,13,14,15,16,17,18,19,20,21,23,24,25,26,27,28,29,30,31,32,34,35,36,37,38},1,FIND(MID($B763,4,1),"ABCDEFGHIJKLMNOPQRSTUVWXYZ")),"")</f>
        <v/>
      </c>
      <c r="K763">
        <f>IF($F763=1,FIND(MID($B763,5,1),"0123456789")-1,"")</f>
        <v/>
      </c>
      <c r="L763">
        <f>IF($F763=1,FIND(MID($B763,6,1),"0123456789")-1,"")</f>
        <v/>
      </c>
      <c r="M763">
        <f>IF($F763=1,FIND(MID($B763,7,1),"0123456789")-1,"")</f>
        <v/>
      </c>
      <c r="N763">
        <f>IF($F763=1,FIND(MID($B763,8,1),"0123456789")-1,"")</f>
        <v/>
      </c>
      <c r="O763">
        <f>IF($F763=1,FIND(MID($B763,9,1),"0123456789")-1,"")</f>
        <v/>
      </c>
      <c r="P763">
        <f>IF($F763=1,FIND(MID($B763,10,1),"0123456789")-1,"")</f>
        <v/>
      </c>
      <c r="Q763">
        <f>IF($F763=1,SUMPRODUCT($G763:$P763,{1,2,4,8,16,32,64,128,256,512}),"")</f>
        <v/>
      </c>
      <c r="R763">
        <f>IF($F763=1,MOD(MOD($Q763,11),10),"")</f>
        <v/>
      </c>
    </row>
    <row r="764">
      <c r="A764" s="6" t="n"/>
      <c r="B764" s="7">
        <f>IF($A764="","",UPPER(SUBSTITUTE(SUBSTITUTE(SUBSTITUTE(SUBSTITUTE(SUBSTITUTE(SUBSTITUTE($A764," ",""),"-",""),".",""),"/",""),"i","I"),"ı","?")))</f>
        <v/>
      </c>
      <c r="C764" s="8">
        <f>IF($F764=1,$R764,"")</f>
        <v/>
      </c>
      <c r="D764" s="7">
        <f>IF($A764="","",IF($F764=0,"Biçim hatalı",IF(FIND(MID($B764,11,1),"0123456789")-1=$R764,"Geçerli","Kontrol hanesi hatalı (doğrusu: "&amp;$R764&amp;")")))</f>
        <v/>
      </c>
      <c r="F764">
        <f>IF($A764="","",IF(AND(LEN($B764)=11,SUMPRODUCT(--ISNUMBER(FIND(MID($B764,{1,2,3},1),"ABCDEFGHIJKLMNOPQRSTUVWXYZ")))=3,ISNUMBER(FIND(MID($B764,4,1),"UJZ")),SUMPRODUCT(--ISNUMBER(FIND(MID($B764,{5,6,7,8,9,10,11},1),"0123456789")))=7),1,0))</f>
        <v/>
      </c>
      <c r="G764">
        <f>IF($F764=1,INDEX({10,12,13,14,15,16,17,18,19,20,21,23,24,25,26,27,28,29,30,31,32,34,35,36,37,38},1,FIND(MID($B764,1,1),"ABCDEFGHIJKLMNOPQRSTUVWXYZ")),"")</f>
        <v/>
      </c>
      <c r="H764">
        <f>IF($F764=1,INDEX({10,12,13,14,15,16,17,18,19,20,21,23,24,25,26,27,28,29,30,31,32,34,35,36,37,38},1,FIND(MID($B764,2,1),"ABCDEFGHIJKLMNOPQRSTUVWXYZ")),"")</f>
        <v/>
      </c>
      <c r="I764">
        <f>IF($F764=1,INDEX({10,12,13,14,15,16,17,18,19,20,21,23,24,25,26,27,28,29,30,31,32,34,35,36,37,38},1,FIND(MID($B764,3,1),"ABCDEFGHIJKLMNOPQRSTUVWXYZ")),"")</f>
        <v/>
      </c>
      <c r="J764">
        <f>IF($F764=1,INDEX({10,12,13,14,15,16,17,18,19,20,21,23,24,25,26,27,28,29,30,31,32,34,35,36,37,38},1,FIND(MID($B764,4,1),"ABCDEFGHIJKLMNOPQRSTUVWXYZ")),"")</f>
        <v/>
      </c>
      <c r="K764">
        <f>IF($F764=1,FIND(MID($B764,5,1),"0123456789")-1,"")</f>
        <v/>
      </c>
      <c r="L764">
        <f>IF($F764=1,FIND(MID($B764,6,1),"0123456789")-1,"")</f>
        <v/>
      </c>
      <c r="M764">
        <f>IF($F764=1,FIND(MID($B764,7,1),"0123456789")-1,"")</f>
        <v/>
      </c>
      <c r="N764">
        <f>IF($F764=1,FIND(MID($B764,8,1),"0123456789")-1,"")</f>
        <v/>
      </c>
      <c r="O764">
        <f>IF($F764=1,FIND(MID($B764,9,1),"0123456789")-1,"")</f>
        <v/>
      </c>
      <c r="P764">
        <f>IF($F764=1,FIND(MID($B764,10,1),"0123456789")-1,"")</f>
        <v/>
      </c>
      <c r="Q764">
        <f>IF($F764=1,SUMPRODUCT($G764:$P764,{1,2,4,8,16,32,64,128,256,512}),"")</f>
        <v/>
      </c>
      <c r="R764">
        <f>IF($F764=1,MOD(MOD($Q764,11),10),"")</f>
        <v/>
      </c>
    </row>
    <row r="765">
      <c r="A765" s="6" t="n"/>
      <c r="B765" s="7">
        <f>IF($A765="","",UPPER(SUBSTITUTE(SUBSTITUTE(SUBSTITUTE(SUBSTITUTE(SUBSTITUTE(SUBSTITUTE($A765," ",""),"-",""),".",""),"/",""),"i","I"),"ı","?")))</f>
        <v/>
      </c>
      <c r="C765" s="8">
        <f>IF($F765=1,$R765,"")</f>
        <v/>
      </c>
      <c r="D765" s="7">
        <f>IF($A765="","",IF($F765=0,"Biçim hatalı",IF(FIND(MID($B765,11,1),"0123456789")-1=$R765,"Geçerli","Kontrol hanesi hatalı (doğrusu: "&amp;$R765&amp;")")))</f>
        <v/>
      </c>
      <c r="F765">
        <f>IF($A765="","",IF(AND(LEN($B765)=11,SUMPRODUCT(--ISNUMBER(FIND(MID($B765,{1,2,3},1),"ABCDEFGHIJKLMNOPQRSTUVWXYZ")))=3,ISNUMBER(FIND(MID($B765,4,1),"UJZ")),SUMPRODUCT(--ISNUMBER(FIND(MID($B765,{5,6,7,8,9,10,11},1),"0123456789")))=7),1,0))</f>
        <v/>
      </c>
      <c r="G765">
        <f>IF($F765=1,INDEX({10,12,13,14,15,16,17,18,19,20,21,23,24,25,26,27,28,29,30,31,32,34,35,36,37,38},1,FIND(MID($B765,1,1),"ABCDEFGHIJKLMNOPQRSTUVWXYZ")),"")</f>
        <v/>
      </c>
      <c r="H765">
        <f>IF($F765=1,INDEX({10,12,13,14,15,16,17,18,19,20,21,23,24,25,26,27,28,29,30,31,32,34,35,36,37,38},1,FIND(MID($B765,2,1),"ABCDEFGHIJKLMNOPQRSTUVWXYZ")),"")</f>
        <v/>
      </c>
      <c r="I765">
        <f>IF($F765=1,INDEX({10,12,13,14,15,16,17,18,19,20,21,23,24,25,26,27,28,29,30,31,32,34,35,36,37,38},1,FIND(MID($B765,3,1),"ABCDEFGHIJKLMNOPQRSTUVWXYZ")),"")</f>
        <v/>
      </c>
      <c r="J765">
        <f>IF($F765=1,INDEX({10,12,13,14,15,16,17,18,19,20,21,23,24,25,26,27,28,29,30,31,32,34,35,36,37,38},1,FIND(MID($B765,4,1),"ABCDEFGHIJKLMNOPQRSTUVWXYZ")),"")</f>
        <v/>
      </c>
      <c r="K765">
        <f>IF($F765=1,FIND(MID($B765,5,1),"0123456789")-1,"")</f>
        <v/>
      </c>
      <c r="L765">
        <f>IF($F765=1,FIND(MID($B765,6,1),"0123456789")-1,"")</f>
        <v/>
      </c>
      <c r="M765">
        <f>IF($F765=1,FIND(MID($B765,7,1),"0123456789")-1,"")</f>
        <v/>
      </c>
      <c r="N765">
        <f>IF($F765=1,FIND(MID($B765,8,1),"0123456789")-1,"")</f>
        <v/>
      </c>
      <c r="O765">
        <f>IF($F765=1,FIND(MID($B765,9,1),"0123456789")-1,"")</f>
        <v/>
      </c>
      <c r="P765">
        <f>IF($F765=1,FIND(MID($B765,10,1),"0123456789")-1,"")</f>
        <v/>
      </c>
      <c r="Q765">
        <f>IF($F765=1,SUMPRODUCT($G765:$P765,{1,2,4,8,16,32,64,128,256,512}),"")</f>
        <v/>
      </c>
      <c r="R765">
        <f>IF($F765=1,MOD(MOD($Q765,11),10),"")</f>
        <v/>
      </c>
    </row>
    <row r="766">
      <c r="A766" s="6" t="n"/>
      <c r="B766" s="7">
        <f>IF($A766="","",UPPER(SUBSTITUTE(SUBSTITUTE(SUBSTITUTE(SUBSTITUTE(SUBSTITUTE(SUBSTITUTE($A766," ",""),"-",""),".",""),"/",""),"i","I"),"ı","?")))</f>
        <v/>
      </c>
      <c r="C766" s="8">
        <f>IF($F766=1,$R766,"")</f>
        <v/>
      </c>
      <c r="D766" s="7">
        <f>IF($A766="","",IF($F766=0,"Biçim hatalı",IF(FIND(MID($B766,11,1),"0123456789")-1=$R766,"Geçerli","Kontrol hanesi hatalı (doğrusu: "&amp;$R766&amp;")")))</f>
        <v/>
      </c>
      <c r="F766">
        <f>IF($A766="","",IF(AND(LEN($B766)=11,SUMPRODUCT(--ISNUMBER(FIND(MID($B766,{1,2,3},1),"ABCDEFGHIJKLMNOPQRSTUVWXYZ")))=3,ISNUMBER(FIND(MID($B766,4,1),"UJZ")),SUMPRODUCT(--ISNUMBER(FIND(MID($B766,{5,6,7,8,9,10,11},1),"0123456789")))=7),1,0))</f>
        <v/>
      </c>
      <c r="G766">
        <f>IF($F766=1,INDEX({10,12,13,14,15,16,17,18,19,20,21,23,24,25,26,27,28,29,30,31,32,34,35,36,37,38},1,FIND(MID($B766,1,1),"ABCDEFGHIJKLMNOPQRSTUVWXYZ")),"")</f>
        <v/>
      </c>
      <c r="H766">
        <f>IF($F766=1,INDEX({10,12,13,14,15,16,17,18,19,20,21,23,24,25,26,27,28,29,30,31,32,34,35,36,37,38},1,FIND(MID($B766,2,1),"ABCDEFGHIJKLMNOPQRSTUVWXYZ")),"")</f>
        <v/>
      </c>
      <c r="I766">
        <f>IF($F766=1,INDEX({10,12,13,14,15,16,17,18,19,20,21,23,24,25,26,27,28,29,30,31,32,34,35,36,37,38},1,FIND(MID($B766,3,1),"ABCDEFGHIJKLMNOPQRSTUVWXYZ")),"")</f>
        <v/>
      </c>
      <c r="J766">
        <f>IF($F766=1,INDEX({10,12,13,14,15,16,17,18,19,20,21,23,24,25,26,27,28,29,30,31,32,34,35,36,37,38},1,FIND(MID($B766,4,1),"ABCDEFGHIJKLMNOPQRSTUVWXYZ")),"")</f>
        <v/>
      </c>
      <c r="K766">
        <f>IF($F766=1,FIND(MID($B766,5,1),"0123456789")-1,"")</f>
        <v/>
      </c>
      <c r="L766">
        <f>IF($F766=1,FIND(MID($B766,6,1),"0123456789")-1,"")</f>
        <v/>
      </c>
      <c r="M766">
        <f>IF($F766=1,FIND(MID($B766,7,1),"0123456789")-1,"")</f>
        <v/>
      </c>
      <c r="N766">
        <f>IF($F766=1,FIND(MID($B766,8,1),"0123456789")-1,"")</f>
        <v/>
      </c>
      <c r="O766">
        <f>IF($F766=1,FIND(MID($B766,9,1),"0123456789")-1,"")</f>
        <v/>
      </c>
      <c r="P766">
        <f>IF($F766=1,FIND(MID($B766,10,1),"0123456789")-1,"")</f>
        <v/>
      </c>
      <c r="Q766">
        <f>IF($F766=1,SUMPRODUCT($G766:$P766,{1,2,4,8,16,32,64,128,256,512}),"")</f>
        <v/>
      </c>
      <c r="R766">
        <f>IF($F766=1,MOD(MOD($Q766,11),10),"")</f>
        <v/>
      </c>
    </row>
    <row r="767">
      <c r="A767" s="6" t="n"/>
      <c r="B767" s="7">
        <f>IF($A767="","",UPPER(SUBSTITUTE(SUBSTITUTE(SUBSTITUTE(SUBSTITUTE(SUBSTITUTE(SUBSTITUTE($A767," ",""),"-",""),".",""),"/",""),"i","I"),"ı","?")))</f>
        <v/>
      </c>
      <c r="C767" s="8">
        <f>IF($F767=1,$R767,"")</f>
        <v/>
      </c>
      <c r="D767" s="7">
        <f>IF($A767="","",IF($F767=0,"Biçim hatalı",IF(FIND(MID($B767,11,1),"0123456789")-1=$R767,"Geçerli","Kontrol hanesi hatalı (doğrusu: "&amp;$R767&amp;")")))</f>
        <v/>
      </c>
      <c r="F767">
        <f>IF($A767="","",IF(AND(LEN($B767)=11,SUMPRODUCT(--ISNUMBER(FIND(MID($B767,{1,2,3},1),"ABCDEFGHIJKLMNOPQRSTUVWXYZ")))=3,ISNUMBER(FIND(MID($B767,4,1),"UJZ")),SUMPRODUCT(--ISNUMBER(FIND(MID($B767,{5,6,7,8,9,10,11},1),"0123456789")))=7),1,0))</f>
        <v/>
      </c>
      <c r="G767">
        <f>IF($F767=1,INDEX({10,12,13,14,15,16,17,18,19,20,21,23,24,25,26,27,28,29,30,31,32,34,35,36,37,38},1,FIND(MID($B767,1,1),"ABCDEFGHIJKLMNOPQRSTUVWXYZ")),"")</f>
        <v/>
      </c>
      <c r="H767">
        <f>IF($F767=1,INDEX({10,12,13,14,15,16,17,18,19,20,21,23,24,25,26,27,28,29,30,31,32,34,35,36,37,38},1,FIND(MID($B767,2,1),"ABCDEFGHIJKLMNOPQRSTUVWXYZ")),"")</f>
        <v/>
      </c>
      <c r="I767">
        <f>IF($F767=1,INDEX({10,12,13,14,15,16,17,18,19,20,21,23,24,25,26,27,28,29,30,31,32,34,35,36,37,38},1,FIND(MID($B767,3,1),"ABCDEFGHIJKLMNOPQRSTUVWXYZ")),"")</f>
        <v/>
      </c>
      <c r="J767">
        <f>IF($F767=1,INDEX({10,12,13,14,15,16,17,18,19,20,21,23,24,25,26,27,28,29,30,31,32,34,35,36,37,38},1,FIND(MID($B767,4,1),"ABCDEFGHIJKLMNOPQRSTUVWXYZ")),"")</f>
        <v/>
      </c>
      <c r="K767">
        <f>IF($F767=1,FIND(MID($B767,5,1),"0123456789")-1,"")</f>
        <v/>
      </c>
      <c r="L767">
        <f>IF($F767=1,FIND(MID($B767,6,1),"0123456789")-1,"")</f>
        <v/>
      </c>
      <c r="M767">
        <f>IF($F767=1,FIND(MID($B767,7,1),"0123456789")-1,"")</f>
        <v/>
      </c>
      <c r="N767">
        <f>IF($F767=1,FIND(MID($B767,8,1),"0123456789")-1,"")</f>
        <v/>
      </c>
      <c r="O767">
        <f>IF($F767=1,FIND(MID($B767,9,1),"0123456789")-1,"")</f>
        <v/>
      </c>
      <c r="P767">
        <f>IF($F767=1,FIND(MID($B767,10,1),"0123456789")-1,"")</f>
        <v/>
      </c>
      <c r="Q767">
        <f>IF($F767=1,SUMPRODUCT($G767:$P767,{1,2,4,8,16,32,64,128,256,512}),"")</f>
        <v/>
      </c>
      <c r="R767">
        <f>IF($F767=1,MOD(MOD($Q767,11),10),"")</f>
        <v/>
      </c>
    </row>
    <row r="768">
      <c r="A768" s="6" t="n"/>
      <c r="B768" s="7">
        <f>IF($A768="","",UPPER(SUBSTITUTE(SUBSTITUTE(SUBSTITUTE(SUBSTITUTE(SUBSTITUTE(SUBSTITUTE($A768," ",""),"-",""),".",""),"/",""),"i","I"),"ı","?")))</f>
        <v/>
      </c>
      <c r="C768" s="8">
        <f>IF($F768=1,$R768,"")</f>
        <v/>
      </c>
      <c r="D768" s="7">
        <f>IF($A768="","",IF($F768=0,"Biçim hatalı",IF(FIND(MID($B768,11,1),"0123456789")-1=$R768,"Geçerli","Kontrol hanesi hatalı (doğrusu: "&amp;$R768&amp;")")))</f>
        <v/>
      </c>
      <c r="F768">
        <f>IF($A768="","",IF(AND(LEN($B768)=11,SUMPRODUCT(--ISNUMBER(FIND(MID($B768,{1,2,3},1),"ABCDEFGHIJKLMNOPQRSTUVWXYZ")))=3,ISNUMBER(FIND(MID($B768,4,1),"UJZ")),SUMPRODUCT(--ISNUMBER(FIND(MID($B768,{5,6,7,8,9,10,11},1),"0123456789")))=7),1,0))</f>
        <v/>
      </c>
      <c r="G768">
        <f>IF($F768=1,INDEX({10,12,13,14,15,16,17,18,19,20,21,23,24,25,26,27,28,29,30,31,32,34,35,36,37,38},1,FIND(MID($B768,1,1),"ABCDEFGHIJKLMNOPQRSTUVWXYZ")),"")</f>
        <v/>
      </c>
      <c r="H768">
        <f>IF($F768=1,INDEX({10,12,13,14,15,16,17,18,19,20,21,23,24,25,26,27,28,29,30,31,32,34,35,36,37,38},1,FIND(MID($B768,2,1),"ABCDEFGHIJKLMNOPQRSTUVWXYZ")),"")</f>
        <v/>
      </c>
      <c r="I768">
        <f>IF($F768=1,INDEX({10,12,13,14,15,16,17,18,19,20,21,23,24,25,26,27,28,29,30,31,32,34,35,36,37,38},1,FIND(MID($B768,3,1),"ABCDEFGHIJKLMNOPQRSTUVWXYZ")),"")</f>
        <v/>
      </c>
      <c r="J768">
        <f>IF($F768=1,INDEX({10,12,13,14,15,16,17,18,19,20,21,23,24,25,26,27,28,29,30,31,32,34,35,36,37,38},1,FIND(MID($B768,4,1),"ABCDEFGHIJKLMNOPQRSTUVWXYZ")),"")</f>
        <v/>
      </c>
      <c r="K768">
        <f>IF($F768=1,FIND(MID($B768,5,1),"0123456789")-1,"")</f>
        <v/>
      </c>
      <c r="L768">
        <f>IF($F768=1,FIND(MID($B768,6,1),"0123456789")-1,"")</f>
        <v/>
      </c>
      <c r="M768">
        <f>IF($F768=1,FIND(MID($B768,7,1),"0123456789")-1,"")</f>
        <v/>
      </c>
      <c r="N768">
        <f>IF($F768=1,FIND(MID($B768,8,1),"0123456789")-1,"")</f>
        <v/>
      </c>
      <c r="O768">
        <f>IF($F768=1,FIND(MID($B768,9,1),"0123456789")-1,"")</f>
        <v/>
      </c>
      <c r="P768">
        <f>IF($F768=1,FIND(MID($B768,10,1),"0123456789")-1,"")</f>
        <v/>
      </c>
      <c r="Q768">
        <f>IF($F768=1,SUMPRODUCT($G768:$P768,{1,2,4,8,16,32,64,128,256,512}),"")</f>
        <v/>
      </c>
      <c r="R768">
        <f>IF($F768=1,MOD(MOD($Q768,11),10),"")</f>
        <v/>
      </c>
    </row>
    <row r="769">
      <c r="A769" s="6" t="n"/>
      <c r="B769" s="7">
        <f>IF($A769="","",UPPER(SUBSTITUTE(SUBSTITUTE(SUBSTITUTE(SUBSTITUTE(SUBSTITUTE(SUBSTITUTE($A769," ",""),"-",""),".",""),"/",""),"i","I"),"ı","?")))</f>
        <v/>
      </c>
      <c r="C769" s="8">
        <f>IF($F769=1,$R769,"")</f>
        <v/>
      </c>
      <c r="D769" s="7">
        <f>IF($A769="","",IF($F769=0,"Biçim hatalı",IF(FIND(MID($B769,11,1),"0123456789")-1=$R769,"Geçerli","Kontrol hanesi hatalı (doğrusu: "&amp;$R769&amp;")")))</f>
        <v/>
      </c>
      <c r="F769">
        <f>IF($A769="","",IF(AND(LEN($B769)=11,SUMPRODUCT(--ISNUMBER(FIND(MID($B769,{1,2,3},1),"ABCDEFGHIJKLMNOPQRSTUVWXYZ")))=3,ISNUMBER(FIND(MID($B769,4,1),"UJZ")),SUMPRODUCT(--ISNUMBER(FIND(MID($B769,{5,6,7,8,9,10,11},1),"0123456789")))=7),1,0))</f>
        <v/>
      </c>
      <c r="G769">
        <f>IF($F769=1,INDEX({10,12,13,14,15,16,17,18,19,20,21,23,24,25,26,27,28,29,30,31,32,34,35,36,37,38},1,FIND(MID($B769,1,1),"ABCDEFGHIJKLMNOPQRSTUVWXYZ")),"")</f>
        <v/>
      </c>
      <c r="H769">
        <f>IF($F769=1,INDEX({10,12,13,14,15,16,17,18,19,20,21,23,24,25,26,27,28,29,30,31,32,34,35,36,37,38},1,FIND(MID($B769,2,1),"ABCDEFGHIJKLMNOPQRSTUVWXYZ")),"")</f>
        <v/>
      </c>
      <c r="I769">
        <f>IF($F769=1,INDEX({10,12,13,14,15,16,17,18,19,20,21,23,24,25,26,27,28,29,30,31,32,34,35,36,37,38},1,FIND(MID($B769,3,1),"ABCDEFGHIJKLMNOPQRSTUVWXYZ")),"")</f>
        <v/>
      </c>
      <c r="J769">
        <f>IF($F769=1,INDEX({10,12,13,14,15,16,17,18,19,20,21,23,24,25,26,27,28,29,30,31,32,34,35,36,37,38},1,FIND(MID($B769,4,1),"ABCDEFGHIJKLMNOPQRSTUVWXYZ")),"")</f>
        <v/>
      </c>
      <c r="K769">
        <f>IF($F769=1,FIND(MID($B769,5,1),"0123456789")-1,"")</f>
        <v/>
      </c>
      <c r="L769">
        <f>IF($F769=1,FIND(MID($B769,6,1),"0123456789")-1,"")</f>
        <v/>
      </c>
      <c r="M769">
        <f>IF($F769=1,FIND(MID($B769,7,1),"0123456789")-1,"")</f>
        <v/>
      </c>
      <c r="N769">
        <f>IF($F769=1,FIND(MID($B769,8,1),"0123456789")-1,"")</f>
        <v/>
      </c>
      <c r="O769">
        <f>IF($F769=1,FIND(MID($B769,9,1),"0123456789")-1,"")</f>
        <v/>
      </c>
      <c r="P769">
        <f>IF($F769=1,FIND(MID($B769,10,1),"0123456789")-1,"")</f>
        <v/>
      </c>
      <c r="Q769">
        <f>IF($F769=1,SUMPRODUCT($G769:$P769,{1,2,4,8,16,32,64,128,256,512}),"")</f>
        <v/>
      </c>
      <c r="R769">
        <f>IF($F769=1,MOD(MOD($Q769,11),10),"")</f>
        <v/>
      </c>
    </row>
    <row r="770">
      <c r="A770" s="6" t="n"/>
      <c r="B770" s="7">
        <f>IF($A770="","",UPPER(SUBSTITUTE(SUBSTITUTE(SUBSTITUTE(SUBSTITUTE(SUBSTITUTE(SUBSTITUTE($A770," ",""),"-",""),".",""),"/",""),"i","I"),"ı","?")))</f>
        <v/>
      </c>
      <c r="C770" s="8">
        <f>IF($F770=1,$R770,"")</f>
        <v/>
      </c>
      <c r="D770" s="7">
        <f>IF($A770="","",IF($F770=0,"Biçim hatalı",IF(FIND(MID($B770,11,1),"0123456789")-1=$R770,"Geçerli","Kontrol hanesi hatalı (doğrusu: "&amp;$R770&amp;")")))</f>
        <v/>
      </c>
      <c r="F770">
        <f>IF($A770="","",IF(AND(LEN($B770)=11,SUMPRODUCT(--ISNUMBER(FIND(MID($B770,{1,2,3},1),"ABCDEFGHIJKLMNOPQRSTUVWXYZ")))=3,ISNUMBER(FIND(MID($B770,4,1),"UJZ")),SUMPRODUCT(--ISNUMBER(FIND(MID($B770,{5,6,7,8,9,10,11},1),"0123456789")))=7),1,0))</f>
        <v/>
      </c>
      <c r="G770">
        <f>IF($F770=1,INDEX({10,12,13,14,15,16,17,18,19,20,21,23,24,25,26,27,28,29,30,31,32,34,35,36,37,38},1,FIND(MID($B770,1,1),"ABCDEFGHIJKLMNOPQRSTUVWXYZ")),"")</f>
        <v/>
      </c>
      <c r="H770">
        <f>IF($F770=1,INDEX({10,12,13,14,15,16,17,18,19,20,21,23,24,25,26,27,28,29,30,31,32,34,35,36,37,38},1,FIND(MID($B770,2,1),"ABCDEFGHIJKLMNOPQRSTUVWXYZ")),"")</f>
        <v/>
      </c>
      <c r="I770">
        <f>IF($F770=1,INDEX({10,12,13,14,15,16,17,18,19,20,21,23,24,25,26,27,28,29,30,31,32,34,35,36,37,38},1,FIND(MID($B770,3,1),"ABCDEFGHIJKLMNOPQRSTUVWXYZ")),"")</f>
        <v/>
      </c>
      <c r="J770">
        <f>IF($F770=1,INDEX({10,12,13,14,15,16,17,18,19,20,21,23,24,25,26,27,28,29,30,31,32,34,35,36,37,38},1,FIND(MID($B770,4,1),"ABCDEFGHIJKLMNOPQRSTUVWXYZ")),"")</f>
        <v/>
      </c>
      <c r="K770">
        <f>IF($F770=1,FIND(MID($B770,5,1),"0123456789")-1,"")</f>
        <v/>
      </c>
      <c r="L770">
        <f>IF($F770=1,FIND(MID($B770,6,1),"0123456789")-1,"")</f>
        <v/>
      </c>
      <c r="M770">
        <f>IF($F770=1,FIND(MID($B770,7,1),"0123456789")-1,"")</f>
        <v/>
      </c>
      <c r="N770">
        <f>IF($F770=1,FIND(MID($B770,8,1),"0123456789")-1,"")</f>
        <v/>
      </c>
      <c r="O770">
        <f>IF($F770=1,FIND(MID($B770,9,1),"0123456789")-1,"")</f>
        <v/>
      </c>
      <c r="P770">
        <f>IF($F770=1,FIND(MID($B770,10,1),"0123456789")-1,"")</f>
        <v/>
      </c>
      <c r="Q770">
        <f>IF($F770=1,SUMPRODUCT($G770:$P770,{1,2,4,8,16,32,64,128,256,512}),"")</f>
        <v/>
      </c>
      <c r="R770">
        <f>IF($F770=1,MOD(MOD($Q770,11),10),"")</f>
        <v/>
      </c>
    </row>
    <row r="771">
      <c r="A771" s="6" t="n"/>
      <c r="B771" s="7">
        <f>IF($A771="","",UPPER(SUBSTITUTE(SUBSTITUTE(SUBSTITUTE(SUBSTITUTE(SUBSTITUTE(SUBSTITUTE($A771," ",""),"-",""),".",""),"/",""),"i","I"),"ı","?")))</f>
        <v/>
      </c>
      <c r="C771" s="8">
        <f>IF($F771=1,$R771,"")</f>
        <v/>
      </c>
      <c r="D771" s="7">
        <f>IF($A771="","",IF($F771=0,"Biçim hatalı",IF(FIND(MID($B771,11,1),"0123456789")-1=$R771,"Geçerli","Kontrol hanesi hatalı (doğrusu: "&amp;$R771&amp;")")))</f>
        <v/>
      </c>
      <c r="F771">
        <f>IF($A771="","",IF(AND(LEN($B771)=11,SUMPRODUCT(--ISNUMBER(FIND(MID($B771,{1,2,3},1),"ABCDEFGHIJKLMNOPQRSTUVWXYZ")))=3,ISNUMBER(FIND(MID($B771,4,1),"UJZ")),SUMPRODUCT(--ISNUMBER(FIND(MID($B771,{5,6,7,8,9,10,11},1),"0123456789")))=7),1,0))</f>
        <v/>
      </c>
      <c r="G771">
        <f>IF($F771=1,INDEX({10,12,13,14,15,16,17,18,19,20,21,23,24,25,26,27,28,29,30,31,32,34,35,36,37,38},1,FIND(MID($B771,1,1),"ABCDEFGHIJKLMNOPQRSTUVWXYZ")),"")</f>
        <v/>
      </c>
      <c r="H771">
        <f>IF($F771=1,INDEX({10,12,13,14,15,16,17,18,19,20,21,23,24,25,26,27,28,29,30,31,32,34,35,36,37,38},1,FIND(MID($B771,2,1),"ABCDEFGHIJKLMNOPQRSTUVWXYZ")),"")</f>
        <v/>
      </c>
      <c r="I771">
        <f>IF($F771=1,INDEX({10,12,13,14,15,16,17,18,19,20,21,23,24,25,26,27,28,29,30,31,32,34,35,36,37,38},1,FIND(MID($B771,3,1),"ABCDEFGHIJKLMNOPQRSTUVWXYZ")),"")</f>
        <v/>
      </c>
      <c r="J771">
        <f>IF($F771=1,INDEX({10,12,13,14,15,16,17,18,19,20,21,23,24,25,26,27,28,29,30,31,32,34,35,36,37,38},1,FIND(MID($B771,4,1),"ABCDEFGHIJKLMNOPQRSTUVWXYZ")),"")</f>
        <v/>
      </c>
      <c r="K771">
        <f>IF($F771=1,FIND(MID($B771,5,1),"0123456789")-1,"")</f>
        <v/>
      </c>
      <c r="L771">
        <f>IF($F771=1,FIND(MID($B771,6,1),"0123456789")-1,"")</f>
        <v/>
      </c>
      <c r="M771">
        <f>IF($F771=1,FIND(MID($B771,7,1),"0123456789")-1,"")</f>
        <v/>
      </c>
      <c r="N771">
        <f>IF($F771=1,FIND(MID($B771,8,1),"0123456789")-1,"")</f>
        <v/>
      </c>
      <c r="O771">
        <f>IF($F771=1,FIND(MID($B771,9,1),"0123456789")-1,"")</f>
        <v/>
      </c>
      <c r="P771">
        <f>IF($F771=1,FIND(MID($B771,10,1),"0123456789")-1,"")</f>
        <v/>
      </c>
      <c r="Q771">
        <f>IF($F771=1,SUMPRODUCT($G771:$P771,{1,2,4,8,16,32,64,128,256,512}),"")</f>
        <v/>
      </c>
      <c r="R771">
        <f>IF($F771=1,MOD(MOD($Q771,11),10),"")</f>
        <v/>
      </c>
    </row>
    <row r="772">
      <c r="A772" s="6" t="n"/>
      <c r="B772" s="7">
        <f>IF($A772="","",UPPER(SUBSTITUTE(SUBSTITUTE(SUBSTITUTE(SUBSTITUTE(SUBSTITUTE(SUBSTITUTE($A772," ",""),"-",""),".",""),"/",""),"i","I"),"ı","?")))</f>
        <v/>
      </c>
      <c r="C772" s="8">
        <f>IF($F772=1,$R772,"")</f>
        <v/>
      </c>
      <c r="D772" s="7">
        <f>IF($A772="","",IF($F772=0,"Biçim hatalı",IF(FIND(MID($B772,11,1),"0123456789")-1=$R772,"Geçerli","Kontrol hanesi hatalı (doğrusu: "&amp;$R772&amp;")")))</f>
        <v/>
      </c>
      <c r="F772">
        <f>IF($A772="","",IF(AND(LEN($B772)=11,SUMPRODUCT(--ISNUMBER(FIND(MID($B772,{1,2,3},1),"ABCDEFGHIJKLMNOPQRSTUVWXYZ")))=3,ISNUMBER(FIND(MID($B772,4,1),"UJZ")),SUMPRODUCT(--ISNUMBER(FIND(MID($B772,{5,6,7,8,9,10,11},1),"0123456789")))=7),1,0))</f>
        <v/>
      </c>
      <c r="G772">
        <f>IF($F772=1,INDEX({10,12,13,14,15,16,17,18,19,20,21,23,24,25,26,27,28,29,30,31,32,34,35,36,37,38},1,FIND(MID($B772,1,1),"ABCDEFGHIJKLMNOPQRSTUVWXYZ")),"")</f>
        <v/>
      </c>
      <c r="H772">
        <f>IF($F772=1,INDEX({10,12,13,14,15,16,17,18,19,20,21,23,24,25,26,27,28,29,30,31,32,34,35,36,37,38},1,FIND(MID($B772,2,1),"ABCDEFGHIJKLMNOPQRSTUVWXYZ")),"")</f>
        <v/>
      </c>
      <c r="I772">
        <f>IF($F772=1,INDEX({10,12,13,14,15,16,17,18,19,20,21,23,24,25,26,27,28,29,30,31,32,34,35,36,37,38},1,FIND(MID($B772,3,1),"ABCDEFGHIJKLMNOPQRSTUVWXYZ")),"")</f>
        <v/>
      </c>
      <c r="J772">
        <f>IF($F772=1,INDEX({10,12,13,14,15,16,17,18,19,20,21,23,24,25,26,27,28,29,30,31,32,34,35,36,37,38},1,FIND(MID($B772,4,1),"ABCDEFGHIJKLMNOPQRSTUVWXYZ")),"")</f>
        <v/>
      </c>
      <c r="K772">
        <f>IF($F772=1,FIND(MID($B772,5,1),"0123456789")-1,"")</f>
        <v/>
      </c>
      <c r="L772">
        <f>IF($F772=1,FIND(MID($B772,6,1),"0123456789")-1,"")</f>
        <v/>
      </c>
      <c r="M772">
        <f>IF($F772=1,FIND(MID($B772,7,1),"0123456789")-1,"")</f>
        <v/>
      </c>
      <c r="N772">
        <f>IF($F772=1,FIND(MID($B772,8,1),"0123456789")-1,"")</f>
        <v/>
      </c>
      <c r="O772">
        <f>IF($F772=1,FIND(MID($B772,9,1),"0123456789")-1,"")</f>
        <v/>
      </c>
      <c r="P772">
        <f>IF($F772=1,FIND(MID($B772,10,1),"0123456789")-1,"")</f>
        <v/>
      </c>
      <c r="Q772">
        <f>IF($F772=1,SUMPRODUCT($G772:$P772,{1,2,4,8,16,32,64,128,256,512}),"")</f>
        <v/>
      </c>
      <c r="R772">
        <f>IF($F772=1,MOD(MOD($Q772,11),10),"")</f>
        <v/>
      </c>
    </row>
    <row r="773">
      <c r="A773" s="6" t="n"/>
      <c r="B773" s="7">
        <f>IF($A773="","",UPPER(SUBSTITUTE(SUBSTITUTE(SUBSTITUTE(SUBSTITUTE(SUBSTITUTE(SUBSTITUTE($A773," ",""),"-",""),".",""),"/",""),"i","I"),"ı","?")))</f>
        <v/>
      </c>
      <c r="C773" s="8">
        <f>IF($F773=1,$R773,"")</f>
        <v/>
      </c>
      <c r="D773" s="7">
        <f>IF($A773="","",IF($F773=0,"Biçim hatalı",IF(FIND(MID($B773,11,1),"0123456789")-1=$R773,"Geçerli","Kontrol hanesi hatalı (doğrusu: "&amp;$R773&amp;")")))</f>
        <v/>
      </c>
      <c r="F773">
        <f>IF($A773="","",IF(AND(LEN($B773)=11,SUMPRODUCT(--ISNUMBER(FIND(MID($B773,{1,2,3},1),"ABCDEFGHIJKLMNOPQRSTUVWXYZ")))=3,ISNUMBER(FIND(MID($B773,4,1),"UJZ")),SUMPRODUCT(--ISNUMBER(FIND(MID($B773,{5,6,7,8,9,10,11},1),"0123456789")))=7),1,0))</f>
        <v/>
      </c>
      <c r="G773">
        <f>IF($F773=1,INDEX({10,12,13,14,15,16,17,18,19,20,21,23,24,25,26,27,28,29,30,31,32,34,35,36,37,38},1,FIND(MID($B773,1,1),"ABCDEFGHIJKLMNOPQRSTUVWXYZ")),"")</f>
        <v/>
      </c>
      <c r="H773">
        <f>IF($F773=1,INDEX({10,12,13,14,15,16,17,18,19,20,21,23,24,25,26,27,28,29,30,31,32,34,35,36,37,38},1,FIND(MID($B773,2,1),"ABCDEFGHIJKLMNOPQRSTUVWXYZ")),"")</f>
        <v/>
      </c>
      <c r="I773">
        <f>IF($F773=1,INDEX({10,12,13,14,15,16,17,18,19,20,21,23,24,25,26,27,28,29,30,31,32,34,35,36,37,38},1,FIND(MID($B773,3,1),"ABCDEFGHIJKLMNOPQRSTUVWXYZ")),"")</f>
        <v/>
      </c>
      <c r="J773">
        <f>IF($F773=1,INDEX({10,12,13,14,15,16,17,18,19,20,21,23,24,25,26,27,28,29,30,31,32,34,35,36,37,38},1,FIND(MID($B773,4,1),"ABCDEFGHIJKLMNOPQRSTUVWXYZ")),"")</f>
        <v/>
      </c>
      <c r="K773">
        <f>IF($F773=1,FIND(MID($B773,5,1),"0123456789")-1,"")</f>
        <v/>
      </c>
      <c r="L773">
        <f>IF($F773=1,FIND(MID($B773,6,1),"0123456789")-1,"")</f>
        <v/>
      </c>
      <c r="M773">
        <f>IF($F773=1,FIND(MID($B773,7,1),"0123456789")-1,"")</f>
        <v/>
      </c>
      <c r="N773">
        <f>IF($F773=1,FIND(MID($B773,8,1),"0123456789")-1,"")</f>
        <v/>
      </c>
      <c r="O773">
        <f>IF($F773=1,FIND(MID($B773,9,1),"0123456789")-1,"")</f>
        <v/>
      </c>
      <c r="P773">
        <f>IF($F773=1,FIND(MID($B773,10,1),"0123456789")-1,"")</f>
        <v/>
      </c>
      <c r="Q773">
        <f>IF($F773=1,SUMPRODUCT($G773:$P773,{1,2,4,8,16,32,64,128,256,512}),"")</f>
        <v/>
      </c>
      <c r="R773">
        <f>IF($F773=1,MOD(MOD($Q773,11),10),"")</f>
        <v/>
      </c>
    </row>
    <row r="774">
      <c r="A774" s="6" t="n"/>
      <c r="B774" s="7">
        <f>IF($A774="","",UPPER(SUBSTITUTE(SUBSTITUTE(SUBSTITUTE(SUBSTITUTE(SUBSTITUTE(SUBSTITUTE($A774," ",""),"-",""),".",""),"/",""),"i","I"),"ı","?")))</f>
        <v/>
      </c>
      <c r="C774" s="8">
        <f>IF($F774=1,$R774,"")</f>
        <v/>
      </c>
      <c r="D774" s="7">
        <f>IF($A774="","",IF($F774=0,"Biçim hatalı",IF(FIND(MID($B774,11,1),"0123456789")-1=$R774,"Geçerli","Kontrol hanesi hatalı (doğrusu: "&amp;$R774&amp;")")))</f>
        <v/>
      </c>
      <c r="F774">
        <f>IF($A774="","",IF(AND(LEN($B774)=11,SUMPRODUCT(--ISNUMBER(FIND(MID($B774,{1,2,3},1),"ABCDEFGHIJKLMNOPQRSTUVWXYZ")))=3,ISNUMBER(FIND(MID($B774,4,1),"UJZ")),SUMPRODUCT(--ISNUMBER(FIND(MID($B774,{5,6,7,8,9,10,11},1),"0123456789")))=7),1,0))</f>
        <v/>
      </c>
      <c r="G774">
        <f>IF($F774=1,INDEX({10,12,13,14,15,16,17,18,19,20,21,23,24,25,26,27,28,29,30,31,32,34,35,36,37,38},1,FIND(MID($B774,1,1),"ABCDEFGHIJKLMNOPQRSTUVWXYZ")),"")</f>
        <v/>
      </c>
      <c r="H774">
        <f>IF($F774=1,INDEX({10,12,13,14,15,16,17,18,19,20,21,23,24,25,26,27,28,29,30,31,32,34,35,36,37,38},1,FIND(MID($B774,2,1),"ABCDEFGHIJKLMNOPQRSTUVWXYZ")),"")</f>
        <v/>
      </c>
      <c r="I774">
        <f>IF($F774=1,INDEX({10,12,13,14,15,16,17,18,19,20,21,23,24,25,26,27,28,29,30,31,32,34,35,36,37,38},1,FIND(MID($B774,3,1),"ABCDEFGHIJKLMNOPQRSTUVWXYZ")),"")</f>
        <v/>
      </c>
      <c r="J774">
        <f>IF($F774=1,INDEX({10,12,13,14,15,16,17,18,19,20,21,23,24,25,26,27,28,29,30,31,32,34,35,36,37,38},1,FIND(MID($B774,4,1),"ABCDEFGHIJKLMNOPQRSTUVWXYZ")),"")</f>
        <v/>
      </c>
      <c r="K774">
        <f>IF($F774=1,FIND(MID($B774,5,1),"0123456789")-1,"")</f>
        <v/>
      </c>
      <c r="L774">
        <f>IF($F774=1,FIND(MID($B774,6,1),"0123456789")-1,"")</f>
        <v/>
      </c>
      <c r="M774">
        <f>IF($F774=1,FIND(MID($B774,7,1),"0123456789")-1,"")</f>
        <v/>
      </c>
      <c r="N774">
        <f>IF($F774=1,FIND(MID($B774,8,1),"0123456789")-1,"")</f>
        <v/>
      </c>
      <c r="O774">
        <f>IF($F774=1,FIND(MID($B774,9,1),"0123456789")-1,"")</f>
        <v/>
      </c>
      <c r="P774">
        <f>IF($F774=1,FIND(MID($B774,10,1),"0123456789")-1,"")</f>
        <v/>
      </c>
      <c r="Q774">
        <f>IF($F774=1,SUMPRODUCT($G774:$P774,{1,2,4,8,16,32,64,128,256,512}),"")</f>
        <v/>
      </c>
      <c r="R774">
        <f>IF($F774=1,MOD(MOD($Q774,11),10),"")</f>
        <v/>
      </c>
    </row>
    <row r="775">
      <c r="A775" s="6" t="n"/>
      <c r="B775" s="7">
        <f>IF($A775="","",UPPER(SUBSTITUTE(SUBSTITUTE(SUBSTITUTE(SUBSTITUTE(SUBSTITUTE(SUBSTITUTE($A775," ",""),"-",""),".",""),"/",""),"i","I"),"ı","?")))</f>
        <v/>
      </c>
      <c r="C775" s="8">
        <f>IF($F775=1,$R775,"")</f>
        <v/>
      </c>
      <c r="D775" s="7">
        <f>IF($A775="","",IF($F775=0,"Biçim hatalı",IF(FIND(MID($B775,11,1),"0123456789")-1=$R775,"Geçerli","Kontrol hanesi hatalı (doğrusu: "&amp;$R775&amp;")")))</f>
        <v/>
      </c>
      <c r="F775">
        <f>IF($A775="","",IF(AND(LEN($B775)=11,SUMPRODUCT(--ISNUMBER(FIND(MID($B775,{1,2,3},1),"ABCDEFGHIJKLMNOPQRSTUVWXYZ")))=3,ISNUMBER(FIND(MID($B775,4,1),"UJZ")),SUMPRODUCT(--ISNUMBER(FIND(MID($B775,{5,6,7,8,9,10,11},1),"0123456789")))=7),1,0))</f>
        <v/>
      </c>
      <c r="G775">
        <f>IF($F775=1,INDEX({10,12,13,14,15,16,17,18,19,20,21,23,24,25,26,27,28,29,30,31,32,34,35,36,37,38},1,FIND(MID($B775,1,1),"ABCDEFGHIJKLMNOPQRSTUVWXYZ")),"")</f>
        <v/>
      </c>
      <c r="H775">
        <f>IF($F775=1,INDEX({10,12,13,14,15,16,17,18,19,20,21,23,24,25,26,27,28,29,30,31,32,34,35,36,37,38},1,FIND(MID($B775,2,1),"ABCDEFGHIJKLMNOPQRSTUVWXYZ")),"")</f>
        <v/>
      </c>
      <c r="I775">
        <f>IF($F775=1,INDEX({10,12,13,14,15,16,17,18,19,20,21,23,24,25,26,27,28,29,30,31,32,34,35,36,37,38},1,FIND(MID($B775,3,1),"ABCDEFGHIJKLMNOPQRSTUVWXYZ")),"")</f>
        <v/>
      </c>
      <c r="J775">
        <f>IF($F775=1,INDEX({10,12,13,14,15,16,17,18,19,20,21,23,24,25,26,27,28,29,30,31,32,34,35,36,37,38},1,FIND(MID($B775,4,1),"ABCDEFGHIJKLMNOPQRSTUVWXYZ")),"")</f>
        <v/>
      </c>
      <c r="K775">
        <f>IF($F775=1,FIND(MID($B775,5,1),"0123456789")-1,"")</f>
        <v/>
      </c>
      <c r="L775">
        <f>IF($F775=1,FIND(MID($B775,6,1),"0123456789")-1,"")</f>
        <v/>
      </c>
      <c r="M775">
        <f>IF($F775=1,FIND(MID($B775,7,1),"0123456789")-1,"")</f>
        <v/>
      </c>
      <c r="N775">
        <f>IF($F775=1,FIND(MID($B775,8,1),"0123456789")-1,"")</f>
        <v/>
      </c>
      <c r="O775">
        <f>IF($F775=1,FIND(MID($B775,9,1),"0123456789")-1,"")</f>
        <v/>
      </c>
      <c r="P775">
        <f>IF($F775=1,FIND(MID($B775,10,1),"0123456789")-1,"")</f>
        <v/>
      </c>
      <c r="Q775">
        <f>IF($F775=1,SUMPRODUCT($G775:$P775,{1,2,4,8,16,32,64,128,256,512}),"")</f>
        <v/>
      </c>
      <c r="R775">
        <f>IF($F775=1,MOD(MOD($Q775,11),10),"")</f>
        <v/>
      </c>
    </row>
    <row r="776">
      <c r="A776" s="6" t="n"/>
      <c r="B776" s="7">
        <f>IF($A776="","",UPPER(SUBSTITUTE(SUBSTITUTE(SUBSTITUTE(SUBSTITUTE(SUBSTITUTE(SUBSTITUTE($A776," ",""),"-",""),".",""),"/",""),"i","I"),"ı","?")))</f>
        <v/>
      </c>
      <c r="C776" s="8">
        <f>IF($F776=1,$R776,"")</f>
        <v/>
      </c>
      <c r="D776" s="7">
        <f>IF($A776="","",IF($F776=0,"Biçim hatalı",IF(FIND(MID($B776,11,1),"0123456789")-1=$R776,"Geçerli","Kontrol hanesi hatalı (doğrusu: "&amp;$R776&amp;")")))</f>
        <v/>
      </c>
      <c r="F776">
        <f>IF($A776="","",IF(AND(LEN($B776)=11,SUMPRODUCT(--ISNUMBER(FIND(MID($B776,{1,2,3},1),"ABCDEFGHIJKLMNOPQRSTUVWXYZ")))=3,ISNUMBER(FIND(MID($B776,4,1),"UJZ")),SUMPRODUCT(--ISNUMBER(FIND(MID($B776,{5,6,7,8,9,10,11},1),"0123456789")))=7),1,0))</f>
        <v/>
      </c>
      <c r="G776">
        <f>IF($F776=1,INDEX({10,12,13,14,15,16,17,18,19,20,21,23,24,25,26,27,28,29,30,31,32,34,35,36,37,38},1,FIND(MID($B776,1,1),"ABCDEFGHIJKLMNOPQRSTUVWXYZ")),"")</f>
        <v/>
      </c>
      <c r="H776">
        <f>IF($F776=1,INDEX({10,12,13,14,15,16,17,18,19,20,21,23,24,25,26,27,28,29,30,31,32,34,35,36,37,38},1,FIND(MID($B776,2,1),"ABCDEFGHIJKLMNOPQRSTUVWXYZ")),"")</f>
        <v/>
      </c>
      <c r="I776">
        <f>IF($F776=1,INDEX({10,12,13,14,15,16,17,18,19,20,21,23,24,25,26,27,28,29,30,31,32,34,35,36,37,38},1,FIND(MID($B776,3,1),"ABCDEFGHIJKLMNOPQRSTUVWXYZ")),"")</f>
        <v/>
      </c>
      <c r="J776">
        <f>IF($F776=1,INDEX({10,12,13,14,15,16,17,18,19,20,21,23,24,25,26,27,28,29,30,31,32,34,35,36,37,38},1,FIND(MID($B776,4,1),"ABCDEFGHIJKLMNOPQRSTUVWXYZ")),"")</f>
        <v/>
      </c>
      <c r="K776">
        <f>IF($F776=1,FIND(MID($B776,5,1),"0123456789")-1,"")</f>
        <v/>
      </c>
      <c r="L776">
        <f>IF($F776=1,FIND(MID($B776,6,1),"0123456789")-1,"")</f>
        <v/>
      </c>
      <c r="M776">
        <f>IF($F776=1,FIND(MID($B776,7,1),"0123456789")-1,"")</f>
        <v/>
      </c>
      <c r="N776">
        <f>IF($F776=1,FIND(MID($B776,8,1),"0123456789")-1,"")</f>
        <v/>
      </c>
      <c r="O776">
        <f>IF($F776=1,FIND(MID($B776,9,1),"0123456789")-1,"")</f>
        <v/>
      </c>
      <c r="P776">
        <f>IF($F776=1,FIND(MID($B776,10,1),"0123456789")-1,"")</f>
        <v/>
      </c>
      <c r="Q776">
        <f>IF($F776=1,SUMPRODUCT($G776:$P776,{1,2,4,8,16,32,64,128,256,512}),"")</f>
        <v/>
      </c>
      <c r="R776">
        <f>IF($F776=1,MOD(MOD($Q776,11),10),"")</f>
        <v/>
      </c>
    </row>
    <row r="777">
      <c r="A777" s="6" t="n"/>
      <c r="B777" s="7">
        <f>IF($A777="","",UPPER(SUBSTITUTE(SUBSTITUTE(SUBSTITUTE(SUBSTITUTE(SUBSTITUTE(SUBSTITUTE($A777," ",""),"-",""),".",""),"/",""),"i","I"),"ı","?")))</f>
        <v/>
      </c>
      <c r="C777" s="8">
        <f>IF($F777=1,$R777,"")</f>
        <v/>
      </c>
      <c r="D777" s="7">
        <f>IF($A777="","",IF($F777=0,"Biçim hatalı",IF(FIND(MID($B777,11,1),"0123456789")-1=$R777,"Geçerli","Kontrol hanesi hatalı (doğrusu: "&amp;$R777&amp;")")))</f>
        <v/>
      </c>
      <c r="F777">
        <f>IF($A777="","",IF(AND(LEN($B777)=11,SUMPRODUCT(--ISNUMBER(FIND(MID($B777,{1,2,3},1),"ABCDEFGHIJKLMNOPQRSTUVWXYZ")))=3,ISNUMBER(FIND(MID($B777,4,1),"UJZ")),SUMPRODUCT(--ISNUMBER(FIND(MID($B777,{5,6,7,8,9,10,11},1),"0123456789")))=7),1,0))</f>
        <v/>
      </c>
      <c r="G777">
        <f>IF($F777=1,INDEX({10,12,13,14,15,16,17,18,19,20,21,23,24,25,26,27,28,29,30,31,32,34,35,36,37,38},1,FIND(MID($B777,1,1),"ABCDEFGHIJKLMNOPQRSTUVWXYZ")),"")</f>
        <v/>
      </c>
      <c r="H777">
        <f>IF($F777=1,INDEX({10,12,13,14,15,16,17,18,19,20,21,23,24,25,26,27,28,29,30,31,32,34,35,36,37,38},1,FIND(MID($B777,2,1),"ABCDEFGHIJKLMNOPQRSTUVWXYZ")),"")</f>
        <v/>
      </c>
      <c r="I777">
        <f>IF($F777=1,INDEX({10,12,13,14,15,16,17,18,19,20,21,23,24,25,26,27,28,29,30,31,32,34,35,36,37,38},1,FIND(MID($B777,3,1),"ABCDEFGHIJKLMNOPQRSTUVWXYZ")),"")</f>
        <v/>
      </c>
      <c r="J777">
        <f>IF($F777=1,INDEX({10,12,13,14,15,16,17,18,19,20,21,23,24,25,26,27,28,29,30,31,32,34,35,36,37,38},1,FIND(MID($B777,4,1),"ABCDEFGHIJKLMNOPQRSTUVWXYZ")),"")</f>
        <v/>
      </c>
      <c r="K777">
        <f>IF($F777=1,FIND(MID($B777,5,1),"0123456789")-1,"")</f>
        <v/>
      </c>
      <c r="L777">
        <f>IF($F777=1,FIND(MID($B777,6,1),"0123456789")-1,"")</f>
        <v/>
      </c>
      <c r="M777">
        <f>IF($F777=1,FIND(MID($B777,7,1),"0123456789")-1,"")</f>
        <v/>
      </c>
      <c r="N777">
        <f>IF($F777=1,FIND(MID($B777,8,1),"0123456789")-1,"")</f>
        <v/>
      </c>
      <c r="O777">
        <f>IF($F777=1,FIND(MID($B777,9,1),"0123456789")-1,"")</f>
        <v/>
      </c>
      <c r="P777">
        <f>IF($F777=1,FIND(MID($B777,10,1),"0123456789")-1,"")</f>
        <v/>
      </c>
      <c r="Q777">
        <f>IF($F777=1,SUMPRODUCT($G777:$P777,{1,2,4,8,16,32,64,128,256,512}),"")</f>
        <v/>
      </c>
      <c r="R777">
        <f>IF($F777=1,MOD(MOD($Q777,11),10),"")</f>
        <v/>
      </c>
    </row>
    <row r="778">
      <c r="A778" s="6" t="n"/>
      <c r="B778" s="7">
        <f>IF($A778="","",UPPER(SUBSTITUTE(SUBSTITUTE(SUBSTITUTE(SUBSTITUTE(SUBSTITUTE(SUBSTITUTE($A778," ",""),"-",""),".",""),"/",""),"i","I"),"ı","?")))</f>
        <v/>
      </c>
      <c r="C778" s="8">
        <f>IF($F778=1,$R778,"")</f>
        <v/>
      </c>
      <c r="D778" s="7">
        <f>IF($A778="","",IF($F778=0,"Biçim hatalı",IF(FIND(MID($B778,11,1),"0123456789")-1=$R778,"Geçerli","Kontrol hanesi hatalı (doğrusu: "&amp;$R778&amp;")")))</f>
        <v/>
      </c>
      <c r="F778">
        <f>IF($A778="","",IF(AND(LEN($B778)=11,SUMPRODUCT(--ISNUMBER(FIND(MID($B778,{1,2,3},1),"ABCDEFGHIJKLMNOPQRSTUVWXYZ")))=3,ISNUMBER(FIND(MID($B778,4,1),"UJZ")),SUMPRODUCT(--ISNUMBER(FIND(MID($B778,{5,6,7,8,9,10,11},1),"0123456789")))=7),1,0))</f>
        <v/>
      </c>
      <c r="G778">
        <f>IF($F778=1,INDEX({10,12,13,14,15,16,17,18,19,20,21,23,24,25,26,27,28,29,30,31,32,34,35,36,37,38},1,FIND(MID($B778,1,1),"ABCDEFGHIJKLMNOPQRSTUVWXYZ")),"")</f>
        <v/>
      </c>
      <c r="H778">
        <f>IF($F778=1,INDEX({10,12,13,14,15,16,17,18,19,20,21,23,24,25,26,27,28,29,30,31,32,34,35,36,37,38},1,FIND(MID($B778,2,1),"ABCDEFGHIJKLMNOPQRSTUVWXYZ")),"")</f>
        <v/>
      </c>
      <c r="I778">
        <f>IF($F778=1,INDEX({10,12,13,14,15,16,17,18,19,20,21,23,24,25,26,27,28,29,30,31,32,34,35,36,37,38},1,FIND(MID($B778,3,1),"ABCDEFGHIJKLMNOPQRSTUVWXYZ")),"")</f>
        <v/>
      </c>
      <c r="J778">
        <f>IF($F778=1,INDEX({10,12,13,14,15,16,17,18,19,20,21,23,24,25,26,27,28,29,30,31,32,34,35,36,37,38},1,FIND(MID($B778,4,1),"ABCDEFGHIJKLMNOPQRSTUVWXYZ")),"")</f>
        <v/>
      </c>
      <c r="K778">
        <f>IF($F778=1,FIND(MID($B778,5,1),"0123456789")-1,"")</f>
        <v/>
      </c>
      <c r="L778">
        <f>IF($F778=1,FIND(MID($B778,6,1),"0123456789")-1,"")</f>
        <v/>
      </c>
      <c r="M778">
        <f>IF($F778=1,FIND(MID($B778,7,1),"0123456789")-1,"")</f>
        <v/>
      </c>
      <c r="N778">
        <f>IF($F778=1,FIND(MID($B778,8,1),"0123456789")-1,"")</f>
        <v/>
      </c>
      <c r="O778">
        <f>IF($F778=1,FIND(MID($B778,9,1),"0123456789")-1,"")</f>
        <v/>
      </c>
      <c r="P778">
        <f>IF($F778=1,FIND(MID($B778,10,1),"0123456789")-1,"")</f>
        <v/>
      </c>
      <c r="Q778">
        <f>IF($F778=1,SUMPRODUCT($G778:$P778,{1,2,4,8,16,32,64,128,256,512}),"")</f>
        <v/>
      </c>
      <c r="R778">
        <f>IF($F778=1,MOD(MOD($Q778,11),10),"")</f>
        <v/>
      </c>
    </row>
    <row r="779">
      <c r="A779" s="6" t="n"/>
      <c r="B779" s="7">
        <f>IF($A779="","",UPPER(SUBSTITUTE(SUBSTITUTE(SUBSTITUTE(SUBSTITUTE(SUBSTITUTE(SUBSTITUTE($A779," ",""),"-",""),".",""),"/",""),"i","I"),"ı","?")))</f>
        <v/>
      </c>
      <c r="C779" s="8">
        <f>IF($F779=1,$R779,"")</f>
        <v/>
      </c>
      <c r="D779" s="7">
        <f>IF($A779="","",IF($F779=0,"Biçim hatalı",IF(FIND(MID($B779,11,1),"0123456789")-1=$R779,"Geçerli","Kontrol hanesi hatalı (doğrusu: "&amp;$R779&amp;")")))</f>
        <v/>
      </c>
      <c r="F779">
        <f>IF($A779="","",IF(AND(LEN($B779)=11,SUMPRODUCT(--ISNUMBER(FIND(MID($B779,{1,2,3},1),"ABCDEFGHIJKLMNOPQRSTUVWXYZ")))=3,ISNUMBER(FIND(MID($B779,4,1),"UJZ")),SUMPRODUCT(--ISNUMBER(FIND(MID($B779,{5,6,7,8,9,10,11},1),"0123456789")))=7),1,0))</f>
        <v/>
      </c>
      <c r="G779">
        <f>IF($F779=1,INDEX({10,12,13,14,15,16,17,18,19,20,21,23,24,25,26,27,28,29,30,31,32,34,35,36,37,38},1,FIND(MID($B779,1,1),"ABCDEFGHIJKLMNOPQRSTUVWXYZ")),"")</f>
        <v/>
      </c>
      <c r="H779">
        <f>IF($F779=1,INDEX({10,12,13,14,15,16,17,18,19,20,21,23,24,25,26,27,28,29,30,31,32,34,35,36,37,38},1,FIND(MID($B779,2,1),"ABCDEFGHIJKLMNOPQRSTUVWXYZ")),"")</f>
        <v/>
      </c>
      <c r="I779">
        <f>IF($F779=1,INDEX({10,12,13,14,15,16,17,18,19,20,21,23,24,25,26,27,28,29,30,31,32,34,35,36,37,38},1,FIND(MID($B779,3,1),"ABCDEFGHIJKLMNOPQRSTUVWXYZ")),"")</f>
        <v/>
      </c>
      <c r="J779">
        <f>IF($F779=1,INDEX({10,12,13,14,15,16,17,18,19,20,21,23,24,25,26,27,28,29,30,31,32,34,35,36,37,38},1,FIND(MID($B779,4,1),"ABCDEFGHIJKLMNOPQRSTUVWXYZ")),"")</f>
        <v/>
      </c>
      <c r="K779">
        <f>IF($F779=1,FIND(MID($B779,5,1),"0123456789")-1,"")</f>
        <v/>
      </c>
      <c r="L779">
        <f>IF($F779=1,FIND(MID($B779,6,1),"0123456789")-1,"")</f>
        <v/>
      </c>
      <c r="M779">
        <f>IF($F779=1,FIND(MID($B779,7,1),"0123456789")-1,"")</f>
        <v/>
      </c>
      <c r="N779">
        <f>IF($F779=1,FIND(MID($B779,8,1),"0123456789")-1,"")</f>
        <v/>
      </c>
      <c r="O779">
        <f>IF($F779=1,FIND(MID($B779,9,1),"0123456789")-1,"")</f>
        <v/>
      </c>
      <c r="P779">
        <f>IF($F779=1,FIND(MID($B779,10,1),"0123456789")-1,"")</f>
        <v/>
      </c>
      <c r="Q779">
        <f>IF($F779=1,SUMPRODUCT($G779:$P779,{1,2,4,8,16,32,64,128,256,512}),"")</f>
        <v/>
      </c>
      <c r="R779">
        <f>IF($F779=1,MOD(MOD($Q779,11),10),"")</f>
        <v/>
      </c>
    </row>
    <row r="780">
      <c r="A780" s="6" t="n"/>
      <c r="B780" s="7">
        <f>IF($A780="","",UPPER(SUBSTITUTE(SUBSTITUTE(SUBSTITUTE(SUBSTITUTE(SUBSTITUTE(SUBSTITUTE($A780," ",""),"-",""),".",""),"/",""),"i","I"),"ı","?")))</f>
        <v/>
      </c>
      <c r="C780" s="8">
        <f>IF($F780=1,$R780,"")</f>
        <v/>
      </c>
      <c r="D780" s="7">
        <f>IF($A780="","",IF($F780=0,"Biçim hatalı",IF(FIND(MID($B780,11,1),"0123456789")-1=$R780,"Geçerli","Kontrol hanesi hatalı (doğrusu: "&amp;$R780&amp;")")))</f>
        <v/>
      </c>
      <c r="F780">
        <f>IF($A780="","",IF(AND(LEN($B780)=11,SUMPRODUCT(--ISNUMBER(FIND(MID($B780,{1,2,3},1),"ABCDEFGHIJKLMNOPQRSTUVWXYZ")))=3,ISNUMBER(FIND(MID($B780,4,1),"UJZ")),SUMPRODUCT(--ISNUMBER(FIND(MID($B780,{5,6,7,8,9,10,11},1),"0123456789")))=7),1,0))</f>
        <v/>
      </c>
      <c r="G780">
        <f>IF($F780=1,INDEX({10,12,13,14,15,16,17,18,19,20,21,23,24,25,26,27,28,29,30,31,32,34,35,36,37,38},1,FIND(MID($B780,1,1),"ABCDEFGHIJKLMNOPQRSTUVWXYZ")),"")</f>
        <v/>
      </c>
      <c r="H780">
        <f>IF($F780=1,INDEX({10,12,13,14,15,16,17,18,19,20,21,23,24,25,26,27,28,29,30,31,32,34,35,36,37,38},1,FIND(MID($B780,2,1),"ABCDEFGHIJKLMNOPQRSTUVWXYZ")),"")</f>
        <v/>
      </c>
      <c r="I780">
        <f>IF($F780=1,INDEX({10,12,13,14,15,16,17,18,19,20,21,23,24,25,26,27,28,29,30,31,32,34,35,36,37,38},1,FIND(MID($B780,3,1),"ABCDEFGHIJKLMNOPQRSTUVWXYZ")),"")</f>
        <v/>
      </c>
      <c r="J780">
        <f>IF($F780=1,INDEX({10,12,13,14,15,16,17,18,19,20,21,23,24,25,26,27,28,29,30,31,32,34,35,36,37,38},1,FIND(MID($B780,4,1),"ABCDEFGHIJKLMNOPQRSTUVWXYZ")),"")</f>
        <v/>
      </c>
      <c r="K780">
        <f>IF($F780=1,FIND(MID($B780,5,1),"0123456789")-1,"")</f>
        <v/>
      </c>
      <c r="L780">
        <f>IF($F780=1,FIND(MID($B780,6,1),"0123456789")-1,"")</f>
        <v/>
      </c>
      <c r="M780">
        <f>IF($F780=1,FIND(MID($B780,7,1),"0123456789")-1,"")</f>
        <v/>
      </c>
      <c r="N780">
        <f>IF($F780=1,FIND(MID($B780,8,1),"0123456789")-1,"")</f>
        <v/>
      </c>
      <c r="O780">
        <f>IF($F780=1,FIND(MID($B780,9,1),"0123456789")-1,"")</f>
        <v/>
      </c>
      <c r="P780">
        <f>IF($F780=1,FIND(MID($B780,10,1),"0123456789")-1,"")</f>
        <v/>
      </c>
      <c r="Q780">
        <f>IF($F780=1,SUMPRODUCT($G780:$P780,{1,2,4,8,16,32,64,128,256,512}),"")</f>
        <v/>
      </c>
      <c r="R780">
        <f>IF($F780=1,MOD(MOD($Q780,11),10),"")</f>
        <v/>
      </c>
    </row>
    <row r="781">
      <c r="A781" s="6" t="n"/>
      <c r="B781" s="7">
        <f>IF($A781="","",UPPER(SUBSTITUTE(SUBSTITUTE(SUBSTITUTE(SUBSTITUTE(SUBSTITUTE(SUBSTITUTE($A781," ",""),"-",""),".",""),"/",""),"i","I"),"ı","?")))</f>
        <v/>
      </c>
      <c r="C781" s="8">
        <f>IF($F781=1,$R781,"")</f>
        <v/>
      </c>
      <c r="D781" s="7">
        <f>IF($A781="","",IF($F781=0,"Biçim hatalı",IF(FIND(MID($B781,11,1),"0123456789")-1=$R781,"Geçerli","Kontrol hanesi hatalı (doğrusu: "&amp;$R781&amp;")")))</f>
        <v/>
      </c>
      <c r="F781">
        <f>IF($A781="","",IF(AND(LEN($B781)=11,SUMPRODUCT(--ISNUMBER(FIND(MID($B781,{1,2,3},1),"ABCDEFGHIJKLMNOPQRSTUVWXYZ")))=3,ISNUMBER(FIND(MID($B781,4,1),"UJZ")),SUMPRODUCT(--ISNUMBER(FIND(MID($B781,{5,6,7,8,9,10,11},1),"0123456789")))=7),1,0))</f>
        <v/>
      </c>
      <c r="G781">
        <f>IF($F781=1,INDEX({10,12,13,14,15,16,17,18,19,20,21,23,24,25,26,27,28,29,30,31,32,34,35,36,37,38},1,FIND(MID($B781,1,1),"ABCDEFGHIJKLMNOPQRSTUVWXYZ")),"")</f>
        <v/>
      </c>
      <c r="H781">
        <f>IF($F781=1,INDEX({10,12,13,14,15,16,17,18,19,20,21,23,24,25,26,27,28,29,30,31,32,34,35,36,37,38},1,FIND(MID($B781,2,1),"ABCDEFGHIJKLMNOPQRSTUVWXYZ")),"")</f>
        <v/>
      </c>
      <c r="I781">
        <f>IF($F781=1,INDEX({10,12,13,14,15,16,17,18,19,20,21,23,24,25,26,27,28,29,30,31,32,34,35,36,37,38},1,FIND(MID($B781,3,1),"ABCDEFGHIJKLMNOPQRSTUVWXYZ")),"")</f>
        <v/>
      </c>
      <c r="J781">
        <f>IF($F781=1,INDEX({10,12,13,14,15,16,17,18,19,20,21,23,24,25,26,27,28,29,30,31,32,34,35,36,37,38},1,FIND(MID($B781,4,1),"ABCDEFGHIJKLMNOPQRSTUVWXYZ")),"")</f>
        <v/>
      </c>
      <c r="K781">
        <f>IF($F781=1,FIND(MID($B781,5,1),"0123456789")-1,"")</f>
        <v/>
      </c>
      <c r="L781">
        <f>IF($F781=1,FIND(MID($B781,6,1),"0123456789")-1,"")</f>
        <v/>
      </c>
      <c r="M781">
        <f>IF($F781=1,FIND(MID($B781,7,1),"0123456789")-1,"")</f>
        <v/>
      </c>
      <c r="N781">
        <f>IF($F781=1,FIND(MID($B781,8,1),"0123456789")-1,"")</f>
        <v/>
      </c>
      <c r="O781">
        <f>IF($F781=1,FIND(MID($B781,9,1),"0123456789")-1,"")</f>
        <v/>
      </c>
      <c r="P781">
        <f>IF($F781=1,FIND(MID($B781,10,1),"0123456789")-1,"")</f>
        <v/>
      </c>
      <c r="Q781">
        <f>IF($F781=1,SUMPRODUCT($G781:$P781,{1,2,4,8,16,32,64,128,256,512}),"")</f>
        <v/>
      </c>
      <c r="R781">
        <f>IF($F781=1,MOD(MOD($Q781,11),10),"")</f>
        <v/>
      </c>
    </row>
    <row r="782">
      <c r="A782" s="6" t="n"/>
      <c r="B782" s="7">
        <f>IF($A782="","",UPPER(SUBSTITUTE(SUBSTITUTE(SUBSTITUTE(SUBSTITUTE(SUBSTITUTE(SUBSTITUTE($A782," ",""),"-",""),".",""),"/",""),"i","I"),"ı","?")))</f>
        <v/>
      </c>
      <c r="C782" s="8">
        <f>IF($F782=1,$R782,"")</f>
        <v/>
      </c>
      <c r="D782" s="7">
        <f>IF($A782="","",IF($F782=0,"Biçim hatalı",IF(FIND(MID($B782,11,1),"0123456789")-1=$R782,"Geçerli","Kontrol hanesi hatalı (doğrusu: "&amp;$R782&amp;")")))</f>
        <v/>
      </c>
      <c r="F782">
        <f>IF($A782="","",IF(AND(LEN($B782)=11,SUMPRODUCT(--ISNUMBER(FIND(MID($B782,{1,2,3},1),"ABCDEFGHIJKLMNOPQRSTUVWXYZ")))=3,ISNUMBER(FIND(MID($B782,4,1),"UJZ")),SUMPRODUCT(--ISNUMBER(FIND(MID($B782,{5,6,7,8,9,10,11},1),"0123456789")))=7),1,0))</f>
        <v/>
      </c>
      <c r="G782">
        <f>IF($F782=1,INDEX({10,12,13,14,15,16,17,18,19,20,21,23,24,25,26,27,28,29,30,31,32,34,35,36,37,38},1,FIND(MID($B782,1,1),"ABCDEFGHIJKLMNOPQRSTUVWXYZ")),"")</f>
        <v/>
      </c>
      <c r="H782">
        <f>IF($F782=1,INDEX({10,12,13,14,15,16,17,18,19,20,21,23,24,25,26,27,28,29,30,31,32,34,35,36,37,38},1,FIND(MID($B782,2,1),"ABCDEFGHIJKLMNOPQRSTUVWXYZ")),"")</f>
        <v/>
      </c>
      <c r="I782">
        <f>IF($F782=1,INDEX({10,12,13,14,15,16,17,18,19,20,21,23,24,25,26,27,28,29,30,31,32,34,35,36,37,38},1,FIND(MID($B782,3,1),"ABCDEFGHIJKLMNOPQRSTUVWXYZ")),"")</f>
        <v/>
      </c>
      <c r="J782">
        <f>IF($F782=1,INDEX({10,12,13,14,15,16,17,18,19,20,21,23,24,25,26,27,28,29,30,31,32,34,35,36,37,38},1,FIND(MID($B782,4,1),"ABCDEFGHIJKLMNOPQRSTUVWXYZ")),"")</f>
        <v/>
      </c>
      <c r="K782">
        <f>IF($F782=1,FIND(MID($B782,5,1),"0123456789")-1,"")</f>
        <v/>
      </c>
      <c r="L782">
        <f>IF($F782=1,FIND(MID($B782,6,1),"0123456789")-1,"")</f>
        <v/>
      </c>
      <c r="M782">
        <f>IF($F782=1,FIND(MID($B782,7,1),"0123456789")-1,"")</f>
        <v/>
      </c>
      <c r="N782">
        <f>IF($F782=1,FIND(MID($B782,8,1),"0123456789")-1,"")</f>
        <v/>
      </c>
      <c r="O782">
        <f>IF($F782=1,FIND(MID($B782,9,1),"0123456789")-1,"")</f>
        <v/>
      </c>
      <c r="P782">
        <f>IF($F782=1,FIND(MID($B782,10,1),"0123456789")-1,"")</f>
        <v/>
      </c>
      <c r="Q782">
        <f>IF($F782=1,SUMPRODUCT($G782:$P782,{1,2,4,8,16,32,64,128,256,512}),"")</f>
        <v/>
      </c>
      <c r="R782">
        <f>IF($F782=1,MOD(MOD($Q782,11),10),"")</f>
        <v/>
      </c>
    </row>
    <row r="783">
      <c r="A783" s="6" t="n"/>
      <c r="B783" s="7">
        <f>IF($A783="","",UPPER(SUBSTITUTE(SUBSTITUTE(SUBSTITUTE(SUBSTITUTE(SUBSTITUTE(SUBSTITUTE($A783," ",""),"-",""),".",""),"/",""),"i","I"),"ı","?")))</f>
        <v/>
      </c>
      <c r="C783" s="8">
        <f>IF($F783=1,$R783,"")</f>
        <v/>
      </c>
      <c r="D783" s="7">
        <f>IF($A783="","",IF($F783=0,"Biçim hatalı",IF(FIND(MID($B783,11,1),"0123456789")-1=$R783,"Geçerli","Kontrol hanesi hatalı (doğrusu: "&amp;$R783&amp;")")))</f>
        <v/>
      </c>
      <c r="F783">
        <f>IF($A783="","",IF(AND(LEN($B783)=11,SUMPRODUCT(--ISNUMBER(FIND(MID($B783,{1,2,3},1),"ABCDEFGHIJKLMNOPQRSTUVWXYZ")))=3,ISNUMBER(FIND(MID($B783,4,1),"UJZ")),SUMPRODUCT(--ISNUMBER(FIND(MID($B783,{5,6,7,8,9,10,11},1),"0123456789")))=7),1,0))</f>
        <v/>
      </c>
      <c r="G783">
        <f>IF($F783=1,INDEX({10,12,13,14,15,16,17,18,19,20,21,23,24,25,26,27,28,29,30,31,32,34,35,36,37,38},1,FIND(MID($B783,1,1),"ABCDEFGHIJKLMNOPQRSTUVWXYZ")),"")</f>
        <v/>
      </c>
      <c r="H783">
        <f>IF($F783=1,INDEX({10,12,13,14,15,16,17,18,19,20,21,23,24,25,26,27,28,29,30,31,32,34,35,36,37,38},1,FIND(MID($B783,2,1),"ABCDEFGHIJKLMNOPQRSTUVWXYZ")),"")</f>
        <v/>
      </c>
      <c r="I783">
        <f>IF($F783=1,INDEX({10,12,13,14,15,16,17,18,19,20,21,23,24,25,26,27,28,29,30,31,32,34,35,36,37,38},1,FIND(MID($B783,3,1),"ABCDEFGHIJKLMNOPQRSTUVWXYZ")),"")</f>
        <v/>
      </c>
      <c r="J783">
        <f>IF($F783=1,INDEX({10,12,13,14,15,16,17,18,19,20,21,23,24,25,26,27,28,29,30,31,32,34,35,36,37,38},1,FIND(MID($B783,4,1),"ABCDEFGHIJKLMNOPQRSTUVWXYZ")),"")</f>
        <v/>
      </c>
      <c r="K783">
        <f>IF($F783=1,FIND(MID($B783,5,1),"0123456789")-1,"")</f>
        <v/>
      </c>
      <c r="L783">
        <f>IF($F783=1,FIND(MID($B783,6,1),"0123456789")-1,"")</f>
        <v/>
      </c>
      <c r="M783">
        <f>IF($F783=1,FIND(MID($B783,7,1),"0123456789")-1,"")</f>
        <v/>
      </c>
      <c r="N783">
        <f>IF($F783=1,FIND(MID($B783,8,1),"0123456789")-1,"")</f>
        <v/>
      </c>
      <c r="O783">
        <f>IF($F783=1,FIND(MID($B783,9,1),"0123456789")-1,"")</f>
        <v/>
      </c>
      <c r="P783">
        <f>IF($F783=1,FIND(MID($B783,10,1),"0123456789")-1,"")</f>
        <v/>
      </c>
      <c r="Q783">
        <f>IF($F783=1,SUMPRODUCT($G783:$P783,{1,2,4,8,16,32,64,128,256,512}),"")</f>
        <v/>
      </c>
      <c r="R783">
        <f>IF($F783=1,MOD(MOD($Q783,11),10),"")</f>
        <v/>
      </c>
    </row>
    <row r="784">
      <c r="A784" s="6" t="n"/>
      <c r="B784" s="7">
        <f>IF($A784="","",UPPER(SUBSTITUTE(SUBSTITUTE(SUBSTITUTE(SUBSTITUTE(SUBSTITUTE(SUBSTITUTE($A784," ",""),"-",""),".",""),"/",""),"i","I"),"ı","?")))</f>
        <v/>
      </c>
      <c r="C784" s="8">
        <f>IF($F784=1,$R784,"")</f>
        <v/>
      </c>
      <c r="D784" s="7">
        <f>IF($A784="","",IF($F784=0,"Biçim hatalı",IF(FIND(MID($B784,11,1),"0123456789")-1=$R784,"Geçerli","Kontrol hanesi hatalı (doğrusu: "&amp;$R784&amp;")")))</f>
        <v/>
      </c>
      <c r="F784">
        <f>IF($A784="","",IF(AND(LEN($B784)=11,SUMPRODUCT(--ISNUMBER(FIND(MID($B784,{1,2,3},1),"ABCDEFGHIJKLMNOPQRSTUVWXYZ")))=3,ISNUMBER(FIND(MID($B784,4,1),"UJZ")),SUMPRODUCT(--ISNUMBER(FIND(MID($B784,{5,6,7,8,9,10,11},1),"0123456789")))=7),1,0))</f>
        <v/>
      </c>
      <c r="G784">
        <f>IF($F784=1,INDEX({10,12,13,14,15,16,17,18,19,20,21,23,24,25,26,27,28,29,30,31,32,34,35,36,37,38},1,FIND(MID($B784,1,1),"ABCDEFGHIJKLMNOPQRSTUVWXYZ")),"")</f>
        <v/>
      </c>
      <c r="H784">
        <f>IF($F784=1,INDEX({10,12,13,14,15,16,17,18,19,20,21,23,24,25,26,27,28,29,30,31,32,34,35,36,37,38},1,FIND(MID($B784,2,1),"ABCDEFGHIJKLMNOPQRSTUVWXYZ")),"")</f>
        <v/>
      </c>
      <c r="I784">
        <f>IF($F784=1,INDEX({10,12,13,14,15,16,17,18,19,20,21,23,24,25,26,27,28,29,30,31,32,34,35,36,37,38},1,FIND(MID($B784,3,1),"ABCDEFGHIJKLMNOPQRSTUVWXYZ")),"")</f>
        <v/>
      </c>
      <c r="J784">
        <f>IF($F784=1,INDEX({10,12,13,14,15,16,17,18,19,20,21,23,24,25,26,27,28,29,30,31,32,34,35,36,37,38},1,FIND(MID($B784,4,1),"ABCDEFGHIJKLMNOPQRSTUVWXYZ")),"")</f>
        <v/>
      </c>
      <c r="K784">
        <f>IF($F784=1,FIND(MID($B784,5,1),"0123456789")-1,"")</f>
        <v/>
      </c>
      <c r="L784">
        <f>IF($F784=1,FIND(MID($B784,6,1),"0123456789")-1,"")</f>
        <v/>
      </c>
      <c r="M784">
        <f>IF($F784=1,FIND(MID($B784,7,1),"0123456789")-1,"")</f>
        <v/>
      </c>
      <c r="N784">
        <f>IF($F784=1,FIND(MID($B784,8,1),"0123456789")-1,"")</f>
        <v/>
      </c>
      <c r="O784">
        <f>IF($F784=1,FIND(MID($B784,9,1),"0123456789")-1,"")</f>
        <v/>
      </c>
      <c r="P784">
        <f>IF($F784=1,FIND(MID($B784,10,1),"0123456789")-1,"")</f>
        <v/>
      </c>
      <c r="Q784">
        <f>IF($F784=1,SUMPRODUCT($G784:$P784,{1,2,4,8,16,32,64,128,256,512}),"")</f>
        <v/>
      </c>
      <c r="R784">
        <f>IF($F784=1,MOD(MOD($Q784,11),10),"")</f>
        <v/>
      </c>
    </row>
    <row r="785">
      <c r="A785" s="6" t="n"/>
      <c r="B785" s="7">
        <f>IF($A785="","",UPPER(SUBSTITUTE(SUBSTITUTE(SUBSTITUTE(SUBSTITUTE(SUBSTITUTE(SUBSTITUTE($A785," ",""),"-",""),".",""),"/",""),"i","I"),"ı","?")))</f>
        <v/>
      </c>
      <c r="C785" s="8">
        <f>IF($F785=1,$R785,"")</f>
        <v/>
      </c>
      <c r="D785" s="7">
        <f>IF($A785="","",IF($F785=0,"Biçim hatalı",IF(FIND(MID($B785,11,1),"0123456789")-1=$R785,"Geçerli","Kontrol hanesi hatalı (doğrusu: "&amp;$R785&amp;")")))</f>
        <v/>
      </c>
      <c r="F785">
        <f>IF($A785="","",IF(AND(LEN($B785)=11,SUMPRODUCT(--ISNUMBER(FIND(MID($B785,{1,2,3},1),"ABCDEFGHIJKLMNOPQRSTUVWXYZ")))=3,ISNUMBER(FIND(MID($B785,4,1),"UJZ")),SUMPRODUCT(--ISNUMBER(FIND(MID($B785,{5,6,7,8,9,10,11},1),"0123456789")))=7),1,0))</f>
        <v/>
      </c>
      <c r="G785">
        <f>IF($F785=1,INDEX({10,12,13,14,15,16,17,18,19,20,21,23,24,25,26,27,28,29,30,31,32,34,35,36,37,38},1,FIND(MID($B785,1,1),"ABCDEFGHIJKLMNOPQRSTUVWXYZ")),"")</f>
        <v/>
      </c>
      <c r="H785">
        <f>IF($F785=1,INDEX({10,12,13,14,15,16,17,18,19,20,21,23,24,25,26,27,28,29,30,31,32,34,35,36,37,38},1,FIND(MID($B785,2,1),"ABCDEFGHIJKLMNOPQRSTUVWXYZ")),"")</f>
        <v/>
      </c>
      <c r="I785">
        <f>IF($F785=1,INDEX({10,12,13,14,15,16,17,18,19,20,21,23,24,25,26,27,28,29,30,31,32,34,35,36,37,38},1,FIND(MID($B785,3,1),"ABCDEFGHIJKLMNOPQRSTUVWXYZ")),"")</f>
        <v/>
      </c>
      <c r="J785">
        <f>IF($F785=1,INDEX({10,12,13,14,15,16,17,18,19,20,21,23,24,25,26,27,28,29,30,31,32,34,35,36,37,38},1,FIND(MID($B785,4,1),"ABCDEFGHIJKLMNOPQRSTUVWXYZ")),"")</f>
        <v/>
      </c>
      <c r="K785">
        <f>IF($F785=1,FIND(MID($B785,5,1),"0123456789")-1,"")</f>
        <v/>
      </c>
      <c r="L785">
        <f>IF($F785=1,FIND(MID($B785,6,1),"0123456789")-1,"")</f>
        <v/>
      </c>
      <c r="M785">
        <f>IF($F785=1,FIND(MID($B785,7,1),"0123456789")-1,"")</f>
        <v/>
      </c>
      <c r="N785">
        <f>IF($F785=1,FIND(MID($B785,8,1),"0123456789")-1,"")</f>
        <v/>
      </c>
      <c r="O785">
        <f>IF($F785=1,FIND(MID($B785,9,1),"0123456789")-1,"")</f>
        <v/>
      </c>
      <c r="P785">
        <f>IF($F785=1,FIND(MID($B785,10,1),"0123456789")-1,"")</f>
        <v/>
      </c>
      <c r="Q785">
        <f>IF($F785=1,SUMPRODUCT($G785:$P785,{1,2,4,8,16,32,64,128,256,512}),"")</f>
        <v/>
      </c>
      <c r="R785">
        <f>IF($F785=1,MOD(MOD($Q785,11),10),"")</f>
        <v/>
      </c>
    </row>
    <row r="786">
      <c r="A786" s="6" t="n"/>
      <c r="B786" s="7">
        <f>IF($A786="","",UPPER(SUBSTITUTE(SUBSTITUTE(SUBSTITUTE(SUBSTITUTE(SUBSTITUTE(SUBSTITUTE($A786," ",""),"-",""),".",""),"/",""),"i","I"),"ı","?")))</f>
        <v/>
      </c>
      <c r="C786" s="8">
        <f>IF($F786=1,$R786,"")</f>
        <v/>
      </c>
      <c r="D786" s="7">
        <f>IF($A786="","",IF($F786=0,"Biçim hatalı",IF(FIND(MID($B786,11,1),"0123456789")-1=$R786,"Geçerli","Kontrol hanesi hatalı (doğrusu: "&amp;$R786&amp;")")))</f>
        <v/>
      </c>
      <c r="F786">
        <f>IF($A786="","",IF(AND(LEN($B786)=11,SUMPRODUCT(--ISNUMBER(FIND(MID($B786,{1,2,3},1),"ABCDEFGHIJKLMNOPQRSTUVWXYZ")))=3,ISNUMBER(FIND(MID($B786,4,1),"UJZ")),SUMPRODUCT(--ISNUMBER(FIND(MID($B786,{5,6,7,8,9,10,11},1),"0123456789")))=7),1,0))</f>
        <v/>
      </c>
      <c r="G786">
        <f>IF($F786=1,INDEX({10,12,13,14,15,16,17,18,19,20,21,23,24,25,26,27,28,29,30,31,32,34,35,36,37,38},1,FIND(MID($B786,1,1),"ABCDEFGHIJKLMNOPQRSTUVWXYZ")),"")</f>
        <v/>
      </c>
      <c r="H786">
        <f>IF($F786=1,INDEX({10,12,13,14,15,16,17,18,19,20,21,23,24,25,26,27,28,29,30,31,32,34,35,36,37,38},1,FIND(MID($B786,2,1),"ABCDEFGHIJKLMNOPQRSTUVWXYZ")),"")</f>
        <v/>
      </c>
      <c r="I786">
        <f>IF($F786=1,INDEX({10,12,13,14,15,16,17,18,19,20,21,23,24,25,26,27,28,29,30,31,32,34,35,36,37,38},1,FIND(MID($B786,3,1),"ABCDEFGHIJKLMNOPQRSTUVWXYZ")),"")</f>
        <v/>
      </c>
      <c r="J786">
        <f>IF($F786=1,INDEX({10,12,13,14,15,16,17,18,19,20,21,23,24,25,26,27,28,29,30,31,32,34,35,36,37,38},1,FIND(MID($B786,4,1),"ABCDEFGHIJKLMNOPQRSTUVWXYZ")),"")</f>
        <v/>
      </c>
      <c r="K786">
        <f>IF($F786=1,FIND(MID($B786,5,1),"0123456789")-1,"")</f>
        <v/>
      </c>
      <c r="L786">
        <f>IF($F786=1,FIND(MID($B786,6,1),"0123456789")-1,"")</f>
        <v/>
      </c>
      <c r="M786">
        <f>IF($F786=1,FIND(MID($B786,7,1),"0123456789")-1,"")</f>
        <v/>
      </c>
      <c r="N786">
        <f>IF($F786=1,FIND(MID($B786,8,1),"0123456789")-1,"")</f>
        <v/>
      </c>
      <c r="O786">
        <f>IF($F786=1,FIND(MID($B786,9,1),"0123456789")-1,"")</f>
        <v/>
      </c>
      <c r="P786">
        <f>IF($F786=1,FIND(MID($B786,10,1),"0123456789")-1,"")</f>
        <v/>
      </c>
      <c r="Q786">
        <f>IF($F786=1,SUMPRODUCT($G786:$P786,{1,2,4,8,16,32,64,128,256,512}),"")</f>
        <v/>
      </c>
      <c r="R786">
        <f>IF($F786=1,MOD(MOD($Q786,11),10),"")</f>
        <v/>
      </c>
    </row>
    <row r="787">
      <c r="A787" s="6" t="n"/>
      <c r="B787" s="7">
        <f>IF($A787="","",UPPER(SUBSTITUTE(SUBSTITUTE(SUBSTITUTE(SUBSTITUTE(SUBSTITUTE(SUBSTITUTE($A787," ",""),"-",""),".",""),"/",""),"i","I"),"ı","?")))</f>
        <v/>
      </c>
      <c r="C787" s="8">
        <f>IF($F787=1,$R787,"")</f>
        <v/>
      </c>
      <c r="D787" s="7">
        <f>IF($A787="","",IF($F787=0,"Biçim hatalı",IF(FIND(MID($B787,11,1),"0123456789")-1=$R787,"Geçerli","Kontrol hanesi hatalı (doğrusu: "&amp;$R787&amp;")")))</f>
        <v/>
      </c>
      <c r="F787">
        <f>IF($A787="","",IF(AND(LEN($B787)=11,SUMPRODUCT(--ISNUMBER(FIND(MID($B787,{1,2,3},1),"ABCDEFGHIJKLMNOPQRSTUVWXYZ")))=3,ISNUMBER(FIND(MID($B787,4,1),"UJZ")),SUMPRODUCT(--ISNUMBER(FIND(MID($B787,{5,6,7,8,9,10,11},1),"0123456789")))=7),1,0))</f>
        <v/>
      </c>
      <c r="G787">
        <f>IF($F787=1,INDEX({10,12,13,14,15,16,17,18,19,20,21,23,24,25,26,27,28,29,30,31,32,34,35,36,37,38},1,FIND(MID($B787,1,1),"ABCDEFGHIJKLMNOPQRSTUVWXYZ")),"")</f>
        <v/>
      </c>
      <c r="H787">
        <f>IF($F787=1,INDEX({10,12,13,14,15,16,17,18,19,20,21,23,24,25,26,27,28,29,30,31,32,34,35,36,37,38},1,FIND(MID($B787,2,1),"ABCDEFGHIJKLMNOPQRSTUVWXYZ")),"")</f>
        <v/>
      </c>
      <c r="I787">
        <f>IF($F787=1,INDEX({10,12,13,14,15,16,17,18,19,20,21,23,24,25,26,27,28,29,30,31,32,34,35,36,37,38},1,FIND(MID($B787,3,1),"ABCDEFGHIJKLMNOPQRSTUVWXYZ")),"")</f>
        <v/>
      </c>
      <c r="J787">
        <f>IF($F787=1,INDEX({10,12,13,14,15,16,17,18,19,20,21,23,24,25,26,27,28,29,30,31,32,34,35,36,37,38},1,FIND(MID($B787,4,1),"ABCDEFGHIJKLMNOPQRSTUVWXYZ")),"")</f>
        <v/>
      </c>
      <c r="K787">
        <f>IF($F787=1,FIND(MID($B787,5,1),"0123456789")-1,"")</f>
        <v/>
      </c>
      <c r="L787">
        <f>IF($F787=1,FIND(MID($B787,6,1),"0123456789")-1,"")</f>
        <v/>
      </c>
      <c r="M787">
        <f>IF($F787=1,FIND(MID($B787,7,1),"0123456789")-1,"")</f>
        <v/>
      </c>
      <c r="N787">
        <f>IF($F787=1,FIND(MID($B787,8,1),"0123456789")-1,"")</f>
        <v/>
      </c>
      <c r="O787">
        <f>IF($F787=1,FIND(MID($B787,9,1),"0123456789")-1,"")</f>
        <v/>
      </c>
      <c r="P787">
        <f>IF($F787=1,FIND(MID($B787,10,1),"0123456789")-1,"")</f>
        <v/>
      </c>
      <c r="Q787">
        <f>IF($F787=1,SUMPRODUCT($G787:$P787,{1,2,4,8,16,32,64,128,256,512}),"")</f>
        <v/>
      </c>
      <c r="R787">
        <f>IF($F787=1,MOD(MOD($Q787,11),10),"")</f>
        <v/>
      </c>
    </row>
    <row r="788">
      <c r="A788" s="6" t="n"/>
      <c r="B788" s="7">
        <f>IF($A788="","",UPPER(SUBSTITUTE(SUBSTITUTE(SUBSTITUTE(SUBSTITUTE(SUBSTITUTE(SUBSTITUTE($A788," ",""),"-",""),".",""),"/",""),"i","I"),"ı","?")))</f>
        <v/>
      </c>
      <c r="C788" s="8">
        <f>IF($F788=1,$R788,"")</f>
        <v/>
      </c>
      <c r="D788" s="7">
        <f>IF($A788="","",IF($F788=0,"Biçim hatalı",IF(FIND(MID($B788,11,1),"0123456789")-1=$R788,"Geçerli","Kontrol hanesi hatalı (doğrusu: "&amp;$R788&amp;")")))</f>
        <v/>
      </c>
      <c r="F788">
        <f>IF($A788="","",IF(AND(LEN($B788)=11,SUMPRODUCT(--ISNUMBER(FIND(MID($B788,{1,2,3},1),"ABCDEFGHIJKLMNOPQRSTUVWXYZ")))=3,ISNUMBER(FIND(MID($B788,4,1),"UJZ")),SUMPRODUCT(--ISNUMBER(FIND(MID($B788,{5,6,7,8,9,10,11},1),"0123456789")))=7),1,0))</f>
        <v/>
      </c>
      <c r="G788">
        <f>IF($F788=1,INDEX({10,12,13,14,15,16,17,18,19,20,21,23,24,25,26,27,28,29,30,31,32,34,35,36,37,38},1,FIND(MID($B788,1,1),"ABCDEFGHIJKLMNOPQRSTUVWXYZ")),"")</f>
        <v/>
      </c>
      <c r="H788">
        <f>IF($F788=1,INDEX({10,12,13,14,15,16,17,18,19,20,21,23,24,25,26,27,28,29,30,31,32,34,35,36,37,38},1,FIND(MID($B788,2,1),"ABCDEFGHIJKLMNOPQRSTUVWXYZ")),"")</f>
        <v/>
      </c>
      <c r="I788">
        <f>IF($F788=1,INDEX({10,12,13,14,15,16,17,18,19,20,21,23,24,25,26,27,28,29,30,31,32,34,35,36,37,38},1,FIND(MID($B788,3,1),"ABCDEFGHIJKLMNOPQRSTUVWXYZ")),"")</f>
        <v/>
      </c>
      <c r="J788">
        <f>IF($F788=1,INDEX({10,12,13,14,15,16,17,18,19,20,21,23,24,25,26,27,28,29,30,31,32,34,35,36,37,38},1,FIND(MID($B788,4,1),"ABCDEFGHIJKLMNOPQRSTUVWXYZ")),"")</f>
        <v/>
      </c>
      <c r="K788">
        <f>IF($F788=1,FIND(MID($B788,5,1),"0123456789")-1,"")</f>
        <v/>
      </c>
      <c r="L788">
        <f>IF($F788=1,FIND(MID($B788,6,1),"0123456789")-1,"")</f>
        <v/>
      </c>
      <c r="M788">
        <f>IF($F788=1,FIND(MID($B788,7,1),"0123456789")-1,"")</f>
        <v/>
      </c>
      <c r="N788">
        <f>IF($F788=1,FIND(MID($B788,8,1),"0123456789")-1,"")</f>
        <v/>
      </c>
      <c r="O788">
        <f>IF($F788=1,FIND(MID($B788,9,1),"0123456789")-1,"")</f>
        <v/>
      </c>
      <c r="P788">
        <f>IF($F788=1,FIND(MID($B788,10,1),"0123456789")-1,"")</f>
        <v/>
      </c>
      <c r="Q788">
        <f>IF($F788=1,SUMPRODUCT($G788:$P788,{1,2,4,8,16,32,64,128,256,512}),"")</f>
        <v/>
      </c>
      <c r="R788">
        <f>IF($F788=1,MOD(MOD($Q788,11),10),"")</f>
        <v/>
      </c>
    </row>
    <row r="789">
      <c r="A789" s="6" t="n"/>
      <c r="B789" s="7">
        <f>IF($A789="","",UPPER(SUBSTITUTE(SUBSTITUTE(SUBSTITUTE(SUBSTITUTE(SUBSTITUTE(SUBSTITUTE($A789," ",""),"-",""),".",""),"/",""),"i","I"),"ı","?")))</f>
        <v/>
      </c>
      <c r="C789" s="8">
        <f>IF($F789=1,$R789,"")</f>
        <v/>
      </c>
      <c r="D789" s="7">
        <f>IF($A789="","",IF($F789=0,"Biçim hatalı",IF(FIND(MID($B789,11,1),"0123456789")-1=$R789,"Geçerli","Kontrol hanesi hatalı (doğrusu: "&amp;$R789&amp;")")))</f>
        <v/>
      </c>
      <c r="F789">
        <f>IF($A789="","",IF(AND(LEN($B789)=11,SUMPRODUCT(--ISNUMBER(FIND(MID($B789,{1,2,3},1),"ABCDEFGHIJKLMNOPQRSTUVWXYZ")))=3,ISNUMBER(FIND(MID($B789,4,1),"UJZ")),SUMPRODUCT(--ISNUMBER(FIND(MID($B789,{5,6,7,8,9,10,11},1),"0123456789")))=7),1,0))</f>
        <v/>
      </c>
      <c r="G789">
        <f>IF($F789=1,INDEX({10,12,13,14,15,16,17,18,19,20,21,23,24,25,26,27,28,29,30,31,32,34,35,36,37,38},1,FIND(MID($B789,1,1),"ABCDEFGHIJKLMNOPQRSTUVWXYZ")),"")</f>
        <v/>
      </c>
      <c r="H789">
        <f>IF($F789=1,INDEX({10,12,13,14,15,16,17,18,19,20,21,23,24,25,26,27,28,29,30,31,32,34,35,36,37,38},1,FIND(MID($B789,2,1),"ABCDEFGHIJKLMNOPQRSTUVWXYZ")),"")</f>
        <v/>
      </c>
      <c r="I789">
        <f>IF($F789=1,INDEX({10,12,13,14,15,16,17,18,19,20,21,23,24,25,26,27,28,29,30,31,32,34,35,36,37,38},1,FIND(MID($B789,3,1),"ABCDEFGHIJKLMNOPQRSTUVWXYZ")),"")</f>
        <v/>
      </c>
      <c r="J789">
        <f>IF($F789=1,INDEX({10,12,13,14,15,16,17,18,19,20,21,23,24,25,26,27,28,29,30,31,32,34,35,36,37,38},1,FIND(MID($B789,4,1),"ABCDEFGHIJKLMNOPQRSTUVWXYZ")),"")</f>
        <v/>
      </c>
      <c r="K789">
        <f>IF($F789=1,FIND(MID($B789,5,1),"0123456789")-1,"")</f>
        <v/>
      </c>
      <c r="L789">
        <f>IF($F789=1,FIND(MID($B789,6,1),"0123456789")-1,"")</f>
        <v/>
      </c>
      <c r="M789">
        <f>IF($F789=1,FIND(MID($B789,7,1),"0123456789")-1,"")</f>
        <v/>
      </c>
      <c r="N789">
        <f>IF($F789=1,FIND(MID($B789,8,1),"0123456789")-1,"")</f>
        <v/>
      </c>
      <c r="O789">
        <f>IF($F789=1,FIND(MID($B789,9,1),"0123456789")-1,"")</f>
        <v/>
      </c>
      <c r="P789">
        <f>IF($F789=1,FIND(MID($B789,10,1),"0123456789")-1,"")</f>
        <v/>
      </c>
      <c r="Q789">
        <f>IF($F789=1,SUMPRODUCT($G789:$P789,{1,2,4,8,16,32,64,128,256,512}),"")</f>
        <v/>
      </c>
      <c r="R789">
        <f>IF($F789=1,MOD(MOD($Q789,11),10),"")</f>
        <v/>
      </c>
    </row>
    <row r="790">
      <c r="A790" s="6" t="n"/>
      <c r="B790" s="7">
        <f>IF($A790="","",UPPER(SUBSTITUTE(SUBSTITUTE(SUBSTITUTE(SUBSTITUTE(SUBSTITUTE(SUBSTITUTE($A790," ",""),"-",""),".",""),"/",""),"i","I"),"ı","?")))</f>
        <v/>
      </c>
      <c r="C790" s="8">
        <f>IF($F790=1,$R790,"")</f>
        <v/>
      </c>
      <c r="D790" s="7">
        <f>IF($A790="","",IF($F790=0,"Biçim hatalı",IF(FIND(MID($B790,11,1),"0123456789")-1=$R790,"Geçerli","Kontrol hanesi hatalı (doğrusu: "&amp;$R790&amp;")")))</f>
        <v/>
      </c>
      <c r="F790">
        <f>IF($A790="","",IF(AND(LEN($B790)=11,SUMPRODUCT(--ISNUMBER(FIND(MID($B790,{1,2,3},1),"ABCDEFGHIJKLMNOPQRSTUVWXYZ")))=3,ISNUMBER(FIND(MID($B790,4,1),"UJZ")),SUMPRODUCT(--ISNUMBER(FIND(MID($B790,{5,6,7,8,9,10,11},1),"0123456789")))=7),1,0))</f>
        <v/>
      </c>
      <c r="G790">
        <f>IF($F790=1,INDEX({10,12,13,14,15,16,17,18,19,20,21,23,24,25,26,27,28,29,30,31,32,34,35,36,37,38},1,FIND(MID($B790,1,1),"ABCDEFGHIJKLMNOPQRSTUVWXYZ")),"")</f>
        <v/>
      </c>
      <c r="H790">
        <f>IF($F790=1,INDEX({10,12,13,14,15,16,17,18,19,20,21,23,24,25,26,27,28,29,30,31,32,34,35,36,37,38},1,FIND(MID($B790,2,1),"ABCDEFGHIJKLMNOPQRSTUVWXYZ")),"")</f>
        <v/>
      </c>
      <c r="I790">
        <f>IF($F790=1,INDEX({10,12,13,14,15,16,17,18,19,20,21,23,24,25,26,27,28,29,30,31,32,34,35,36,37,38},1,FIND(MID($B790,3,1),"ABCDEFGHIJKLMNOPQRSTUVWXYZ")),"")</f>
        <v/>
      </c>
      <c r="J790">
        <f>IF($F790=1,INDEX({10,12,13,14,15,16,17,18,19,20,21,23,24,25,26,27,28,29,30,31,32,34,35,36,37,38},1,FIND(MID($B790,4,1),"ABCDEFGHIJKLMNOPQRSTUVWXYZ")),"")</f>
        <v/>
      </c>
      <c r="K790">
        <f>IF($F790=1,FIND(MID($B790,5,1),"0123456789")-1,"")</f>
        <v/>
      </c>
      <c r="L790">
        <f>IF($F790=1,FIND(MID($B790,6,1),"0123456789")-1,"")</f>
        <v/>
      </c>
      <c r="M790">
        <f>IF($F790=1,FIND(MID($B790,7,1),"0123456789")-1,"")</f>
        <v/>
      </c>
      <c r="N790">
        <f>IF($F790=1,FIND(MID($B790,8,1),"0123456789")-1,"")</f>
        <v/>
      </c>
      <c r="O790">
        <f>IF($F790=1,FIND(MID($B790,9,1),"0123456789")-1,"")</f>
        <v/>
      </c>
      <c r="P790">
        <f>IF($F790=1,FIND(MID($B790,10,1),"0123456789")-1,"")</f>
        <v/>
      </c>
      <c r="Q790">
        <f>IF($F790=1,SUMPRODUCT($G790:$P790,{1,2,4,8,16,32,64,128,256,512}),"")</f>
        <v/>
      </c>
      <c r="R790">
        <f>IF($F790=1,MOD(MOD($Q790,11),10),"")</f>
        <v/>
      </c>
    </row>
    <row r="791">
      <c r="A791" s="6" t="n"/>
      <c r="B791" s="7">
        <f>IF($A791="","",UPPER(SUBSTITUTE(SUBSTITUTE(SUBSTITUTE(SUBSTITUTE(SUBSTITUTE(SUBSTITUTE($A791," ",""),"-",""),".",""),"/",""),"i","I"),"ı","?")))</f>
        <v/>
      </c>
      <c r="C791" s="8">
        <f>IF($F791=1,$R791,"")</f>
        <v/>
      </c>
      <c r="D791" s="7">
        <f>IF($A791="","",IF($F791=0,"Biçim hatalı",IF(FIND(MID($B791,11,1),"0123456789")-1=$R791,"Geçerli","Kontrol hanesi hatalı (doğrusu: "&amp;$R791&amp;")")))</f>
        <v/>
      </c>
      <c r="F791">
        <f>IF($A791="","",IF(AND(LEN($B791)=11,SUMPRODUCT(--ISNUMBER(FIND(MID($B791,{1,2,3},1),"ABCDEFGHIJKLMNOPQRSTUVWXYZ")))=3,ISNUMBER(FIND(MID($B791,4,1),"UJZ")),SUMPRODUCT(--ISNUMBER(FIND(MID($B791,{5,6,7,8,9,10,11},1),"0123456789")))=7),1,0))</f>
        <v/>
      </c>
      <c r="G791">
        <f>IF($F791=1,INDEX({10,12,13,14,15,16,17,18,19,20,21,23,24,25,26,27,28,29,30,31,32,34,35,36,37,38},1,FIND(MID($B791,1,1),"ABCDEFGHIJKLMNOPQRSTUVWXYZ")),"")</f>
        <v/>
      </c>
      <c r="H791">
        <f>IF($F791=1,INDEX({10,12,13,14,15,16,17,18,19,20,21,23,24,25,26,27,28,29,30,31,32,34,35,36,37,38},1,FIND(MID($B791,2,1),"ABCDEFGHIJKLMNOPQRSTUVWXYZ")),"")</f>
        <v/>
      </c>
      <c r="I791">
        <f>IF($F791=1,INDEX({10,12,13,14,15,16,17,18,19,20,21,23,24,25,26,27,28,29,30,31,32,34,35,36,37,38},1,FIND(MID($B791,3,1),"ABCDEFGHIJKLMNOPQRSTUVWXYZ")),"")</f>
        <v/>
      </c>
      <c r="J791">
        <f>IF($F791=1,INDEX({10,12,13,14,15,16,17,18,19,20,21,23,24,25,26,27,28,29,30,31,32,34,35,36,37,38},1,FIND(MID($B791,4,1),"ABCDEFGHIJKLMNOPQRSTUVWXYZ")),"")</f>
        <v/>
      </c>
      <c r="K791">
        <f>IF($F791=1,FIND(MID($B791,5,1),"0123456789")-1,"")</f>
        <v/>
      </c>
      <c r="L791">
        <f>IF($F791=1,FIND(MID($B791,6,1),"0123456789")-1,"")</f>
        <v/>
      </c>
      <c r="M791">
        <f>IF($F791=1,FIND(MID($B791,7,1),"0123456789")-1,"")</f>
        <v/>
      </c>
      <c r="N791">
        <f>IF($F791=1,FIND(MID($B791,8,1),"0123456789")-1,"")</f>
        <v/>
      </c>
      <c r="O791">
        <f>IF($F791=1,FIND(MID($B791,9,1),"0123456789")-1,"")</f>
        <v/>
      </c>
      <c r="P791">
        <f>IF($F791=1,FIND(MID($B791,10,1),"0123456789")-1,"")</f>
        <v/>
      </c>
      <c r="Q791">
        <f>IF($F791=1,SUMPRODUCT($G791:$P791,{1,2,4,8,16,32,64,128,256,512}),"")</f>
        <v/>
      </c>
      <c r="R791">
        <f>IF($F791=1,MOD(MOD($Q791,11),10),"")</f>
        <v/>
      </c>
    </row>
    <row r="792">
      <c r="A792" s="6" t="n"/>
      <c r="B792" s="7">
        <f>IF($A792="","",UPPER(SUBSTITUTE(SUBSTITUTE(SUBSTITUTE(SUBSTITUTE(SUBSTITUTE(SUBSTITUTE($A792," ",""),"-",""),".",""),"/",""),"i","I"),"ı","?")))</f>
        <v/>
      </c>
      <c r="C792" s="8">
        <f>IF($F792=1,$R792,"")</f>
        <v/>
      </c>
      <c r="D792" s="7">
        <f>IF($A792="","",IF($F792=0,"Biçim hatalı",IF(FIND(MID($B792,11,1),"0123456789")-1=$R792,"Geçerli","Kontrol hanesi hatalı (doğrusu: "&amp;$R792&amp;")")))</f>
        <v/>
      </c>
      <c r="F792">
        <f>IF($A792="","",IF(AND(LEN($B792)=11,SUMPRODUCT(--ISNUMBER(FIND(MID($B792,{1,2,3},1),"ABCDEFGHIJKLMNOPQRSTUVWXYZ")))=3,ISNUMBER(FIND(MID($B792,4,1),"UJZ")),SUMPRODUCT(--ISNUMBER(FIND(MID($B792,{5,6,7,8,9,10,11},1),"0123456789")))=7),1,0))</f>
        <v/>
      </c>
      <c r="G792">
        <f>IF($F792=1,INDEX({10,12,13,14,15,16,17,18,19,20,21,23,24,25,26,27,28,29,30,31,32,34,35,36,37,38},1,FIND(MID($B792,1,1),"ABCDEFGHIJKLMNOPQRSTUVWXYZ")),"")</f>
        <v/>
      </c>
      <c r="H792">
        <f>IF($F792=1,INDEX({10,12,13,14,15,16,17,18,19,20,21,23,24,25,26,27,28,29,30,31,32,34,35,36,37,38},1,FIND(MID($B792,2,1),"ABCDEFGHIJKLMNOPQRSTUVWXYZ")),"")</f>
        <v/>
      </c>
      <c r="I792">
        <f>IF($F792=1,INDEX({10,12,13,14,15,16,17,18,19,20,21,23,24,25,26,27,28,29,30,31,32,34,35,36,37,38},1,FIND(MID($B792,3,1),"ABCDEFGHIJKLMNOPQRSTUVWXYZ")),"")</f>
        <v/>
      </c>
      <c r="J792">
        <f>IF($F792=1,INDEX({10,12,13,14,15,16,17,18,19,20,21,23,24,25,26,27,28,29,30,31,32,34,35,36,37,38},1,FIND(MID($B792,4,1),"ABCDEFGHIJKLMNOPQRSTUVWXYZ")),"")</f>
        <v/>
      </c>
      <c r="K792">
        <f>IF($F792=1,FIND(MID($B792,5,1),"0123456789")-1,"")</f>
        <v/>
      </c>
      <c r="L792">
        <f>IF($F792=1,FIND(MID($B792,6,1),"0123456789")-1,"")</f>
        <v/>
      </c>
      <c r="M792">
        <f>IF($F792=1,FIND(MID($B792,7,1),"0123456789")-1,"")</f>
        <v/>
      </c>
      <c r="N792">
        <f>IF($F792=1,FIND(MID($B792,8,1),"0123456789")-1,"")</f>
        <v/>
      </c>
      <c r="O792">
        <f>IF($F792=1,FIND(MID($B792,9,1),"0123456789")-1,"")</f>
        <v/>
      </c>
      <c r="P792">
        <f>IF($F792=1,FIND(MID($B792,10,1),"0123456789")-1,"")</f>
        <v/>
      </c>
      <c r="Q792">
        <f>IF($F792=1,SUMPRODUCT($G792:$P792,{1,2,4,8,16,32,64,128,256,512}),"")</f>
        <v/>
      </c>
      <c r="R792">
        <f>IF($F792=1,MOD(MOD($Q792,11),10),"")</f>
        <v/>
      </c>
    </row>
    <row r="793">
      <c r="A793" s="6" t="n"/>
      <c r="B793" s="7">
        <f>IF($A793="","",UPPER(SUBSTITUTE(SUBSTITUTE(SUBSTITUTE(SUBSTITUTE(SUBSTITUTE(SUBSTITUTE($A793," ",""),"-",""),".",""),"/",""),"i","I"),"ı","?")))</f>
        <v/>
      </c>
      <c r="C793" s="8">
        <f>IF($F793=1,$R793,"")</f>
        <v/>
      </c>
      <c r="D793" s="7">
        <f>IF($A793="","",IF($F793=0,"Biçim hatalı",IF(FIND(MID($B793,11,1),"0123456789")-1=$R793,"Geçerli","Kontrol hanesi hatalı (doğrusu: "&amp;$R793&amp;")")))</f>
        <v/>
      </c>
      <c r="F793">
        <f>IF($A793="","",IF(AND(LEN($B793)=11,SUMPRODUCT(--ISNUMBER(FIND(MID($B793,{1,2,3},1),"ABCDEFGHIJKLMNOPQRSTUVWXYZ")))=3,ISNUMBER(FIND(MID($B793,4,1),"UJZ")),SUMPRODUCT(--ISNUMBER(FIND(MID($B793,{5,6,7,8,9,10,11},1),"0123456789")))=7),1,0))</f>
        <v/>
      </c>
      <c r="G793">
        <f>IF($F793=1,INDEX({10,12,13,14,15,16,17,18,19,20,21,23,24,25,26,27,28,29,30,31,32,34,35,36,37,38},1,FIND(MID($B793,1,1),"ABCDEFGHIJKLMNOPQRSTUVWXYZ")),"")</f>
        <v/>
      </c>
      <c r="H793">
        <f>IF($F793=1,INDEX({10,12,13,14,15,16,17,18,19,20,21,23,24,25,26,27,28,29,30,31,32,34,35,36,37,38},1,FIND(MID($B793,2,1),"ABCDEFGHIJKLMNOPQRSTUVWXYZ")),"")</f>
        <v/>
      </c>
      <c r="I793">
        <f>IF($F793=1,INDEX({10,12,13,14,15,16,17,18,19,20,21,23,24,25,26,27,28,29,30,31,32,34,35,36,37,38},1,FIND(MID($B793,3,1),"ABCDEFGHIJKLMNOPQRSTUVWXYZ")),"")</f>
        <v/>
      </c>
      <c r="J793">
        <f>IF($F793=1,INDEX({10,12,13,14,15,16,17,18,19,20,21,23,24,25,26,27,28,29,30,31,32,34,35,36,37,38},1,FIND(MID($B793,4,1),"ABCDEFGHIJKLMNOPQRSTUVWXYZ")),"")</f>
        <v/>
      </c>
      <c r="K793">
        <f>IF($F793=1,FIND(MID($B793,5,1),"0123456789")-1,"")</f>
        <v/>
      </c>
      <c r="L793">
        <f>IF($F793=1,FIND(MID($B793,6,1),"0123456789")-1,"")</f>
        <v/>
      </c>
      <c r="M793">
        <f>IF($F793=1,FIND(MID($B793,7,1),"0123456789")-1,"")</f>
        <v/>
      </c>
      <c r="N793">
        <f>IF($F793=1,FIND(MID($B793,8,1),"0123456789")-1,"")</f>
        <v/>
      </c>
      <c r="O793">
        <f>IF($F793=1,FIND(MID($B793,9,1),"0123456789")-1,"")</f>
        <v/>
      </c>
      <c r="P793">
        <f>IF($F793=1,FIND(MID($B793,10,1),"0123456789")-1,"")</f>
        <v/>
      </c>
      <c r="Q793">
        <f>IF($F793=1,SUMPRODUCT($G793:$P793,{1,2,4,8,16,32,64,128,256,512}),"")</f>
        <v/>
      </c>
      <c r="R793">
        <f>IF($F793=1,MOD(MOD($Q793,11),10),"")</f>
        <v/>
      </c>
    </row>
    <row r="794">
      <c r="A794" s="6" t="n"/>
      <c r="B794" s="7">
        <f>IF($A794="","",UPPER(SUBSTITUTE(SUBSTITUTE(SUBSTITUTE(SUBSTITUTE(SUBSTITUTE(SUBSTITUTE($A794," ",""),"-",""),".",""),"/",""),"i","I"),"ı","?")))</f>
        <v/>
      </c>
      <c r="C794" s="8">
        <f>IF($F794=1,$R794,"")</f>
        <v/>
      </c>
      <c r="D794" s="7">
        <f>IF($A794="","",IF($F794=0,"Biçim hatalı",IF(FIND(MID($B794,11,1),"0123456789")-1=$R794,"Geçerli","Kontrol hanesi hatalı (doğrusu: "&amp;$R794&amp;")")))</f>
        <v/>
      </c>
      <c r="F794">
        <f>IF($A794="","",IF(AND(LEN($B794)=11,SUMPRODUCT(--ISNUMBER(FIND(MID($B794,{1,2,3},1),"ABCDEFGHIJKLMNOPQRSTUVWXYZ")))=3,ISNUMBER(FIND(MID($B794,4,1),"UJZ")),SUMPRODUCT(--ISNUMBER(FIND(MID($B794,{5,6,7,8,9,10,11},1),"0123456789")))=7),1,0))</f>
        <v/>
      </c>
      <c r="G794">
        <f>IF($F794=1,INDEX({10,12,13,14,15,16,17,18,19,20,21,23,24,25,26,27,28,29,30,31,32,34,35,36,37,38},1,FIND(MID($B794,1,1),"ABCDEFGHIJKLMNOPQRSTUVWXYZ")),"")</f>
        <v/>
      </c>
      <c r="H794">
        <f>IF($F794=1,INDEX({10,12,13,14,15,16,17,18,19,20,21,23,24,25,26,27,28,29,30,31,32,34,35,36,37,38},1,FIND(MID($B794,2,1),"ABCDEFGHIJKLMNOPQRSTUVWXYZ")),"")</f>
        <v/>
      </c>
      <c r="I794">
        <f>IF($F794=1,INDEX({10,12,13,14,15,16,17,18,19,20,21,23,24,25,26,27,28,29,30,31,32,34,35,36,37,38},1,FIND(MID($B794,3,1),"ABCDEFGHIJKLMNOPQRSTUVWXYZ")),"")</f>
        <v/>
      </c>
      <c r="J794">
        <f>IF($F794=1,INDEX({10,12,13,14,15,16,17,18,19,20,21,23,24,25,26,27,28,29,30,31,32,34,35,36,37,38},1,FIND(MID($B794,4,1),"ABCDEFGHIJKLMNOPQRSTUVWXYZ")),"")</f>
        <v/>
      </c>
      <c r="K794">
        <f>IF($F794=1,FIND(MID($B794,5,1),"0123456789")-1,"")</f>
        <v/>
      </c>
      <c r="L794">
        <f>IF($F794=1,FIND(MID($B794,6,1),"0123456789")-1,"")</f>
        <v/>
      </c>
      <c r="M794">
        <f>IF($F794=1,FIND(MID($B794,7,1),"0123456789")-1,"")</f>
        <v/>
      </c>
      <c r="N794">
        <f>IF($F794=1,FIND(MID($B794,8,1),"0123456789")-1,"")</f>
        <v/>
      </c>
      <c r="O794">
        <f>IF($F794=1,FIND(MID($B794,9,1),"0123456789")-1,"")</f>
        <v/>
      </c>
      <c r="P794">
        <f>IF($F794=1,FIND(MID($B794,10,1),"0123456789")-1,"")</f>
        <v/>
      </c>
      <c r="Q794">
        <f>IF($F794=1,SUMPRODUCT($G794:$P794,{1,2,4,8,16,32,64,128,256,512}),"")</f>
        <v/>
      </c>
      <c r="R794">
        <f>IF($F794=1,MOD(MOD($Q794,11),10),"")</f>
        <v/>
      </c>
    </row>
    <row r="795">
      <c r="A795" s="6" t="n"/>
      <c r="B795" s="7">
        <f>IF($A795="","",UPPER(SUBSTITUTE(SUBSTITUTE(SUBSTITUTE(SUBSTITUTE(SUBSTITUTE(SUBSTITUTE($A795," ",""),"-",""),".",""),"/",""),"i","I"),"ı","?")))</f>
        <v/>
      </c>
      <c r="C795" s="8">
        <f>IF($F795=1,$R795,"")</f>
        <v/>
      </c>
      <c r="D795" s="7">
        <f>IF($A795="","",IF($F795=0,"Biçim hatalı",IF(FIND(MID($B795,11,1),"0123456789")-1=$R795,"Geçerli","Kontrol hanesi hatalı (doğrusu: "&amp;$R795&amp;")")))</f>
        <v/>
      </c>
      <c r="F795">
        <f>IF($A795="","",IF(AND(LEN($B795)=11,SUMPRODUCT(--ISNUMBER(FIND(MID($B795,{1,2,3},1),"ABCDEFGHIJKLMNOPQRSTUVWXYZ")))=3,ISNUMBER(FIND(MID($B795,4,1),"UJZ")),SUMPRODUCT(--ISNUMBER(FIND(MID($B795,{5,6,7,8,9,10,11},1),"0123456789")))=7),1,0))</f>
        <v/>
      </c>
      <c r="G795">
        <f>IF($F795=1,INDEX({10,12,13,14,15,16,17,18,19,20,21,23,24,25,26,27,28,29,30,31,32,34,35,36,37,38},1,FIND(MID($B795,1,1),"ABCDEFGHIJKLMNOPQRSTUVWXYZ")),"")</f>
        <v/>
      </c>
      <c r="H795">
        <f>IF($F795=1,INDEX({10,12,13,14,15,16,17,18,19,20,21,23,24,25,26,27,28,29,30,31,32,34,35,36,37,38},1,FIND(MID($B795,2,1),"ABCDEFGHIJKLMNOPQRSTUVWXYZ")),"")</f>
        <v/>
      </c>
      <c r="I795">
        <f>IF($F795=1,INDEX({10,12,13,14,15,16,17,18,19,20,21,23,24,25,26,27,28,29,30,31,32,34,35,36,37,38},1,FIND(MID($B795,3,1),"ABCDEFGHIJKLMNOPQRSTUVWXYZ")),"")</f>
        <v/>
      </c>
      <c r="J795">
        <f>IF($F795=1,INDEX({10,12,13,14,15,16,17,18,19,20,21,23,24,25,26,27,28,29,30,31,32,34,35,36,37,38},1,FIND(MID($B795,4,1),"ABCDEFGHIJKLMNOPQRSTUVWXYZ")),"")</f>
        <v/>
      </c>
      <c r="K795">
        <f>IF($F795=1,FIND(MID($B795,5,1),"0123456789")-1,"")</f>
        <v/>
      </c>
      <c r="L795">
        <f>IF($F795=1,FIND(MID($B795,6,1),"0123456789")-1,"")</f>
        <v/>
      </c>
      <c r="M795">
        <f>IF($F795=1,FIND(MID($B795,7,1),"0123456789")-1,"")</f>
        <v/>
      </c>
      <c r="N795">
        <f>IF($F795=1,FIND(MID($B795,8,1),"0123456789")-1,"")</f>
        <v/>
      </c>
      <c r="O795">
        <f>IF($F795=1,FIND(MID($B795,9,1),"0123456789")-1,"")</f>
        <v/>
      </c>
      <c r="P795">
        <f>IF($F795=1,FIND(MID($B795,10,1),"0123456789")-1,"")</f>
        <v/>
      </c>
      <c r="Q795">
        <f>IF($F795=1,SUMPRODUCT($G795:$P795,{1,2,4,8,16,32,64,128,256,512}),"")</f>
        <v/>
      </c>
      <c r="R795">
        <f>IF($F795=1,MOD(MOD($Q795,11),10),"")</f>
        <v/>
      </c>
    </row>
    <row r="796">
      <c r="A796" s="6" t="n"/>
      <c r="B796" s="7">
        <f>IF($A796="","",UPPER(SUBSTITUTE(SUBSTITUTE(SUBSTITUTE(SUBSTITUTE(SUBSTITUTE(SUBSTITUTE($A796," ",""),"-",""),".",""),"/",""),"i","I"),"ı","?")))</f>
        <v/>
      </c>
      <c r="C796" s="8">
        <f>IF($F796=1,$R796,"")</f>
        <v/>
      </c>
      <c r="D796" s="7">
        <f>IF($A796="","",IF($F796=0,"Biçim hatalı",IF(FIND(MID($B796,11,1),"0123456789")-1=$R796,"Geçerli","Kontrol hanesi hatalı (doğrusu: "&amp;$R796&amp;")")))</f>
        <v/>
      </c>
      <c r="F796">
        <f>IF($A796="","",IF(AND(LEN($B796)=11,SUMPRODUCT(--ISNUMBER(FIND(MID($B796,{1,2,3},1),"ABCDEFGHIJKLMNOPQRSTUVWXYZ")))=3,ISNUMBER(FIND(MID($B796,4,1),"UJZ")),SUMPRODUCT(--ISNUMBER(FIND(MID($B796,{5,6,7,8,9,10,11},1),"0123456789")))=7),1,0))</f>
        <v/>
      </c>
      <c r="G796">
        <f>IF($F796=1,INDEX({10,12,13,14,15,16,17,18,19,20,21,23,24,25,26,27,28,29,30,31,32,34,35,36,37,38},1,FIND(MID($B796,1,1),"ABCDEFGHIJKLMNOPQRSTUVWXYZ")),"")</f>
        <v/>
      </c>
      <c r="H796">
        <f>IF($F796=1,INDEX({10,12,13,14,15,16,17,18,19,20,21,23,24,25,26,27,28,29,30,31,32,34,35,36,37,38},1,FIND(MID($B796,2,1),"ABCDEFGHIJKLMNOPQRSTUVWXYZ")),"")</f>
        <v/>
      </c>
      <c r="I796">
        <f>IF($F796=1,INDEX({10,12,13,14,15,16,17,18,19,20,21,23,24,25,26,27,28,29,30,31,32,34,35,36,37,38},1,FIND(MID($B796,3,1),"ABCDEFGHIJKLMNOPQRSTUVWXYZ")),"")</f>
        <v/>
      </c>
      <c r="J796">
        <f>IF($F796=1,INDEX({10,12,13,14,15,16,17,18,19,20,21,23,24,25,26,27,28,29,30,31,32,34,35,36,37,38},1,FIND(MID($B796,4,1),"ABCDEFGHIJKLMNOPQRSTUVWXYZ")),"")</f>
        <v/>
      </c>
      <c r="K796">
        <f>IF($F796=1,FIND(MID($B796,5,1),"0123456789")-1,"")</f>
        <v/>
      </c>
      <c r="L796">
        <f>IF($F796=1,FIND(MID($B796,6,1),"0123456789")-1,"")</f>
        <v/>
      </c>
      <c r="M796">
        <f>IF($F796=1,FIND(MID($B796,7,1),"0123456789")-1,"")</f>
        <v/>
      </c>
      <c r="N796">
        <f>IF($F796=1,FIND(MID($B796,8,1),"0123456789")-1,"")</f>
        <v/>
      </c>
      <c r="O796">
        <f>IF($F796=1,FIND(MID($B796,9,1),"0123456789")-1,"")</f>
        <v/>
      </c>
      <c r="P796">
        <f>IF($F796=1,FIND(MID($B796,10,1),"0123456789")-1,"")</f>
        <v/>
      </c>
      <c r="Q796">
        <f>IF($F796=1,SUMPRODUCT($G796:$P796,{1,2,4,8,16,32,64,128,256,512}),"")</f>
        <v/>
      </c>
      <c r="R796">
        <f>IF($F796=1,MOD(MOD($Q796,11),10),"")</f>
        <v/>
      </c>
    </row>
    <row r="797">
      <c r="A797" s="6" t="n"/>
      <c r="B797" s="7">
        <f>IF($A797="","",UPPER(SUBSTITUTE(SUBSTITUTE(SUBSTITUTE(SUBSTITUTE(SUBSTITUTE(SUBSTITUTE($A797," ",""),"-",""),".",""),"/",""),"i","I"),"ı","?")))</f>
        <v/>
      </c>
      <c r="C797" s="8">
        <f>IF($F797=1,$R797,"")</f>
        <v/>
      </c>
      <c r="D797" s="7">
        <f>IF($A797="","",IF($F797=0,"Biçim hatalı",IF(FIND(MID($B797,11,1),"0123456789")-1=$R797,"Geçerli","Kontrol hanesi hatalı (doğrusu: "&amp;$R797&amp;")")))</f>
        <v/>
      </c>
      <c r="F797">
        <f>IF($A797="","",IF(AND(LEN($B797)=11,SUMPRODUCT(--ISNUMBER(FIND(MID($B797,{1,2,3},1),"ABCDEFGHIJKLMNOPQRSTUVWXYZ")))=3,ISNUMBER(FIND(MID($B797,4,1),"UJZ")),SUMPRODUCT(--ISNUMBER(FIND(MID($B797,{5,6,7,8,9,10,11},1),"0123456789")))=7),1,0))</f>
        <v/>
      </c>
      <c r="G797">
        <f>IF($F797=1,INDEX({10,12,13,14,15,16,17,18,19,20,21,23,24,25,26,27,28,29,30,31,32,34,35,36,37,38},1,FIND(MID($B797,1,1),"ABCDEFGHIJKLMNOPQRSTUVWXYZ")),"")</f>
        <v/>
      </c>
      <c r="H797">
        <f>IF($F797=1,INDEX({10,12,13,14,15,16,17,18,19,20,21,23,24,25,26,27,28,29,30,31,32,34,35,36,37,38},1,FIND(MID($B797,2,1),"ABCDEFGHIJKLMNOPQRSTUVWXYZ")),"")</f>
        <v/>
      </c>
      <c r="I797">
        <f>IF($F797=1,INDEX({10,12,13,14,15,16,17,18,19,20,21,23,24,25,26,27,28,29,30,31,32,34,35,36,37,38},1,FIND(MID($B797,3,1),"ABCDEFGHIJKLMNOPQRSTUVWXYZ")),"")</f>
        <v/>
      </c>
      <c r="J797">
        <f>IF($F797=1,INDEX({10,12,13,14,15,16,17,18,19,20,21,23,24,25,26,27,28,29,30,31,32,34,35,36,37,38},1,FIND(MID($B797,4,1),"ABCDEFGHIJKLMNOPQRSTUVWXYZ")),"")</f>
        <v/>
      </c>
      <c r="K797">
        <f>IF($F797=1,FIND(MID($B797,5,1),"0123456789")-1,"")</f>
        <v/>
      </c>
      <c r="L797">
        <f>IF($F797=1,FIND(MID($B797,6,1),"0123456789")-1,"")</f>
        <v/>
      </c>
      <c r="M797">
        <f>IF($F797=1,FIND(MID($B797,7,1),"0123456789")-1,"")</f>
        <v/>
      </c>
      <c r="N797">
        <f>IF($F797=1,FIND(MID($B797,8,1),"0123456789")-1,"")</f>
        <v/>
      </c>
      <c r="O797">
        <f>IF($F797=1,FIND(MID($B797,9,1),"0123456789")-1,"")</f>
        <v/>
      </c>
      <c r="P797">
        <f>IF($F797=1,FIND(MID($B797,10,1),"0123456789")-1,"")</f>
        <v/>
      </c>
      <c r="Q797">
        <f>IF($F797=1,SUMPRODUCT($G797:$P797,{1,2,4,8,16,32,64,128,256,512}),"")</f>
        <v/>
      </c>
      <c r="R797">
        <f>IF($F797=1,MOD(MOD($Q797,11),10),"")</f>
        <v/>
      </c>
    </row>
    <row r="798">
      <c r="A798" s="6" t="n"/>
      <c r="B798" s="7">
        <f>IF($A798="","",UPPER(SUBSTITUTE(SUBSTITUTE(SUBSTITUTE(SUBSTITUTE(SUBSTITUTE(SUBSTITUTE($A798," ",""),"-",""),".",""),"/",""),"i","I"),"ı","?")))</f>
        <v/>
      </c>
      <c r="C798" s="8">
        <f>IF($F798=1,$R798,"")</f>
        <v/>
      </c>
      <c r="D798" s="7">
        <f>IF($A798="","",IF($F798=0,"Biçim hatalı",IF(FIND(MID($B798,11,1),"0123456789")-1=$R798,"Geçerli","Kontrol hanesi hatalı (doğrusu: "&amp;$R798&amp;")")))</f>
        <v/>
      </c>
      <c r="F798">
        <f>IF($A798="","",IF(AND(LEN($B798)=11,SUMPRODUCT(--ISNUMBER(FIND(MID($B798,{1,2,3},1),"ABCDEFGHIJKLMNOPQRSTUVWXYZ")))=3,ISNUMBER(FIND(MID($B798,4,1),"UJZ")),SUMPRODUCT(--ISNUMBER(FIND(MID($B798,{5,6,7,8,9,10,11},1),"0123456789")))=7),1,0))</f>
        <v/>
      </c>
      <c r="G798">
        <f>IF($F798=1,INDEX({10,12,13,14,15,16,17,18,19,20,21,23,24,25,26,27,28,29,30,31,32,34,35,36,37,38},1,FIND(MID($B798,1,1),"ABCDEFGHIJKLMNOPQRSTUVWXYZ")),"")</f>
        <v/>
      </c>
      <c r="H798">
        <f>IF($F798=1,INDEX({10,12,13,14,15,16,17,18,19,20,21,23,24,25,26,27,28,29,30,31,32,34,35,36,37,38},1,FIND(MID($B798,2,1),"ABCDEFGHIJKLMNOPQRSTUVWXYZ")),"")</f>
        <v/>
      </c>
      <c r="I798">
        <f>IF($F798=1,INDEX({10,12,13,14,15,16,17,18,19,20,21,23,24,25,26,27,28,29,30,31,32,34,35,36,37,38},1,FIND(MID($B798,3,1),"ABCDEFGHIJKLMNOPQRSTUVWXYZ")),"")</f>
        <v/>
      </c>
      <c r="J798">
        <f>IF($F798=1,INDEX({10,12,13,14,15,16,17,18,19,20,21,23,24,25,26,27,28,29,30,31,32,34,35,36,37,38},1,FIND(MID($B798,4,1),"ABCDEFGHIJKLMNOPQRSTUVWXYZ")),"")</f>
        <v/>
      </c>
      <c r="K798">
        <f>IF($F798=1,FIND(MID($B798,5,1),"0123456789")-1,"")</f>
        <v/>
      </c>
      <c r="L798">
        <f>IF($F798=1,FIND(MID($B798,6,1),"0123456789")-1,"")</f>
        <v/>
      </c>
      <c r="M798">
        <f>IF($F798=1,FIND(MID($B798,7,1),"0123456789")-1,"")</f>
        <v/>
      </c>
      <c r="N798">
        <f>IF($F798=1,FIND(MID($B798,8,1),"0123456789")-1,"")</f>
        <v/>
      </c>
      <c r="O798">
        <f>IF($F798=1,FIND(MID($B798,9,1),"0123456789")-1,"")</f>
        <v/>
      </c>
      <c r="P798">
        <f>IF($F798=1,FIND(MID($B798,10,1),"0123456789")-1,"")</f>
        <v/>
      </c>
      <c r="Q798">
        <f>IF($F798=1,SUMPRODUCT($G798:$P798,{1,2,4,8,16,32,64,128,256,512}),"")</f>
        <v/>
      </c>
      <c r="R798">
        <f>IF($F798=1,MOD(MOD($Q798,11),10),"")</f>
        <v/>
      </c>
    </row>
    <row r="799">
      <c r="A799" s="6" t="n"/>
      <c r="B799" s="7">
        <f>IF($A799="","",UPPER(SUBSTITUTE(SUBSTITUTE(SUBSTITUTE(SUBSTITUTE(SUBSTITUTE(SUBSTITUTE($A799," ",""),"-",""),".",""),"/",""),"i","I"),"ı","?")))</f>
        <v/>
      </c>
      <c r="C799" s="8">
        <f>IF($F799=1,$R799,"")</f>
        <v/>
      </c>
      <c r="D799" s="7">
        <f>IF($A799="","",IF($F799=0,"Biçim hatalı",IF(FIND(MID($B799,11,1),"0123456789")-1=$R799,"Geçerli","Kontrol hanesi hatalı (doğrusu: "&amp;$R799&amp;")")))</f>
        <v/>
      </c>
      <c r="F799">
        <f>IF($A799="","",IF(AND(LEN($B799)=11,SUMPRODUCT(--ISNUMBER(FIND(MID($B799,{1,2,3},1),"ABCDEFGHIJKLMNOPQRSTUVWXYZ")))=3,ISNUMBER(FIND(MID($B799,4,1),"UJZ")),SUMPRODUCT(--ISNUMBER(FIND(MID($B799,{5,6,7,8,9,10,11},1),"0123456789")))=7),1,0))</f>
        <v/>
      </c>
      <c r="G799">
        <f>IF($F799=1,INDEX({10,12,13,14,15,16,17,18,19,20,21,23,24,25,26,27,28,29,30,31,32,34,35,36,37,38},1,FIND(MID($B799,1,1),"ABCDEFGHIJKLMNOPQRSTUVWXYZ")),"")</f>
        <v/>
      </c>
      <c r="H799">
        <f>IF($F799=1,INDEX({10,12,13,14,15,16,17,18,19,20,21,23,24,25,26,27,28,29,30,31,32,34,35,36,37,38},1,FIND(MID($B799,2,1),"ABCDEFGHIJKLMNOPQRSTUVWXYZ")),"")</f>
        <v/>
      </c>
      <c r="I799">
        <f>IF($F799=1,INDEX({10,12,13,14,15,16,17,18,19,20,21,23,24,25,26,27,28,29,30,31,32,34,35,36,37,38},1,FIND(MID($B799,3,1),"ABCDEFGHIJKLMNOPQRSTUVWXYZ")),"")</f>
        <v/>
      </c>
      <c r="J799">
        <f>IF($F799=1,INDEX({10,12,13,14,15,16,17,18,19,20,21,23,24,25,26,27,28,29,30,31,32,34,35,36,37,38},1,FIND(MID($B799,4,1),"ABCDEFGHIJKLMNOPQRSTUVWXYZ")),"")</f>
        <v/>
      </c>
      <c r="K799">
        <f>IF($F799=1,FIND(MID($B799,5,1),"0123456789")-1,"")</f>
        <v/>
      </c>
      <c r="L799">
        <f>IF($F799=1,FIND(MID($B799,6,1),"0123456789")-1,"")</f>
        <v/>
      </c>
      <c r="M799">
        <f>IF($F799=1,FIND(MID($B799,7,1),"0123456789")-1,"")</f>
        <v/>
      </c>
      <c r="N799">
        <f>IF($F799=1,FIND(MID($B799,8,1),"0123456789")-1,"")</f>
        <v/>
      </c>
      <c r="O799">
        <f>IF($F799=1,FIND(MID($B799,9,1),"0123456789")-1,"")</f>
        <v/>
      </c>
      <c r="P799">
        <f>IF($F799=1,FIND(MID($B799,10,1),"0123456789")-1,"")</f>
        <v/>
      </c>
      <c r="Q799">
        <f>IF($F799=1,SUMPRODUCT($G799:$P799,{1,2,4,8,16,32,64,128,256,512}),"")</f>
        <v/>
      </c>
      <c r="R799">
        <f>IF($F799=1,MOD(MOD($Q799,11),10),"")</f>
        <v/>
      </c>
    </row>
    <row r="800">
      <c r="A800" s="6" t="n"/>
      <c r="B800" s="7">
        <f>IF($A800="","",UPPER(SUBSTITUTE(SUBSTITUTE(SUBSTITUTE(SUBSTITUTE(SUBSTITUTE(SUBSTITUTE($A800," ",""),"-",""),".",""),"/",""),"i","I"),"ı","?")))</f>
        <v/>
      </c>
      <c r="C800" s="8">
        <f>IF($F800=1,$R800,"")</f>
        <v/>
      </c>
      <c r="D800" s="7">
        <f>IF($A800="","",IF($F800=0,"Biçim hatalı",IF(FIND(MID($B800,11,1),"0123456789")-1=$R800,"Geçerli","Kontrol hanesi hatalı (doğrusu: "&amp;$R800&amp;")")))</f>
        <v/>
      </c>
      <c r="F800">
        <f>IF($A800="","",IF(AND(LEN($B800)=11,SUMPRODUCT(--ISNUMBER(FIND(MID($B800,{1,2,3},1),"ABCDEFGHIJKLMNOPQRSTUVWXYZ")))=3,ISNUMBER(FIND(MID($B800,4,1),"UJZ")),SUMPRODUCT(--ISNUMBER(FIND(MID($B800,{5,6,7,8,9,10,11},1),"0123456789")))=7),1,0))</f>
        <v/>
      </c>
      <c r="G800">
        <f>IF($F800=1,INDEX({10,12,13,14,15,16,17,18,19,20,21,23,24,25,26,27,28,29,30,31,32,34,35,36,37,38},1,FIND(MID($B800,1,1),"ABCDEFGHIJKLMNOPQRSTUVWXYZ")),"")</f>
        <v/>
      </c>
      <c r="H800">
        <f>IF($F800=1,INDEX({10,12,13,14,15,16,17,18,19,20,21,23,24,25,26,27,28,29,30,31,32,34,35,36,37,38},1,FIND(MID($B800,2,1),"ABCDEFGHIJKLMNOPQRSTUVWXYZ")),"")</f>
        <v/>
      </c>
      <c r="I800">
        <f>IF($F800=1,INDEX({10,12,13,14,15,16,17,18,19,20,21,23,24,25,26,27,28,29,30,31,32,34,35,36,37,38},1,FIND(MID($B800,3,1),"ABCDEFGHIJKLMNOPQRSTUVWXYZ")),"")</f>
        <v/>
      </c>
      <c r="J800">
        <f>IF($F800=1,INDEX({10,12,13,14,15,16,17,18,19,20,21,23,24,25,26,27,28,29,30,31,32,34,35,36,37,38},1,FIND(MID($B800,4,1),"ABCDEFGHIJKLMNOPQRSTUVWXYZ")),"")</f>
        <v/>
      </c>
      <c r="K800">
        <f>IF($F800=1,FIND(MID($B800,5,1),"0123456789")-1,"")</f>
        <v/>
      </c>
      <c r="L800">
        <f>IF($F800=1,FIND(MID($B800,6,1),"0123456789")-1,"")</f>
        <v/>
      </c>
      <c r="M800">
        <f>IF($F800=1,FIND(MID($B800,7,1),"0123456789")-1,"")</f>
        <v/>
      </c>
      <c r="N800">
        <f>IF($F800=1,FIND(MID($B800,8,1),"0123456789")-1,"")</f>
        <v/>
      </c>
      <c r="O800">
        <f>IF($F800=1,FIND(MID($B800,9,1),"0123456789")-1,"")</f>
        <v/>
      </c>
      <c r="P800">
        <f>IF($F800=1,FIND(MID($B800,10,1),"0123456789")-1,"")</f>
        <v/>
      </c>
      <c r="Q800">
        <f>IF($F800=1,SUMPRODUCT($G800:$P800,{1,2,4,8,16,32,64,128,256,512}),"")</f>
        <v/>
      </c>
      <c r="R800">
        <f>IF($F800=1,MOD(MOD($Q800,11),10),"")</f>
        <v/>
      </c>
    </row>
    <row r="801">
      <c r="A801" s="6" t="n"/>
      <c r="B801" s="7">
        <f>IF($A801="","",UPPER(SUBSTITUTE(SUBSTITUTE(SUBSTITUTE(SUBSTITUTE(SUBSTITUTE(SUBSTITUTE($A801," ",""),"-",""),".",""),"/",""),"i","I"),"ı","?")))</f>
        <v/>
      </c>
      <c r="C801" s="8">
        <f>IF($F801=1,$R801,"")</f>
        <v/>
      </c>
      <c r="D801" s="7">
        <f>IF($A801="","",IF($F801=0,"Biçim hatalı",IF(FIND(MID($B801,11,1),"0123456789")-1=$R801,"Geçerli","Kontrol hanesi hatalı (doğrusu: "&amp;$R801&amp;")")))</f>
        <v/>
      </c>
      <c r="F801">
        <f>IF($A801="","",IF(AND(LEN($B801)=11,SUMPRODUCT(--ISNUMBER(FIND(MID($B801,{1,2,3},1),"ABCDEFGHIJKLMNOPQRSTUVWXYZ")))=3,ISNUMBER(FIND(MID($B801,4,1),"UJZ")),SUMPRODUCT(--ISNUMBER(FIND(MID($B801,{5,6,7,8,9,10,11},1),"0123456789")))=7),1,0))</f>
        <v/>
      </c>
      <c r="G801">
        <f>IF($F801=1,INDEX({10,12,13,14,15,16,17,18,19,20,21,23,24,25,26,27,28,29,30,31,32,34,35,36,37,38},1,FIND(MID($B801,1,1),"ABCDEFGHIJKLMNOPQRSTUVWXYZ")),"")</f>
        <v/>
      </c>
      <c r="H801">
        <f>IF($F801=1,INDEX({10,12,13,14,15,16,17,18,19,20,21,23,24,25,26,27,28,29,30,31,32,34,35,36,37,38},1,FIND(MID($B801,2,1),"ABCDEFGHIJKLMNOPQRSTUVWXYZ")),"")</f>
        <v/>
      </c>
      <c r="I801">
        <f>IF($F801=1,INDEX({10,12,13,14,15,16,17,18,19,20,21,23,24,25,26,27,28,29,30,31,32,34,35,36,37,38},1,FIND(MID($B801,3,1),"ABCDEFGHIJKLMNOPQRSTUVWXYZ")),"")</f>
        <v/>
      </c>
      <c r="J801">
        <f>IF($F801=1,INDEX({10,12,13,14,15,16,17,18,19,20,21,23,24,25,26,27,28,29,30,31,32,34,35,36,37,38},1,FIND(MID($B801,4,1),"ABCDEFGHIJKLMNOPQRSTUVWXYZ")),"")</f>
        <v/>
      </c>
      <c r="K801">
        <f>IF($F801=1,FIND(MID($B801,5,1),"0123456789")-1,"")</f>
        <v/>
      </c>
      <c r="L801">
        <f>IF($F801=1,FIND(MID($B801,6,1),"0123456789")-1,"")</f>
        <v/>
      </c>
      <c r="M801">
        <f>IF($F801=1,FIND(MID($B801,7,1),"0123456789")-1,"")</f>
        <v/>
      </c>
      <c r="N801">
        <f>IF($F801=1,FIND(MID($B801,8,1),"0123456789")-1,"")</f>
        <v/>
      </c>
      <c r="O801">
        <f>IF($F801=1,FIND(MID($B801,9,1),"0123456789")-1,"")</f>
        <v/>
      </c>
      <c r="P801">
        <f>IF($F801=1,FIND(MID($B801,10,1),"0123456789")-1,"")</f>
        <v/>
      </c>
      <c r="Q801">
        <f>IF($F801=1,SUMPRODUCT($G801:$P801,{1,2,4,8,16,32,64,128,256,512}),"")</f>
        <v/>
      </c>
      <c r="R801">
        <f>IF($F801=1,MOD(MOD($Q801,11),10),"")</f>
        <v/>
      </c>
    </row>
    <row r="802">
      <c r="A802" s="6" t="n"/>
      <c r="B802" s="7">
        <f>IF($A802="","",UPPER(SUBSTITUTE(SUBSTITUTE(SUBSTITUTE(SUBSTITUTE(SUBSTITUTE(SUBSTITUTE($A802," ",""),"-",""),".",""),"/",""),"i","I"),"ı","?")))</f>
        <v/>
      </c>
      <c r="C802" s="8">
        <f>IF($F802=1,$R802,"")</f>
        <v/>
      </c>
      <c r="D802" s="7">
        <f>IF($A802="","",IF($F802=0,"Biçim hatalı",IF(FIND(MID($B802,11,1),"0123456789")-1=$R802,"Geçerli","Kontrol hanesi hatalı (doğrusu: "&amp;$R802&amp;")")))</f>
        <v/>
      </c>
      <c r="F802">
        <f>IF($A802="","",IF(AND(LEN($B802)=11,SUMPRODUCT(--ISNUMBER(FIND(MID($B802,{1,2,3},1),"ABCDEFGHIJKLMNOPQRSTUVWXYZ")))=3,ISNUMBER(FIND(MID($B802,4,1),"UJZ")),SUMPRODUCT(--ISNUMBER(FIND(MID($B802,{5,6,7,8,9,10,11},1),"0123456789")))=7),1,0))</f>
        <v/>
      </c>
      <c r="G802">
        <f>IF($F802=1,INDEX({10,12,13,14,15,16,17,18,19,20,21,23,24,25,26,27,28,29,30,31,32,34,35,36,37,38},1,FIND(MID($B802,1,1),"ABCDEFGHIJKLMNOPQRSTUVWXYZ")),"")</f>
        <v/>
      </c>
      <c r="H802">
        <f>IF($F802=1,INDEX({10,12,13,14,15,16,17,18,19,20,21,23,24,25,26,27,28,29,30,31,32,34,35,36,37,38},1,FIND(MID($B802,2,1),"ABCDEFGHIJKLMNOPQRSTUVWXYZ")),"")</f>
        <v/>
      </c>
      <c r="I802">
        <f>IF($F802=1,INDEX({10,12,13,14,15,16,17,18,19,20,21,23,24,25,26,27,28,29,30,31,32,34,35,36,37,38},1,FIND(MID($B802,3,1),"ABCDEFGHIJKLMNOPQRSTUVWXYZ")),"")</f>
        <v/>
      </c>
      <c r="J802">
        <f>IF($F802=1,INDEX({10,12,13,14,15,16,17,18,19,20,21,23,24,25,26,27,28,29,30,31,32,34,35,36,37,38},1,FIND(MID($B802,4,1),"ABCDEFGHIJKLMNOPQRSTUVWXYZ")),"")</f>
        <v/>
      </c>
      <c r="K802">
        <f>IF($F802=1,FIND(MID($B802,5,1),"0123456789")-1,"")</f>
        <v/>
      </c>
      <c r="L802">
        <f>IF($F802=1,FIND(MID($B802,6,1),"0123456789")-1,"")</f>
        <v/>
      </c>
      <c r="M802">
        <f>IF($F802=1,FIND(MID($B802,7,1),"0123456789")-1,"")</f>
        <v/>
      </c>
      <c r="N802">
        <f>IF($F802=1,FIND(MID($B802,8,1),"0123456789")-1,"")</f>
        <v/>
      </c>
      <c r="O802">
        <f>IF($F802=1,FIND(MID($B802,9,1),"0123456789")-1,"")</f>
        <v/>
      </c>
      <c r="P802">
        <f>IF($F802=1,FIND(MID($B802,10,1),"0123456789")-1,"")</f>
        <v/>
      </c>
      <c r="Q802">
        <f>IF($F802=1,SUMPRODUCT($G802:$P802,{1,2,4,8,16,32,64,128,256,512}),"")</f>
        <v/>
      </c>
      <c r="R802">
        <f>IF($F802=1,MOD(MOD($Q802,11),10),"")</f>
        <v/>
      </c>
    </row>
    <row r="803">
      <c r="A803" s="6" t="n"/>
      <c r="B803" s="7">
        <f>IF($A803="","",UPPER(SUBSTITUTE(SUBSTITUTE(SUBSTITUTE(SUBSTITUTE(SUBSTITUTE(SUBSTITUTE($A803," ",""),"-",""),".",""),"/",""),"i","I"),"ı","?")))</f>
        <v/>
      </c>
      <c r="C803" s="8">
        <f>IF($F803=1,$R803,"")</f>
        <v/>
      </c>
      <c r="D803" s="7">
        <f>IF($A803="","",IF($F803=0,"Biçim hatalı",IF(FIND(MID($B803,11,1),"0123456789")-1=$R803,"Geçerli","Kontrol hanesi hatalı (doğrusu: "&amp;$R803&amp;")")))</f>
        <v/>
      </c>
      <c r="F803">
        <f>IF($A803="","",IF(AND(LEN($B803)=11,SUMPRODUCT(--ISNUMBER(FIND(MID($B803,{1,2,3},1),"ABCDEFGHIJKLMNOPQRSTUVWXYZ")))=3,ISNUMBER(FIND(MID($B803,4,1),"UJZ")),SUMPRODUCT(--ISNUMBER(FIND(MID($B803,{5,6,7,8,9,10,11},1),"0123456789")))=7),1,0))</f>
        <v/>
      </c>
      <c r="G803">
        <f>IF($F803=1,INDEX({10,12,13,14,15,16,17,18,19,20,21,23,24,25,26,27,28,29,30,31,32,34,35,36,37,38},1,FIND(MID($B803,1,1),"ABCDEFGHIJKLMNOPQRSTUVWXYZ")),"")</f>
        <v/>
      </c>
      <c r="H803">
        <f>IF($F803=1,INDEX({10,12,13,14,15,16,17,18,19,20,21,23,24,25,26,27,28,29,30,31,32,34,35,36,37,38},1,FIND(MID($B803,2,1),"ABCDEFGHIJKLMNOPQRSTUVWXYZ")),"")</f>
        <v/>
      </c>
      <c r="I803">
        <f>IF($F803=1,INDEX({10,12,13,14,15,16,17,18,19,20,21,23,24,25,26,27,28,29,30,31,32,34,35,36,37,38},1,FIND(MID($B803,3,1),"ABCDEFGHIJKLMNOPQRSTUVWXYZ")),"")</f>
        <v/>
      </c>
      <c r="J803">
        <f>IF($F803=1,INDEX({10,12,13,14,15,16,17,18,19,20,21,23,24,25,26,27,28,29,30,31,32,34,35,36,37,38},1,FIND(MID($B803,4,1),"ABCDEFGHIJKLMNOPQRSTUVWXYZ")),"")</f>
        <v/>
      </c>
      <c r="K803">
        <f>IF($F803=1,FIND(MID($B803,5,1),"0123456789")-1,"")</f>
        <v/>
      </c>
      <c r="L803">
        <f>IF($F803=1,FIND(MID($B803,6,1),"0123456789")-1,"")</f>
        <v/>
      </c>
      <c r="M803">
        <f>IF($F803=1,FIND(MID($B803,7,1),"0123456789")-1,"")</f>
        <v/>
      </c>
      <c r="N803">
        <f>IF($F803=1,FIND(MID($B803,8,1),"0123456789")-1,"")</f>
        <v/>
      </c>
      <c r="O803">
        <f>IF($F803=1,FIND(MID($B803,9,1),"0123456789")-1,"")</f>
        <v/>
      </c>
      <c r="P803">
        <f>IF($F803=1,FIND(MID($B803,10,1),"0123456789")-1,"")</f>
        <v/>
      </c>
      <c r="Q803">
        <f>IF($F803=1,SUMPRODUCT($G803:$P803,{1,2,4,8,16,32,64,128,256,512}),"")</f>
        <v/>
      </c>
      <c r="R803">
        <f>IF($F803=1,MOD(MOD($Q803,11),10),"")</f>
        <v/>
      </c>
    </row>
    <row r="804">
      <c r="A804" s="6" t="n"/>
      <c r="B804" s="7">
        <f>IF($A804="","",UPPER(SUBSTITUTE(SUBSTITUTE(SUBSTITUTE(SUBSTITUTE(SUBSTITUTE(SUBSTITUTE($A804," ",""),"-",""),".",""),"/",""),"i","I"),"ı","?")))</f>
        <v/>
      </c>
      <c r="C804" s="8">
        <f>IF($F804=1,$R804,"")</f>
        <v/>
      </c>
      <c r="D804" s="7">
        <f>IF($A804="","",IF($F804=0,"Biçim hatalı",IF(FIND(MID($B804,11,1),"0123456789")-1=$R804,"Geçerli","Kontrol hanesi hatalı (doğrusu: "&amp;$R804&amp;")")))</f>
        <v/>
      </c>
      <c r="F804">
        <f>IF($A804="","",IF(AND(LEN($B804)=11,SUMPRODUCT(--ISNUMBER(FIND(MID($B804,{1,2,3},1),"ABCDEFGHIJKLMNOPQRSTUVWXYZ")))=3,ISNUMBER(FIND(MID($B804,4,1),"UJZ")),SUMPRODUCT(--ISNUMBER(FIND(MID($B804,{5,6,7,8,9,10,11},1),"0123456789")))=7),1,0))</f>
        <v/>
      </c>
      <c r="G804">
        <f>IF($F804=1,INDEX({10,12,13,14,15,16,17,18,19,20,21,23,24,25,26,27,28,29,30,31,32,34,35,36,37,38},1,FIND(MID($B804,1,1),"ABCDEFGHIJKLMNOPQRSTUVWXYZ")),"")</f>
        <v/>
      </c>
      <c r="H804">
        <f>IF($F804=1,INDEX({10,12,13,14,15,16,17,18,19,20,21,23,24,25,26,27,28,29,30,31,32,34,35,36,37,38},1,FIND(MID($B804,2,1),"ABCDEFGHIJKLMNOPQRSTUVWXYZ")),"")</f>
        <v/>
      </c>
      <c r="I804">
        <f>IF($F804=1,INDEX({10,12,13,14,15,16,17,18,19,20,21,23,24,25,26,27,28,29,30,31,32,34,35,36,37,38},1,FIND(MID($B804,3,1),"ABCDEFGHIJKLMNOPQRSTUVWXYZ")),"")</f>
        <v/>
      </c>
      <c r="J804">
        <f>IF($F804=1,INDEX({10,12,13,14,15,16,17,18,19,20,21,23,24,25,26,27,28,29,30,31,32,34,35,36,37,38},1,FIND(MID($B804,4,1),"ABCDEFGHIJKLMNOPQRSTUVWXYZ")),"")</f>
        <v/>
      </c>
      <c r="K804">
        <f>IF($F804=1,FIND(MID($B804,5,1),"0123456789")-1,"")</f>
        <v/>
      </c>
      <c r="L804">
        <f>IF($F804=1,FIND(MID($B804,6,1),"0123456789")-1,"")</f>
        <v/>
      </c>
      <c r="M804">
        <f>IF($F804=1,FIND(MID($B804,7,1),"0123456789")-1,"")</f>
        <v/>
      </c>
      <c r="N804">
        <f>IF($F804=1,FIND(MID($B804,8,1),"0123456789")-1,"")</f>
        <v/>
      </c>
      <c r="O804">
        <f>IF($F804=1,FIND(MID($B804,9,1),"0123456789")-1,"")</f>
        <v/>
      </c>
      <c r="P804">
        <f>IF($F804=1,FIND(MID($B804,10,1),"0123456789")-1,"")</f>
        <v/>
      </c>
      <c r="Q804">
        <f>IF($F804=1,SUMPRODUCT($G804:$P804,{1,2,4,8,16,32,64,128,256,512}),"")</f>
        <v/>
      </c>
      <c r="R804">
        <f>IF($F804=1,MOD(MOD($Q804,11),10),"")</f>
        <v/>
      </c>
    </row>
    <row r="805">
      <c r="A805" s="6" t="n"/>
      <c r="B805" s="7">
        <f>IF($A805="","",UPPER(SUBSTITUTE(SUBSTITUTE(SUBSTITUTE(SUBSTITUTE(SUBSTITUTE(SUBSTITUTE($A805," ",""),"-",""),".",""),"/",""),"i","I"),"ı","?")))</f>
        <v/>
      </c>
      <c r="C805" s="8">
        <f>IF($F805=1,$R805,"")</f>
        <v/>
      </c>
      <c r="D805" s="7">
        <f>IF($A805="","",IF($F805=0,"Biçim hatalı",IF(FIND(MID($B805,11,1),"0123456789")-1=$R805,"Geçerli","Kontrol hanesi hatalı (doğrusu: "&amp;$R805&amp;")")))</f>
        <v/>
      </c>
      <c r="F805">
        <f>IF($A805="","",IF(AND(LEN($B805)=11,SUMPRODUCT(--ISNUMBER(FIND(MID($B805,{1,2,3},1),"ABCDEFGHIJKLMNOPQRSTUVWXYZ")))=3,ISNUMBER(FIND(MID($B805,4,1),"UJZ")),SUMPRODUCT(--ISNUMBER(FIND(MID($B805,{5,6,7,8,9,10,11},1),"0123456789")))=7),1,0))</f>
        <v/>
      </c>
      <c r="G805">
        <f>IF($F805=1,INDEX({10,12,13,14,15,16,17,18,19,20,21,23,24,25,26,27,28,29,30,31,32,34,35,36,37,38},1,FIND(MID($B805,1,1),"ABCDEFGHIJKLMNOPQRSTUVWXYZ")),"")</f>
        <v/>
      </c>
      <c r="H805">
        <f>IF($F805=1,INDEX({10,12,13,14,15,16,17,18,19,20,21,23,24,25,26,27,28,29,30,31,32,34,35,36,37,38},1,FIND(MID($B805,2,1),"ABCDEFGHIJKLMNOPQRSTUVWXYZ")),"")</f>
        <v/>
      </c>
      <c r="I805">
        <f>IF($F805=1,INDEX({10,12,13,14,15,16,17,18,19,20,21,23,24,25,26,27,28,29,30,31,32,34,35,36,37,38},1,FIND(MID($B805,3,1),"ABCDEFGHIJKLMNOPQRSTUVWXYZ")),"")</f>
        <v/>
      </c>
      <c r="J805">
        <f>IF($F805=1,INDEX({10,12,13,14,15,16,17,18,19,20,21,23,24,25,26,27,28,29,30,31,32,34,35,36,37,38},1,FIND(MID($B805,4,1),"ABCDEFGHIJKLMNOPQRSTUVWXYZ")),"")</f>
        <v/>
      </c>
      <c r="K805">
        <f>IF($F805=1,FIND(MID($B805,5,1),"0123456789")-1,"")</f>
        <v/>
      </c>
      <c r="L805">
        <f>IF($F805=1,FIND(MID($B805,6,1),"0123456789")-1,"")</f>
        <v/>
      </c>
      <c r="M805">
        <f>IF($F805=1,FIND(MID($B805,7,1),"0123456789")-1,"")</f>
        <v/>
      </c>
      <c r="N805">
        <f>IF($F805=1,FIND(MID($B805,8,1),"0123456789")-1,"")</f>
        <v/>
      </c>
      <c r="O805">
        <f>IF($F805=1,FIND(MID($B805,9,1),"0123456789")-1,"")</f>
        <v/>
      </c>
      <c r="P805">
        <f>IF($F805=1,FIND(MID($B805,10,1),"0123456789")-1,"")</f>
        <v/>
      </c>
      <c r="Q805">
        <f>IF($F805=1,SUMPRODUCT($G805:$P805,{1,2,4,8,16,32,64,128,256,512}),"")</f>
        <v/>
      </c>
      <c r="R805">
        <f>IF($F805=1,MOD(MOD($Q805,11),10),"")</f>
        <v/>
      </c>
    </row>
    <row r="806">
      <c r="A806" s="6" t="n"/>
      <c r="B806" s="7">
        <f>IF($A806="","",UPPER(SUBSTITUTE(SUBSTITUTE(SUBSTITUTE(SUBSTITUTE(SUBSTITUTE(SUBSTITUTE($A806," ",""),"-",""),".",""),"/",""),"i","I"),"ı","?")))</f>
        <v/>
      </c>
      <c r="C806" s="8">
        <f>IF($F806=1,$R806,"")</f>
        <v/>
      </c>
      <c r="D806" s="7">
        <f>IF($A806="","",IF($F806=0,"Biçim hatalı",IF(FIND(MID($B806,11,1),"0123456789")-1=$R806,"Geçerli","Kontrol hanesi hatalı (doğrusu: "&amp;$R806&amp;")")))</f>
        <v/>
      </c>
      <c r="F806">
        <f>IF($A806="","",IF(AND(LEN($B806)=11,SUMPRODUCT(--ISNUMBER(FIND(MID($B806,{1,2,3},1),"ABCDEFGHIJKLMNOPQRSTUVWXYZ")))=3,ISNUMBER(FIND(MID($B806,4,1),"UJZ")),SUMPRODUCT(--ISNUMBER(FIND(MID($B806,{5,6,7,8,9,10,11},1),"0123456789")))=7),1,0))</f>
        <v/>
      </c>
      <c r="G806">
        <f>IF($F806=1,INDEX({10,12,13,14,15,16,17,18,19,20,21,23,24,25,26,27,28,29,30,31,32,34,35,36,37,38},1,FIND(MID($B806,1,1),"ABCDEFGHIJKLMNOPQRSTUVWXYZ")),"")</f>
        <v/>
      </c>
      <c r="H806">
        <f>IF($F806=1,INDEX({10,12,13,14,15,16,17,18,19,20,21,23,24,25,26,27,28,29,30,31,32,34,35,36,37,38},1,FIND(MID($B806,2,1),"ABCDEFGHIJKLMNOPQRSTUVWXYZ")),"")</f>
        <v/>
      </c>
      <c r="I806">
        <f>IF($F806=1,INDEX({10,12,13,14,15,16,17,18,19,20,21,23,24,25,26,27,28,29,30,31,32,34,35,36,37,38},1,FIND(MID($B806,3,1),"ABCDEFGHIJKLMNOPQRSTUVWXYZ")),"")</f>
        <v/>
      </c>
      <c r="J806">
        <f>IF($F806=1,INDEX({10,12,13,14,15,16,17,18,19,20,21,23,24,25,26,27,28,29,30,31,32,34,35,36,37,38},1,FIND(MID($B806,4,1),"ABCDEFGHIJKLMNOPQRSTUVWXYZ")),"")</f>
        <v/>
      </c>
      <c r="K806">
        <f>IF($F806=1,FIND(MID($B806,5,1),"0123456789")-1,"")</f>
        <v/>
      </c>
      <c r="L806">
        <f>IF($F806=1,FIND(MID($B806,6,1),"0123456789")-1,"")</f>
        <v/>
      </c>
      <c r="M806">
        <f>IF($F806=1,FIND(MID($B806,7,1),"0123456789")-1,"")</f>
        <v/>
      </c>
      <c r="N806">
        <f>IF($F806=1,FIND(MID($B806,8,1),"0123456789")-1,"")</f>
        <v/>
      </c>
      <c r="O806">
        <f>IF($F806=1,FIND(MID($B806,9,1),"0123456789")-1,"")</f>
        <v/>
      </c>
      <c r="P806">
        <f>IF($F806=1,FIND(MID($B806,10,1),"0123456789")-1,"")</f>
        <v/>
      </c>
      <c r="Q806">
        <f>IF($F806=1,SUMPRODUCT($G806:$P806,{1,2,4,8,16,32,64,128,256,512}),"")</f>
        <v/>
      </c>
      <c r="R806">
        <f>IF($F806=1,MOD(MOD($Q806,11),10),"")</f>
        <v/>
      </c>
    </row>
    <row r="807">
      <c r="A807" s="6" t="n"/>
      <c r="B807" s="7">
        <f>IF($A807="","",UPPER(SUBSTITUTE(SUBSTITUTE(SUBSTITUTE(SUBSTITUTE(SUBSTITUTE(SUBSTITUTE($A807," ",""),"-",""),".",""),"/",""),"i","I"),"ı","?")))</f>
        <v/>
      </c>
      <c r="C807" s="8">
        <f>IF($F807=1,$R807,"")</f>
        <v/>
      </c>
      <c r="D807" s="7">
        <f>IF($A807="","",IF($F807=0,"Biçim hatalı",IF(FIND(MID($B807,11,1),"0123456789")-1=$R807,"Geçerli","Kontrol hanesi hatalı (doğrusu: "&amp;$R807&amp;")")))</f>
        <v/>
      </c>
      <c r="F807">
        <f>IF($A807="","",IF(AND(LEN($B807)=11,SUMPRODUCT(--ISNUMBER(FIND(MID($B807,{1,2,3},1),"ABCDEFGHIJKLMNOPQRSTUVWXYZ")))=3,ISNUMBER(FIND(MID($B807,4,1),"UJZ")),SUMPRODUCT(--ISNUMBER(FIND(MID($B807,{5,6,7,8,9,10,11},1),"0123456789")))=7),1,0))</f>
        <v/>
      </c>
      <c r="G807">
        <f>IF($F807=1,INDEX({10,12,13,14,15,16,17,18,19,20,21,23,24,25,26,27,28,29,30,31,32,34,35,36,37,38},1,FIND(MID($B807,1,1),"ABCDEFGHIJKLMNOPQRSTUVWXYZ")),"")</f>
        <v/>
      </c>
      <c r="H807">
        <f>IF($F807=1,INDEX({10,12,13,14,15,16,17,18,19,20,21,23,24,25,26,27,28,29,30,31,32,34,35,36,37,38},1,FIND(MID($B807,2,1),"ABCDEFGHIJKLMNOPQRSTUVWXYZ")),"")</f>
        <v/>
      </c>
      <c r="I807">
        <f>IF($F807=1,INDEX({10,12,13,14,15,16,17,18,19,20,21,23,24,25,26,27,28,29,30,31,32,34,35,36,37,38},1,FIND(MID($B807,3,1),"ABCDEFGHIJKLMNOPQRSTUVWXYZ")),"")</f>
        <v/>
      </c>
      <c r="J807">
        <f>IF($F807=1,INDEX({10,12,13,14,15,16,17,18,19,20,21,23,24,25,26,27,28,29,30,31,32,34,35,36,37,38},1,FIND(MID($B807,4,1),"ABCDEFGHIJKLMNOPQRSTUVWXYZ")),"")</f>
        <v/>
      </c>
      <c r="K807">
        <f>IF($F807=1,FIND(MID($B807,5,1),"0123456789")-1,"")</f>
        <v/>
      </c>
      <c r="L807">
        <f>IF($F807=1,FIND(MID($B807,6,1),"0123456789")-1,"")</f>
        <v/>
      </c>
      <c r="M807">
        <f>IF($F807=1,FIND(MID($B807,7,1),"0123456789")-1,"")</f>
        <v/>
      </c>
      <c r="N807">
        <f>IF($F807=1,FIND(MID($B807,8,1),"0123456789")-1,"")</f>
        <v/>
      </c>
      <c r="O807">
        <f>IF($F807=1,FIND(MID($B807,9,1),"0123456789")-1,"")</f>
        <v/>
      </c>
      <c r="P807">
        <f>IF($F807=1,FIND(MID($B807,10,1),"0123456789")-1,"")</f>
        <v/>
      </c>
      <c r="Q807">
        <f>IF($F807=1,SUMPRODUCT($G807:$P807,{1,2,4,8,16,32,64,128,256,512}),"")</f>
        <v/>
      </c>
      <c r="R807">
        <f>IF($F807=1,MOD(MOD($Q807,11),10),"")</f>
        <v/>
      </c>
    </row>
    <row r="808">
      <c r="A808" s="6" t="n"/>
      <c r="B808" s="7">
        <f>IF($A808="","",UPPER(SUBSTITUTE(SUBSTITUTE(SUBSTITUTE(SUBSTITUTE(SUBSTITUTE(SUBSTITUTE($A808," ",""),"-",""),".",""),"/",""),"i","I"),"ı","?")))</f>
        <v/>
      </c>
      <c r="C808" s="8">
        <f>IF($F808=1,$R808,"")</f>
        <v/>
      </c>
      <c r="D808" s="7">
        <f>IF($A808="","",IF($F808=0,"Biçim hatalı",IF(FIND(MID($B808,11,1),"0123456789")-1=$R808,"Geçerli","Kontrol hanesi hatalı (doğrusu: "&amp;$R808&amp;")")))</f>
        <v/>
      </c>
      <c r="F808">
        <f>IF($A808="","",IF(AND(LEN($B808)=11,SUMPRODUCT(--ISNUMBER(FIND(MID($B808,{1,2,3},1),"ABCDEFGHIJKLMNOPQRSTUVWXYZ")))=3,ISNUMBER(FIND(MID($B808,4,1),"UJZ")),SUMPRODUCT(--ISNUMBER(FIND(MID($B808,{5,6,7,8,9,10,11},1),"0123456789")))=7),1,0))</f>
        <v/>
      </c>
      <c r="G808">
        <f>IF($F808=1,INDEX({10,12,13,14,15,16,17,18,19,20,21,23,24,25,26,27,28,29,30,31,32,34,35,36,37,38},1,FIND(MID($B808,1,1),"ABCDEFGHIJKLMNOPQRSTUVWXYZ")),"")</f>
        <v/>
      </c>
      <c r="H808">
        <f>IF($F808=1,INDEX({10,12,13,14,15,16,17,18,19,20,21,23,24,25,26,27,28,29,30,31,32,34,35,36,37,38},1,FIND(MID($B808,2,1),"ABCDEFGHIJKLMNOPQRSTUVWXYZ")),"")</f>
        <v/>
      </c>
      <c r="I808">
        <f>IF($F808=1,INDEX({10,12,13,14,15,16,17,18,19,20,21,23,24,25,26,27,28,29,30,31,32,34,35,36,37,38},1,FIND(MID($B808,3,1),"ABCDEFGHIJKLMNOPQRSTUVWXYZ")),"")</f>
        <v/>
      </c>
      <c r="J808">
        <f>IF($F808=1,INDEX({10,12,13,14,15,16,17,18,19,20,21,23,24,25,26,27,28,29,30,31,32,34,35,36,37,38},1,FIND(MID($B808,4,1),"ABCDEFGHIJKLMNOPQRSTUVWXYZ")),"")</f>
        <v/>
      </c>
      <c r="K808">
        <f>IF($F808=1,FIND(MID($B808,5,1),"0123456789")-1,"")</f>
        <v/>
      </c>
      <c r="L808">
        <f>IF($F808=1,FIND(MID($B808,6,1),"0123456789")-1,"")</f>
        <v/>
      </c>
      <c r="M808">
        <f>IF($F808=1,FIND(MID($B808,7,1),"0123456789")-1,"")</f>
        <v/>
      </c>
      <c r="N808">
        <f>IF($F808=1,FIND(MID($B808,8,1),"0123456789")-1,"")</f>
        <v/>
      </c>
      <c r="O808">
        <f>IF($F808=1,FIND(MID($B808,9,1),"0123456789")-1,"")</f>
        <v/>
      </c>
      <c r="P808">
        <f>IF($F808=1,FIND(MID($B808,10,1),"0123456789")-1,"")</f>
        <v/>
      </c>
      <c r="Q808">
        <f>IF($F808=1,SUMPRODUCT($G808:$P808,{1,2,4,8,16,32,64,128,256,512}),"")</f>
        <v/>
      </c>
      <c r="R808">
        <f>IF($F808=1,MOD(MOD($Q808,11),10),"")</f>
        <v/>
      </c>
    </row>
    <row r="809">
      <c r="A809" s="6" t="n"/>
      <c r="B809" s="7">
        <f>IF($A809="","",UPPER(SUBSTITUTE(SUBSTITUTE(SUBSTITUTE(SUBSTITUTE(SUBSTITUTE(SUBSTITUTE($A809," ",""),"-",""),".",""),"/",""),"i","I"),"ı","?")))</f>
        <v/>
      </c>
      <c r="C809" s="8">
        <f>IF($F809=1,$R809,"")</f>
        <v/>
      </c>
      <c r="D809" s="7">
        <f>IF($A809="","",IF($F809=0,"Biçim hatalı",IF(FIND(MID($B809,11,1),"0123456789")-1=$R809,"Geçerli","Kontrol hanesi hatalı (doğrusu: "&amp;$R809&amp;")")))</f>
        <v/>
      </c>
      <c r="F809">
        <f>IF($A809="","",IF(AND(LEN($B809)=11,SUMPRODUCT(--ISNUMBER(FIND(MID($B809,{1,2,3},1),"ABCDEFGHIJKLMNOPQRSTUVWXYZ")))=3,ISNUMBER(FIND(MID($B809,4,1),"UJZ")),SUMPRODUCT(--ISNUMBER(FIND(MID($B809,{5,6,7,8,9,10,11},1),"0123456789")))=7),1,0))</f>
        <v/>
      </c>
      <c r="G809">
        <f>IF($F809=1,INDEX({10,12,13,14,15,16,17,18,19,20,21,23,24,25,26,27,28,29,30,31,32,34,35,36,37,38},1,FIND(MID($B809,1,1),"ABCDEFGHIJKLMNOPQRSTUVWXYZ")),"")</f>
        <v/>
      </c>
      <c r="H809">
        <f>IF($F809=1,INDEX({10,12,13,14,15,16,17,18,19,20,21,23,24,25,26,27,28,29,30,31,32,34,35,36,37,38},1,FIND(MID($B809,2,1),"ABCDEFGHIJKLMNOPQRSTUVWXYZ")),"")</f>
        <v/>
      </c>
      <c r="I809">
        <f>IF($F809=1,INDEX({10,12,13,14,15,16,17,18,19,20,21,23,24,25,26,27,28,29,30,31,32,34,35,36,37,38},1,FIND(MID($B809,3,1),"ABCDEFGHIJKLMNOPQRSTUVWXYZ")),"")</f>
        <v/>
      </c>
      <c r="J809">
        <f>IF($F809=1,INDEX({10,12,13,14,15,16,17,18,19,20,21,23,24,25,26,27,28,29,30,31,32,34,35,36,37,38},1,FIND(MID($B809,4,1),"ABCDEFGHIJKLMNOPQRSTUVWXYZ")),"")</f>
        <v/>
      </c>
      <c r="K809">
        <f>IF($F809=1,FIND(MID($B809,5,1),"0123456789")-1,"")</f>
        <v/>
      </c>
      <c r="L809">
        <f>IF($F809=1,FIND(MID($B809,6,1),"0123456789")-1,"")</f>
        <v/>
      </c>
      <c r="M809">
        <f>IF($F809=1,FIND(MID($B809,7,1),"0123456789")-1,"")</f>
        <v/>
      </c>
      <c r="N809">
        <f>IF($F809=1,FIND(MID($B809,8,1),"0123456789")-1,"")</f>
        <v/>
      </c>
      <c r="O809">
        <f>IF($F809=1,FIND(MID($B809,9,1),"0123456789")-1,"")</f>
        <v/>
      </c>
      <c r="P809">
        <f>IF($F809=1,FIND(MID($B809,10,1),"0123456789")-1,"")</f>
        <v/>
      </c>
      <c r="Q809">
        <f>IF($F809=1,SUMPRODUCT($G809:$P809,{1,2,4,8,16,32,64,128,256,512}),"")</f>
        <v/>
      </c>
      <c r="R809">
        <f>IF($F809=1,MOD(MOD($Q809,11),10),"")</f>
        <v/>
      </c>
    </row>
    <row r="810">
      <c r="A810" s="6" t="n"/>
      <c r="B810" s="7">
        <f>IF($A810="","",UPPER(SUBSTITUTE(SUBSTITUTE(SUBSTITUTE(SUBSTITUTE(SUBSTITUTE(SUBSTITUTE($A810," ",""),"-",""),".",""),"/",""),"i","I"),"ı","?")))</f>
        <v/>
      </c>
      <c r="C810" s="8">
        <f>IF($F810=1,$R810,"")</f>
        <v/>
      </c>
      <c r="D810" s="7">
        <f>IF($A810="","",IF($F810=0,"Biçim hatalı",IF(FIND(MID($B810,11,1),"0123456789")-1=$R810,"Geçerli","Kontrol hanesi hatalı (doğrusu: "&amp;$R810&amp;")")))</f>
        <v/>
      </c>
      <c r="F810">
        <f>IF($A810="","",IF(AND(LEN($B810)=11,SUMPRODUCT(--ISNUMBER(FIND(MID($B810,{1,2,3},1),"ABCDEFGHIJKLMNOPQRSTUVWXYZ")))=3,ISNUMBER(FIND(MID($B810,4,1),"UJZ")),SUMPRODUCT(--ISNUMBER(FIND(MID($B810,{5,6,7,8,9,10,11},1),"0123456789")))=7),1,0))</f>
        <v/>
      </c>
      <c r="G810">
        <f>IF($F810=1,INDEX({10,12,13,14,15,16,17,18,19,20,21,23,24,25,26,27,28,29,30,31,32,34,35,36,37,38},1,FIND(MID($B810,1,1),"ABCDEFGHIJKLMNOPQRSTUVWXYZ")),"")</f>
        <v/>
      </c>
      <c r="H810">
        <f>IF($F810=1,INDEX({10,12,13,14,15,16,17,18,19,20,21,23,24,25,26,27,28,29,30,31,32,34,35,36,37,38},1,FIND(MID($B810,2,1),"ABCDEFGHIJKLMNOPQRSTUVWXYZ")),"")</f>
        <v/>
      </c>
      <c r="I810">
        <f>IF($F810=1,INDEX({10,12,13,14,15,16,17,18,19,20,21,23,24,25,26,27,28,29,30,31,32,34,35,36,37,38},1,FIND(MID($B810,3,1),"ABCDEFGHIJKLMNOPQRSTUVWXYZ")),"")</f>
        <v/>
      </c>
      <c r="J810">
        <f>IF($F810=1,INDEX({10,12,13,14,15,16,17,18,19,20,21,23,24,25,26,27,28,29,30,31,32,34,35,36,37,38},1,FIND(MID($B810,4,1),"ABCDEFGHIJKLMNOPQRSTUVWXYZ")),"")</f>
        <v/>
      </c>
      <c r="K810">
        <f>IF($F810=1,FIND(MID($B810,5,1),"0123456789")-1,"")</f>
        <v/>
      </c>
      <c r="L810">
        <f>IF($F810=1,FIND(MID($B810,6,1),"0123456789")-1,"")</f>
        <v/>
      </c>
      <c r="M810">
        <f>IF($F810=1,FIND(MID($B810,7,1),"0123456789")-1,"")</f>
        <v/>
      </c>
      <c r="N810">
        <f>IF($F810=1,FIND(MID($B810,8,1),"0123456789")-1,"")</f>
        <v/>
      </c>
      <c r="O810">
        <f>IF($F810=1,FIND(MID($B810,9,1),"0123456789")-1,"")</f>
        <v/>
      </c>
      <c r="P810">
        <f>IF($F810=1,FIND(MID($B810,10,1),"0123456789")-1,"")</f>
        <v/>
      </c>
      <c r="Q810">
        <f>IF($F810=1,SUMPRODUCT($G810:$P810,{1,2,4,8,16,32,64,128,256,512}),"")</f>
        <v/>
      </c>
      <c r="R810">
        <f>IF($F810=1,MOD(MOD($Q810,11),10),"")</f>
        <v/>
      </c>
    </row>
    <row r="811">
      <c r="A811" s="6" t="n"/>
      <c r="B811" s="7">
        <f>IF($A811="","",UPPER(SUBSTITUTE(SUBSTITUTE(SUBSTITUTE(SUBSTITUTE(SUBSTITUTE(SUBSTITUTE($A811," ",""),"-",""),".",""),"/",""),"i","I"),"ı","?")))</f>
        <v/>
      </c>
      <c r="C811" s="8">
        <f>IF($F811=1,$R811,"")</f>
        <v/>
      </c>
      <c r="D811" s="7">
        <f>IF($A811="","",IF($F811=0,"Biçim hatalı",IF(FIND(MID($B811,11,1),"0123456789")-1=$R811,"Geçerli","Kontrol hanesi hatalı (doğrusu: "&amp;$R811&amp;")")))</f>
        <v/>
      </c>
      <c r="F811">
        <f>IF($A811="","",IF(AND(LEN($B811)=11,SUMPRODUCT(--ISNUMBER(FIND(MID($B811,{1,2,3},1),"ABCDEFGHIJKLMNOPQRSTUVWXYZ")))=3,ISNUMBER(FIND(MID($B811,4,1),"UJZ")),SUMPRODUCT(--ISNUMBER(FIND(MID($B811,{5,6,7,8,9,10,11},1),"0123456789")))=7),1,0))</f>
        <v/>
      </c>
      <c r="G811">
        <f>IF($F811=1,INDEX({10,12,13,14,15,16,17,18,19,20,21,23,24,25,26,27,28,29,30,31,32,34,35,36,37,38},1,FIND(MID($B811,1,1),"ABCDEFGHIJKLMNOPQRSTUVWXYZ")),"")</f>
        <v/>
      </c>
      <c r="H811">
        <f>IF($F811=1,INDEX({10,12,13,14,15,16,17,18,19,20,21,23,24,25,26,27,28,29,30,31,32,34,35,36,37,38},1,FIND(MID($B811,2,1),"ABCDEFGHIJKLMNOPQRSTUVWXYZ")),"")</f>
        <v/>
      </c>
      <c r="I811">
        <f>IF($F811=1,INDEX({10,12,13,14,15,16,17,18,19,20,21,23,24,25,26,27,28,29,30,31,32,34,35,36,37,38},1,FIND(MID($B811,3,1),"ABCDEFGHIJKLMNOPQRSTUVWXYZ")),"")</f>
        <v/>
      </c>
      <c r="J811">
        <f>IF($F811=1,INDEX({10,12,13,14,15,16,17,18,19,20,21,23,24,25,26,27,28,29,30,31,32,34,35,36,37,38},1,FIND(MID($B811,4,1),"ABCDEFGHIJKLMNOPQRSTUVWXYZ")),"")</f>
        <v/>
      </c>
      <c r="K811">
        <f>IF($F811=1,FIND(MID($B811,5,1),"0123456789")-1,"")</f>
        <v/>
      </c>
      <c r="L811">
        <f>IF($F811=1,FIND(MID($B811,6,1),"0123456789")-1,"")</f>
        <v/>
      </c>
      <c r="M811">
        <f>IF($F811=1,FIND(MID($B811,7,1),"0123456789")-1,"")</f>
        <v/>
      </c>
      <c r="N811">
        <f>IF($F811=1,FIND(MID($B811,8,1),"0123456789")-1,"")</f>
        <v/>
      </c>
      <c r="O811">
        <f>IF($F811=1,FIND(MID($B811,9,1),"0123456789")-1,"")</f>
        <v/>
      </c>
      <c r="P811">
        <f>IF($F811=1,FIND(MID($B811,10,1),"0123456789")-1,"")</f>
        <v/>
      </c>
      <c r="Q811">
        <f>IF($F811=1,SUMPRODUCT($G811:$P811,{1,2,4,8,16,32,64,128,256,512}),"")</f>
        <v/>
      </c>
      <c r="R811">
        <f>IF($F811=1,MOD(MOD($Q811,11),10),"")</f>
        <v/>
      </c>
    </row>
    <row r="812">
      <c r="A812" s="6" t="n"/>
      <c r="B812" s="7">
        <f>IF($A812="","",UPPER(SUBSTITUTE(SUBSTITUTE(SUBSTITUTE(SUBSTITUTE(SUBSTITUTE(SUBSTITUTE($A812," ",""),"-",""),".",""),"/",""),"i","I"),"ı","?")))</f>
        <v/>
      </c>
      <c r="C812" s="8">
        <f>IF($F812=1,$R812,"")</f>
        <v/>
      </c>
      <c r="D812" s="7">
        <f>IF($A812="","",IF($F812=0,"Biçim hatalı",IF(FIND(MID($B812,11,1),"0123456789")-1=$R812,"Geçerli","Kontrol hanesi hatalı (doğrusu: "&amp;$R812&amp;")")))</f>
        <v/>
      </c>
      <c r="F812">
        <f>IF($A812="","",IF(AND(LEN($B812)=11,SUMPRODUCT(--ISNUMBER(FIND(MID($B812,{1,2,3},1),"ABCDEFGHIJKLMNOPQRSTUVWXYZ")))=3,ISNUMBER(FIND(MID($B812,4,1),"UJZ")),SUMPRODUCT(--ISNUMBER(FIND(MID($B812,{5,6,7,8,9,10,11},1),"0123456789")))=7),1,0))</f>
        <v/>
      </c>
      <c r="G812">
        <f>IF($F812=1,INDEX({10,12,13,14,15,16,17,18,19,20,21,23,24,25,26,27,28,29,30,31,32,34,35,36,37,38},1,FIND(MID($B812,1,1),"ABCDEFGHIJKLMNOPQRSTUVWXYZ")),"")</f>
        <v/>
      </c>
      <c r="H812">
        <f>IF($F812=1,INDEX({10,12,13,14,15,16,17,18,19,20,21,23,24,25,26,27,28,29,30,31,32,34,35,36,37,38},1,FIND(MID($B812,2,1),"ABCDEFGHIJKLMNOPQRSTUVWXYZ")),"")</f>
        <v/>
      </c>
      <c r="I812">
        <f>IF($F812=1,INDEX({10,12,13,14,15,16,17,18,19,20,21,23,24,25,26,27,28,29,30,31,32,34,35,36,37,38},1,FIND(MID($B812,3,1),"ABCDEFGHIJKLMNOPQRSTUVWXYZ")),"")</f>
        <v/>
      </c>
      <c r="J812">
        <f>IF($F812=1,INDEX({10,12,13,14,15,16,17,18,19,20,21,23,24,25,26,27,28,29,30,31,32,34,35,36,37,38},1,FIND(MID($B812,4,1),"ABCDEFGHIJKLMNOPQRSTUVWXYZ")),"")</f>
        <v/>
      </c>
      <c r="K812">
        <f>IF($F812=1,FIND(MID($B812,5,1),"0123456789")-1,"")</f>
        <v/>
      </c>
      <c r="L812">
        <f>IF($F812=1,FIND(MID($B812,6,1),"0123456789")-1,"")</f>
        <v/>
      </c>
      <c r="M812">
        <f>IF($F812=1,FIND(MID($B812,7,1),"0123456789")-1,"")</f>
        <v/>
      </c>
      <c r="N812">
        <f>IF($F812=1,FIND(MID($B812,8,1),"0123456789")-1,"")</f>
        <v/>
      </c>
      <c r="O812">
        <f>IF($F812=1,FIND(MID($B812,9,1),"0123456789")-1,"")</f>
        <v/>
      </c>
      <c r="P812">
        <f>IF($F812=1,FIND(MID($B812,10,1),"0123456789")-1,"")</f>
        <v/>
      </c>
      <c r="Q812">
        <f>IF($F812=1,SUMPRODUCT($G812:$P812,{1,2,4,8,16,32,64,128,256,512}),"")</f>
        <v/>
      </c>
      <c r="R812">
        <f>IF($F812=1,MOD(MOD($Q812,11),10),"")</f>
        <v/>
      </c>
    </row>
    <row r="813">
      <c r="A813" s="6" t="n"/>
      <c r="B813" s="7">
        <f>IF($A813="","",UPPER(SUBSTITUTE(SUBSTITUTE(SUBSTITUTE(SUBSTITUTE(SUBSTITUTE(SUBSTITUTE($A813," ",""),"-",""),".",""),"/",""),"i","I"),"ı","?")))</f>
        <v/>
      </c>
      <c r="C813" s="8">
        <f>IF($F813=1,$R813,"")</f>
        <v/>
      </c>
      <c r="D813" s="7">
        <f>IF($A813="","",IF($F813=0,"Biçim hatalı",IF(FIND(MID($B813,11,1),"0123456789")-1=$R813,"Geçerli","Kontrol hanesi hatalı (doğrusu: "&amp;$R813&amp;")")))</f>
        <v/>
      </c>
      <c r="F813">
        <f>IF($A813="","",IF(AND(LEN($B813)=11,SUMPRODUCT(--ISNUMBER(FIND(MID($B813,{1,2,3},1),"ABCDEFGHIJKLMNOPQRSTUVWXYZ")))=3,ISNUMBER(FIND(MID($B813,4,1),"UJZ")),SUMPRODUCT(--ISNUMBER(FIND(MID($B813,{5,6,7,8,9,10,11},1),"0123456789")))=7),1,0))</f>
        <v/>
      </c>
      <c r="G813">
        <f>IF($F813=1,INDEX({10,12,13,14,15,16,17,18,19,20,21,23,24,25,26,27,28,29,30,31,32,34,35,36,37,38},1,FIND(MID($B813,1,1),"ABCDEFGHIJKLMNOPQRSTUVWXYZ")),"")</f>
        <v/>
      </c>
      <c r="H813">
        <f>IF($F813=1,INDEX({10,12,13,14,15,16,17,18,19,20,21,23,24,25,26,27,28,29,30,31,32,34,35,36,37,38},1,FIND(MID($B813,2,1),"ABCDEFGHIJKLMNOPQRSTUVWXYZ")),"")</f>
        <v/>
      </c>
      <c r="I813">
        <f>IF($F813=1,INDEX({10,12,13,14,15,16,17,18,19,20,21,23,24,25,26,27,28,29,30,31,32,34,35,36,37,38},1,FIND(MID($B813,3,1),"ABCDEFGHIJKLMNOPQRSTUVWXYZ")),"")</f>
        <v/>
      </c>
      <c r="J813">
        <f>IF($F813=1,INDEX({10,12,13,14,15,16,17,18,19,20,21,23,24,25,26,27,28,29,30,31,32,34,35,36,37,38},1,FIND(MID($B813,4,1),"ABCDEFGHIJKLMNOPQRSTUVWXYZ")),"")</f>
        <v/>
      </c>
      <c r="K813">
        <f>IF($F813=1,FIND(MID($B813,5,1),"0123456789")-1,"")</f>
        <v/>
      </c>
      <c r="L813">
        <f>IF($F813=1,FIND(MID($B813,6,1),"0123456789")-1,"")</f>
        <v/>
      </c>
      <c r="M813">
        <f>IF($F813=1,FIND(MID($B813,7,1),"0123456789")-1,"")</f>
        <v/>
      </c>
      <c r="N813">
        <f>IF($F813=1,FIND(MID($B813,8,1),"0123456789")-1,"")</f>
        <v/>
      </c>
      <c r="O813">
        <f>IF($F813=1,FIND(MID($B813,9,1),"0123456789")-1,"")</f>
        <v/>
      </c>
      <c r="P813">
        <f>IF($F813=1,FIND(MID($B813,10,1),"0123456789")-1,"")</f>
        <v/>
      </c>
      <c r="Q813">
        <f>IF($F813=1,SUMPRODUCT($G813:$P813,{1,2,4,8,16,32,64,128,256,512}),"")</f>
        <v/>
      </c>
      <c r="R813">
        <f>IF($F813=1,MOD(MOD($Q813,11),10),"")</f>
        <v/>
      </c>
    </row>
    <row r="814">
      <c r="A814" s="6" t="n"/>
      <c r="B814" s="7">
        <f>IF($A814="","",UPPER(SUBSTITUTE(SUBSTITUTE(SUBSTITUTE(SUBSTITUTE(SUBSTITUTE(SUBSTITUTE($A814," ",""),"-",""),".",""),"/",""),"i","I"),"ı","?")))</f>
        <v/>
      </c>
      <c r="C814" s="8">
        <f>IF($F814=1,$R814,"")</f>
        <v/>
      </c>
      <c r="D814" s="7">
        <f>IF($A814="","",IF($F814=0,"Biçim hatalı",IF(FIND(MID($B814,11,1),"0123456789")-1=$R814,"Geçerli","Kontrol hanesi hatalı (doğrusu: "&amp;$R814&amp;")")))</f>
        <v/>
      </c>
      <c r="F814">
        <f>IF($A814="","",IF(AND(LEN($B814)=11,SUMPRODUCT(--ISNUMBER(FIND(MID($B814,{1,2,3},1),"ABCDEFGHIJKLMNOPQRSTUVWXYZ")))=3,ISNUMBER(FIND(MID($B814,4,1),"UJZ")),SUMPRODUCT(--ISNUMBER(FIND(MID($B814,{5,6,7,8,9,10,11},1),"0123456789")))=7),1,0))</f>
        <v/>
      </c>
      <c r="G814">
        <f>IF($F814=1,INDEX({10,12,13,14,15,16,17,18,19,20,21,23,24,25,26,27,28,29,30,31,32,34,35,36,37,38},1,FIND(MID($B814,1,1),"ABCDEFGHIJKLMNOPQRSTUVWXYZ")),"")</f>
        <v/>
      </c>
      <c r="H814">
        <f>IF($F814=1,INDEX({10,12,13,14,15,16,17,18,19,20,21,23,24,25,26,27,28,29,30,31,32,34,35,36,37,38},1,FIND(MID($B814,2,1),"ABCDEFGHIJKLMNOPQRSTUVWXYZ")),"")</f>
        <v/>
      </c>
      <c r="I814">
        <f>IF($F814=1,INDEX({10,12,13,14,15,16,17,18,19,20,21,23,24,25,26,27,28,29,30,31,32,34,35,36,37,38},1,FIND(MID($B814,3,1),"ABCDEFGHIJKLMNOPQRSTUVWXYZ")),"")</f>
        <v/>
      </c>
      <c r="J814">
        <f>IF($F814=1,INDEX({10,12,13,14,15,16,17,18,19,20,21,23,24,25,26,27,28,29,30,31,32,34,35,36,37,38},1,FIND(MID($B814,4,1),"ABCDEFGHIJKLMNOPQRSTUVWXYZ")),"")</f>
        <v/>
      </c>
      <c r="K814">
        <f>IF($F814=1,FIND(MID($B814,5,1),"0123456789")-1,"")</f>
        <v/>
      </c>
      <c r="L814">
        <f>IF($F814=1,FIND(MID($B814,6,1),"0123456789")-1,"")</f>
        <v/>
      </c>
      <c r="M814">
        <f>IF($F814=1,FIND(MID($B814,7,1),"0123456789")-1,"")</f>
        <v/>
      </c>
      <c r="N814">
        <f>IF($F814=1,FIND(MID($B814,8,1),"0123456789")-1,"")</f>
        <v/>
      </c>
      <c r="O814">
        <f>IF($F814=1,FIND(MID($B814,9,1),"0123456789")-1,"")</f>
        <v/>
      </c>
      <c r="P814">
        <f>IF($F814=1,FIND(MID($B814,10,1),"0123456789")-1,"")</f>
        <v/>
      </c>
      <c r="Q814">
        <f>IF($F814=1,SUMPRODUCT($G814:$P814,{1,2,4,8,16,32,64,128,256,512}),"")</f>
        <v/>
      </c>
      <c r="R814">
        <f>IF($F814=1,MOD(MOD($Q814,11),10),"")</f>
        <v/>
      </c>
    </row>
    <row r="815">
      <c r="A815" s="6" t="n"/>
      <c r="B815" s="7">
        <f>IF($A815="","",UPPER(SUBSTITUTE(SUBSTITUTE(SUBSTITUTE(SUBSTITUTE(SUBSTITUTE(SUBSTITUTE($A815," ",""),"-",""),".",""),"/",""),"i","I"),"ı","?")))</f>
        <v/>
      </c>
      <c r="C815" s="8">
        <f>IF($F815=1,$R815,"")</f>
        <v/>
      </c>
      <c r="D815" s="7">
        <f>IF($A815="","",IF($F815=0,"Biçim hatalı",IF(FIND(MID($B815,11,1),"0123456789")-1=$R815,"Geçerli","Kontrol hanesi hatalı (doğrusu: "&amp;$R815&amp;")")))</f>
        <v/>
      </c>
      <c r="F815">
        <f>IF($A815="","",IF(AND(LEN($B815)=11,SUMPRODUCT(--ISNUMBER(FIND(MID($B815,{1,2,3},1),"ABCDEFGHIJKLMNOPQRSTUVWXYZ")))=3,ISNUMBER(FIND(MID($B815,4,1),"UJZ")),SUMPRODUCT(--ISNUMBER(FIND(MID($B815,{5,6,7,8,9,10,11},1),"0123456789")))=7),1,0))</f>
        <v/>
      </c>
      <c r="G815">
        <f>IF($F815=1,INDEX({10,12,13,14,15,16,17,18,19,20,21,23,24,25,26,27,28,29,30,31,32,34,35,36,37,38},1,FIND(MID($B815,1,1),"ABCDEFGHIJKLMNOPQRSTUVWXYZ")),"")</f>
        <v/>
      </c>
      <c r="H815">
        <f>IF($F815=1,INDEX({10,12,13,14,15,16,17,18,19,20,21,23,24,25,26,27,28,29,30,31,32,34,35,36,37,38},1,FIND(MID($B815,2,1),"ABCDEFGHIJKLMNOPQRSTUVWXYZ")),"")</f>
        <v/>
      </c>
      <c r="I815">
        <f>IF($F815=1,INDEX({10,12,13,14,15,16,17,18,19,20,21,23,24,25,26,27,28,29,30,31,32,34,35,36,37,38},1,FIND(MID($B815,3,1),"ABCDEFGHIJKLMNOPQRSTUVWXYZ")),"")</f>
        <v/>
      </c>
      <c r="J815">
        <f>IF($F815=1,INDEX({10,12,13,14,15,16,17,18,19,20,21,23,24,25,26,27,28,29,30,31,32,34,35,36,37,38},1,FIND(MID($B815,4,1),"ABCDEFGHIJKLMNOPQRSTUVWXYZ")),"")</f>
        <v/>
      </c>
      <c r="K815">
        <f>IF($F815=1,FIND(MID($B815,5,1),"0123456789")-1,"")</f>
        <v/>
      </c>
      <c r="L815">
        <f>IF($F815=1,FIND(MID($B815,6,1),"0123456789")-1,"")</f>
        <v/>
      </c>
      <c r="M815">
        <f>IF($F815=1,FIND(MID($B815,7,1),"0123456789")-1,"")</f>
        <v/>
      </c>
      <c r="N815">
        <f>IF($F815=1,FIND(MID($B815,8,1),"0123456789")-1,"")</f>
        <v/>
      </c>
      <c r="O815">
        <f>IF($F815=1,FIND(MID($B815,9,1),"0123456789")-1,"")</f>
        <v/>
      </c>
      <c r="P815">
        <f>IF($F815=1,FIND(MID($B815,10,1),"0123456789")-1,"")</f>
        <v/>
      </c>
      <c r="Q815">
        <f>IF($F815=1,SUMPRODUCT($G815:$P815,{1,2,4,8,16,32,64,128,256,512}),"")</f>
        <v/>
      </c>
      <c r="R815">
        <f>IF($F815=1,MOD(MOD($Q815,11),10),"")</f>
        <v/>
      </c>
    </row>
    <row r="816">
      <c r="A816" s="6" t="n"/>
      <c r="B816" s="7">
        <f>IF($A816="","",UPPER(SUBSTITUTE(SUBSTITUTE(SUBSTITUTE(SUBSTITUTE(SUBSTITUTE(SUBSTITUTE($A816," ",""),"-",""),".",""),"/",""),"i","I"),"ı","?")))</f>
        <v/>
      </c>
      <c r="C816" s="8">
        <f>IF($F816=1,$R816,"")</f>
        <v/>
      </c>
      <c r="D816" s="7">
        <f>IF($A816="","",IF($F816=0,"Biçim hatalı",IF(FIND(MID($B816,11,1),"0123456789")-1=$R816,"Geçerli","Kontrol hanesi hatalı (doğrusu: "&amp;$R816&amp;")")))</f>
        <v/>
      </c>
      <c r="F816">
        <f>IF($A816="","",IF(AND(LEN($B816)=11,SUMPRODUCT(--ISNUMBER(FIND(MID($B816,{1,2,3},1),"ABCDEFGHIJKLMNOPQRSTUVWXYZ")))=3,ISNUMBER(FIND(MID($B816,4,1),"UJZ")),SUMPRODUCT(--ISNUMBER(FIND(MID($B816,{5,6,7,8,9,10,11},1),"0123456789")))=7),1,0))</f>
        <v/>
      </c>
      <c r="G816">
        <f>IF($F816=1,INDEX({10,12,13,14,15,16,17,18,19,20,21,23,24,25,26,27,28,29,30,31,32,34,35,36,37,38},1,FIND(MID($B816,1,1),"ABCDEFGHIJKLMNOPQRSTUVWXYZ")),"")</f>
        <v/>
      </c>
      <c r="H816">
        <f>IF($F816=1,INDEX({10,12,13,14,15,16,17,18,19,20,21,23,24,25,26,27,28,29,30,31,32,34,35,36,37,38},1,FIND(MID($B816,2,1),"ABCDEFGHIJKLMNOPQRSTUVWXYZ")),"")</f>
        <v/>
      </c>
      <c r="I816">
        <f>IF($F816=1,INDEX({10,12,13,14,15,16,17,18,19,20,21,23,24,25,26,27,28,29,30,31,32,34,35,36,37,38},1,FIND(MID($B816,3,1),"ABCDEFGHIJKLMNOPQRSTUVWXYZ")),"")</f>
        <v/>
      </c>
      <c r="J816">
        <f>IF($F816=1,INDEX({10,12,13,14,15,16,17,18,19,20,21,23,24,25,26,27,28,29,30,31,32,34,35,36,37,38},1,FIND(MID($B816,4,1),"ABCDEFGHIJKLMNOPQRSTUVWXYZ")),"")</f>
        <v/>
      </c>
      <c r="K816">
        <f>IF($F816=1,FIND(MID($B816,5,1),"0123456789")-1,"")</f>
        <v/>
      </c>
      <c r="L816">
        <f>IF($F816=1,FIND(MID($B816,6,1),"0123456789")-1,"")</f>
        <v/>
      </c>
      <c r="M816">
        <f>IF($F816=1,FIND(MID($B816,7,1),"0123456789")-1,"")</f>
        <v/>
      </c>
      <c r="N816">
        <f>IF($F816=1,FIND(MID($B816,8,1),"0123456789")-1,"")</f>
        <v/>
      </c>
      <c r="O816">
        <f>IF($F816=1,FIND(MID($B816,9,1),"0123456789")-1,"")</f>
        <v/>
      </c>
      <c r="P816">
        <f>IF($F816=1,FIND(MID($B816,10,1),"0123456789")-1,"")</f>
        <v/>
      </c>
      <c r="Q816">
        <f>IF($F816=1,SUMPRODUCT($G816:$P816,{1,2,4,8,16,32,64,128,256,512}),"")</f>
        <v/>
      </c>
      <c r="R816">
        <f>IF($F816=1,MOD(MOD($Q816,11),10),"")</f>
        <v/>
      </c>
    </row>
    <row r="817">
      <c r="A817" s="6" t="n"/>
      <c r="B817" s="7">
        <f>IF($A817="","",UPPER(SUBSTITUTE(SUBSTITUTE(SUBSTITUTE(SUBSTITUTE(SUBSTITUTE(SUBSTITUTE($A817," ",""),"-",""),".",""),"/",""),"i","I"),"ı","?")))</f>
        <v/>
      </c>
      <c r="C817" s="8">
        <f>IF($F817=1,$R817,"")</f>
        <v/>
      </c>
      <c r="D817" s="7">
        <f>IF($A817="","",IF($F817=0,"Biçim hatalı",IF(FIND(MID($B817,11,1),"0123456789")-1=$R817,"Geçerli","Kontrol hanesi hatalı (doğrusu: "&amp;$R817&amp;")")))</f>
        <v/>
      </c>
      <c r="F817">
        <f>IF($A817="","",IF(AND(LEN($B817)=11,SUMPRODUCT(--ISNUMBER(FIND(MID($B817,{1,2,3},1),"ABCDEFGHIJKLMNOPQRSTUVWXYZ")))=3,ISNUMBER(FIND(MID($B817,4,1),"UJZ")),SUMPRODUCT(--ISNUMBER(FIND(MID($B817,{5,6,7,8,9,10,11},1),"0123456789")))=7),1,0))</f>
        <v/>
      </c>
      <c r="G817">
        <f>IF($F817=1,INDEX({10,12,13,14,15,16,17,18,19,20,21,23,24,25,26,27,28,29,30,31,32,34,35,36,37,38},1,FIND(MID($B817,1,1),"ABCDEFGHIJKLMNOPQRSTUVWXYZ")),"")</f>
        <v/>
      </c>
      <c r="H817">
        <f>IF($F817=1,INDEX({10,12,13,14,15,16,17,18,19,20,21,23,24,25,26,27,28,29,30,31,32,34,35,36,37,38},1,FIND(MID($B817,2,1),"ABCDEFGHIJKLMNOPQRSTUVWXYZ")),"")</f>
        <v/>
      </c>
      <c r="I817">
        <f>IF($F817=1,INDEX({10,12,13,14,15,16,17,18,19,20,21,23,24,25,26,27,28,29,30,31,32,34,35,36,37,38},1,FIND(MID($B817,3,1),"ABCDEFGHIJKLMNOPQRSTUVWXYZ")),"")</f>
        <v/>
      </c>
      <c r="J817">
        <f>IF($F817=1,INDEX({10,12,13,14,15,16,17,18,19,20,21,23,24,25,26,27,28,29,30,31,32,34,35,36,37,38},1,FIND(MID($B817,4,1),"ABCDEFGHIJKLMNOPQRSTUVWXYZ")),"")</f>
        <v/>
      </c>
      <c r="K817">
        <f>IF($F817=1,FIND(MID($B817,5,1),"0123456789")-1,"")</f>
        <v/>
      </c>
      <c r="L817">
        <f>IF($F817=1,FIND(MID($B817,6,1),"0123456789")-1,"")</f>
        <v/>
      </c>
      <c r="M817">
        <f>IF($F817=1,FIND(MID($B817,7,1),"0123456789")-1,"")</f>
        <v/>
      </c>
      <c r="N817">
        <f>IF($F817=1,FIND(MID($B817,8,1),"0123456789")-1,"")</f>
        <v/>
      </c>
      <c r="O817">
        <f>IF($F817=1,FIND(MID($B817,9,1),"0123456789")-1,"")</f>
        <v/>
      </c>
      <c r="P817">
        <f>IF($F817=1,FIND(MID($B817,10,1),"0123456789")-1,"")</f>
        <v/>
      </c>
      <c r="Q817">
        <f>IF($F817=1,SUMPRODUCT($G817:$P817,{1,2,4,8,16,32,64,128,256,512}),"")</f>
        <v/>
      </c>
      <c r="R817">
        <f>IF($F817=1,MOD(MOD($Q817,11),10),"")</f>
        <v/>
      </c>
    </row>
    <row r="818">
      <c r="A818" s="6" t="n"/>
      <c r="B818" s="7">
        <f>IF($A818="","",UPPER(SUBSTITUTE(SUBSTITUTE(SUBSTITUTE(SUBSTITUTE(SUBSTITUTE(SUBSTITUTE($A818," ",""),"-",""),".",""),"/",""),"i","I"),"ı","?")))</f>
        <v/>
      </c>
      <c r="C818" s="8">
        <f>IF($F818=1,$R818,"")</f>
        <v/>
      </c>
      <c r="D818" s="7">
        <f>IF($A818="","",IF($F818=0,"Biçim hatalı",IF(FIND(MID($B818,11,1),"0123456789")-1=$R818,"Geçerli","Kontrol hanesi hatalı (doğrusu: "&amp;$R818&amp;")")))</f>
        <v/>
      </c>
      <c r="F818">
        <f>IF($A818="","",IF(AND(LEN($B818)=11,SUMPRODUCT(--ISNUMBER(FIND(MID($B818,{1,2,3},1),"ABCDEFGHIJKLMNOPQRSTUVWXYZ")))=3,ISNUMBER(FIND(MID($B818,4,1),"UJZ")),SUMPRODUCT(--ISNUMBER(FIND(MID($B818,{5,6,7,8,9,10,11},1),"0123456789")))=7),1,0))</f>
        <v/>
      </c>
      <c r="G818">
        <f>IF($F818=1,INDEX({10,12,13,14,15,16,17,18,19,20,21,23,24,25,26,27,28,29,30,31,32,34,35,36,37,38},1,FIND(MID($B818,1,1),"ABCDEFGHIJKLMNOPQRSTUVWXYZ")),"")</f>
        <v/>
      </c>
      <c r="H818">
        <f>IF($F818=1,INDEX({10,12,13,14,15,16,17,18,19,20,21,23,24,25,26,27,28,29,30,31,32,34,35,36,37,38},1,FIND(MID($B818,2,1),"ABCDEFGHIJKLMNOPQRSTUVWXYZ")),"")</f>
        <v/>
      </c>
      <c r="I818">
        <f>IF($F818=1,INDEX({10,12,13,14,15,16,17,18,19,20,21,23,24,25,26,27,28,29,30,31,32,34,35,36,37,38},1,FIND(MID($B818,3,1),"ABCDEFGHIJKLMNOPQRSTUVWXYZ")),"")</f>
        <v/>
      </c>
      <c r="J818">
        <f>IF($F818=1,INDEX({10,12,13,14,15,16,17,18,19,20,21,23,24,25,26,27,28,29,30,31,32,34,35,36,37,38},1,FIND(MID($B818,4,1),"ABCDEFGHIJKLMNOPQRSTUVWXYZ")),"")</f>
        <v/>
      </c>
      <c r="K818">
        <f>IF($F818=1,FIND(MID($B818,5,1),"0123456789")-1,"")</f>
        <v/>
      </c>
      <c r="L818">
        <f>IF($F818=1,FIND(MID($B818,6,1),"0123456789")-1,"")</f>
        <v/>
      </c>
      <c r="M818">
        <f>IF($F818=1,FIND(MID($B818,7,1),"0123456789")-1,"")</f>
        <v/>
      </c>
      <c r="N818">
        <f>IF($F818=1,FIND(MID($B818,8,1),"0123456789")-1,"")</f>
        <v/>
      </c>
      <c r="O818">
        <f>IF($F818=1,FIND(MID($B818,9,1),"0123456789")-1,"")</f>
        <v/>
      </c>
      <c r="P818">
        <f>IF($F818=1,FIND(MID($B818,10,1),"0123456789")-1,"")</f>
        <v/>
      </c>
      <c r="Q818">
        <f>IF($F818=1,SUMPRODUCT($G818:$P818,{1,2,4,8,16,32,64,128,256,512}),"")</f>
        <v/>
      </c>
      <c r="R818">
        <f>IF($F818=1,MOD(MOD($Q818,11),10),"")</f>
        <v/>
      </c>
    </row>
    <row r="819">
      <c r="A819" s="6" t="n"/>
      <c r="B819" s="7">
        <f>IF($A819="","",UPPER(SUBSTITUTE(SUBSTITUTE(SUBSTITUTE(SUBSTITUTE(SUBSTITUTE(SUBSTITUTE($A819," ",""),"-",""),".",""),"/",""),"i","I"),"ı","?")))</f>
        <v/>
      </c>
      <c r="C819" s="8">
        <f>IF($F819=1,$R819,"")</f>
        <v/>
      </c>
      <c r="D819" s="7">
        <f>IF($A819="","",IF($F819=0,"Biçim hatalı",IF(FIND(MID($B819,11,1),"0123456789")-1=$R819,"Geçerli","Kontrol hanesi hatalı (doğrusu: "&amp;$R819&amp;")")))</f>
        <v/>
      </c>
      <c r="F819">
        <f>IF($A819="","",IF(AND(LEN($B819)=11,SUMPRODUCT(--ISNUMBER(FIND(MID($B819,{1,2,3},1),"ABCDEFGHIJKLMNOPQRSTUVWXYZ")))=3,ISNUMBER(FIND(MID($B819,4,1),"UJZ")),SUMPRODUCT(--ISNUMBER(FIND(MID($B819,{5,6,7,8,9,10,11},1),"0123456789")))=7),1,0))</f>
        <v/>
      </c>
      <c r="G819">
        <f>IF($F819=1,INDEX({10,12,13,14,15,16,17,18,19,20,21,23,24,25,26,27,28,29,30,31,32,34,35,36,37,38},1,FIND(MID($B819,1,1),"ABCDEFGHIJKLMNOPQRSTUVWXYZ")),"")</f>
        <v/>
      </c>
      <c r="H819">
        <f>IF($F819=1,INDEX({10,12,13,14,15,16,17,18,19,20,21,23,24,25,26,27,28,29,30,31,32,34,35,36,37,38},1,FIND(MID($B819,2,1),"ABCDEFGHIJKLMNOPQRSTUVWXYZ")),"")</f>
        <v/>
      </c>
      <c r="I819">
        <f>IF($F819=1,INDEX({10,12,13,14,15,16,17,18,19,20,21,23,24,25,26,27,28,29,30,31,32,34,35,36,37,38},1,FIND(MID($B819,3,1),"ABCDEFGHIJKLMNOPQRSTUVWXYZ")),"")</f>
        <v/>
      </c>
      <c r="J819">
        <f>IF($F819=1,INDEX({10,12,13,14,15,16,17,18,19,20,21,23,24,25,26,27,28,29,30,31,32,34,35,36,37,38},1,FIND(MID($B819,4,1),"ABCDEFGHIJKLMNOPQRSTUVWXYZ")),"")</f>
        <v/>
      </c>
      <c r="K819">
        <f>IF($F819=1,FIND(MID($B819,5,1),"0123456789")-1,"")</f>
        <v/>
      </c>
      <c r="L819">
        <f>IF($F819=1,FIND(MID($B819,6,1),"0123456789")-1,"")</f>
        <v/>
      </c>
      <c r="M819">
        <f>IF($F819=1,FIND(MID($B819,7,1),"0123456789")-1,"")</f>
        <v/>
      </c>
      <c r="N819">
        <f>IF($F819=1,FIND(MID($B819,8,1),"0123456789")-1,"")</f>
        <v/>
      </c>
      <c r="O819">
        <f>IF($F819=1,FIND(MID($B819,9,1),"0123456789")-1,"")</f>
        <v/>
      </c>
      <c r="P819">
        <f>IF($F819=1,FIND(MID($B819,10,1),"0123456789")-1,"")</f>
        <v/>
      </c>
      <c r="Q819">
        <f>IF($F819=1,SUMPRODUCT($G819:$P819,{1,2,4,8,16,32,64,128,256,512}),"")</f>
        <v/>
      </c>
      <c r="R819">
        <f>IF($F819=1,MOD(MOD($Q819,11),10),"")</f>
        <v/>
      </c>
    </row>
    <row r="820">
      <c r="A820" s="6" t="n"/>
      <c r="B820" s="7">
        <f>IF($A820="","",UPPER(SUBSTITUTE(SUBSTITUTE(SUBSTITUTE(SUBSTITUTE(SUBSTITUTE(SUBSTITUTE($A820," ",""),"-",""),".",""),"/",""),"i","I"),"ı","?")))</f>
        <v/>
      </c>
      <c r="C820" s="8">
        <f>IF($F820=1,$R820,"")</f>
        <v/>
      </c>
      <c r="D820" s="7">
        <f>IF($A820="","",IF($F820=0,"Biçim hatalı",IF(FIND(MID($B820,11,1),"0123456789")-1=$R820,"Geçerli","Kontrol hanesi hatalı (doğrusu: "&amp;$R820&amp;")")))</f>
        <v/>
      </c>
      <c r="F820">
        <f>IF($A820="","",IF(AND(LEN($B820)=11,SUMPRODUCT(--ISNUMBER(FIND(MID($B820,{1,2,3},1),"ABCDEFGHIJKLMNOPQRSTUVWXYZ")))=3,ISNUMBER(FIND(MID($B820,4,1),"UJZ")),SUMPRODUCT(--ISNUMBER(FIND(MID($B820,{5,6,7,8,9,10,11},1),"0123456789")))=7),1,0))</f>
        <v/>
      </c>
      <c r="G820">
        <f>IF($F820=1,INDEX({10,12,13,14,15,16,17,18,19,20,21,23,24,25,26,27,28,29,30,31,32,34,35,36,37,38},1,FIND(MID($B820,1,1),"ABCDEFGHIJKLMNOPQRSTUVWXYZ")),"")</f>
        <v/>
      </c>
      <c r="H820">
        <f>IF($F820=1,INDEX({10,12,13,14,15,16,17,18,19,20,21,23,24,25,26,27,28,29,30,31,32,34,35,36,37,38},1,FIND(MID($B820,2,1),"ABCDEFGHIJKLMNOPQRSTUVWXYZ")),"")</f>
        <v/>
      </c>
      <c r="I820">
        <f>IF($F820=1,INDEX({10,12,13,14,15,16,17,18,19,20,21,23,24,25,26,27,28,29,30,31,32,34,35,36,37,38},1,FIND(MID($B820,3,1),"ABCDEFGHIJKLMNOPQRSTUVWXYZ")),"")</f>
        <v/>
      </c>
      <c r="J820">
        <f>IF($F820=1,INDEX({10,12,13,14,15,16,17,18,19,20,21,23,24,25,26,27,28,29,30,31,32,34,35,36,37,38},1,FIND(MID($B820,4,1),"ABCDEFGHIJKLMNOPQRSTUVWXYZ")),"")</f>
        <v/>
      </c>
      <c r="K820">
        <f>IF($F820=1,FIND(MID($B820,5,1),"0123456789")-1,"")</f>
        <v/>
      </c>
      <c r="L820">
        <f>IF($F820=1,FIND(MID($B820,6,1),"0123456789")-1,"")</f>
        <v/>
      </c>
      <c r="M820">
        <f>IF($F820=1,FIND(MID($B820,7,1),"0123456789")-1,"")</f>
        <v/>
      </c>
      <c r="N820">
        <f>IF($F820=1,FIND(MID($B820,8,1),"0123456789")-1,"")</f>
        <v/>
      </c>
      <c r="O820">
        <f>IF($F820=1,FIND(MID($B820,9,1),"0123456789")-1,"")</f>
        <v/>
      </c>
      <c r="P820">
        <f>IF($F820=1,FIND(MID($B820,10,1),"0123456789")-1,"")</f>
        <v/>
      </c>
      <c r="Q820">
        <f>IF($F820=1,SUMPRODUCT($G820:$P820,{1,2,4,8,16,32,64,128,256,512}),"")</f>
        <v/>
      </c>
      <c r="R820">
        <f>IF($F820=1,MOD(MOD($Q820,11),10),"")</f>
        <v/>
      </c>
    </row>
    <row r="821">
      <c r="A821" s="6" t="n"/>
      <c r="B821" s="7">
        <f>IF($A821="","",UPPER(SUBSTITUTE(SUBSTITUTE(SUBSTITUTE(SUBSTITUTE(SUBSTITUTE(SUBSTITUTE($A821," ",""),"-",""),".",""),"/",""),"i","I"),"ı","?")))</f>
        <v/>
      </c>
      <c r="C821" s="8">
        <f>IF($F821=1,$R821,"")</f>
        <v/>
      </c>
      <c r="D821" s="7">
        <f>IF($A821="","",IF($F821=0,"Biçim hatalı",IF(FIND(MID($B821,11,1),"0123456789")-1=$R821,"Geçerli","Kontrol hanesi hatalı (doğrusu: "&amp;$R821&amp;")")))</f>
        <v/>
      </c>
      <c r="F821">
        <f>IF($A821="","",IF(AND(LEN($B821)=11,SUMPRODUCT(--ISNUMBER(FIND(MID($B821,{1,2,3},1),"ABCDEFGHIJKLMNOPQRSTUVWXYZ")))=3,ISNUMBER(FIND(MID($B821,4,1),"UJZ")),SUMPRODUCT(--ISNUMBER(FIND(MID($B821,{5,6,7,8,9,10,11},1),"0123456789")))=7),1,0))</f>
        <v/>
      </c>
      <c r="G821">
        <f>IF($F821=1,INDEX({10,12,13,14,15,16,17,18,19,20,21,23,24,25,26,27,28,29,30,31,32,34,35,36,37,38},1,FIND(MID($B821,1,1),"ABCDEFGHIJKLMNOPQRSTUVWXYZ")),"")</f>
        <v/>
      </c>
      <c r="H821">
        <f>IF($F821=1,INDEX({10,12,13,14,15,16,17,18,19,20,21,23,24,25,26,27,28,29,30,31,32,34,35,36,37,38},1,FIND(MID($B821,2,1),"ABCDEFGHIJKLMNOPQRSTUVWXYZ")),"")</f>
        <v/>
      </c>
      <c r="I821">
        <f>IF($F821=1,INDEX({10,12,13,14,15,16,17,18,19,20,21,23,24,25,26,27,28,29,30,31,32,34,35,36,37,38},1,FIND(MID($B821,3,1),"ABCDEFGHIJKLMNOPQRSTUVWXYZ")),"")</f>
        <v/>
      </c>
      <c r="J821">
        <f>IF($F821=1,INDEX({10,12,13,14,15,16,17,18,19,20,21,23,24,25,26,27,28,29,30,31,32,34,35,36,37,38},1,FIND(MID($B821,4,1),"ABCDEFGHIJKLMNOPQRSTUVWXYZ")),"")</f>
        <v/>
      </c>
      <c r="K821">
        <f>IF($F821=1,FIND(MID($B821,5,1),"0123456789")-1,"")</f>
        <v/>
      </c>
      <c r="L821">
        <f>IF($F821=1,FIND(MID($B821,6,1),"0123456789")-1,"")</f>
        <v/>
      </c>
      <c r="M821">
        <f>IF($F821=1,FIND(MID($B821,7,1),"0123456789")-1,"")</f>
        <v/>
      </c>
      <c r="N821">
        <f>IF($F821=1,FIND(MID($B821,8,1),"0123456789")-1,"")</f>
        <v/>
      </c>
      <c r="O821">
        <f>IF($F821=1,FIND(MID($B821,9,1),"0123456789")-1,"")</f>
        <v/>
      </c>
      <c r="P821">
        <f>IF($F821=1,FIND(MID($B821,10,1),"0123456789")-1,"")</f>
        <v/>
      </c>
      <c r="Q821">
        <f>IF($F821=1,SUMPRODUCT($G821:$P821,{1,2,4,8,16,32,64,128,256,512}),"")</f>
        <v/>
      </c>
      <c r="R821">
        <f>IF($F821=1,MOD(MOD($Q821,11),10),"")</f>
        <v/>
      </c>
    </row>
    <row r="822">
      <c r="A822" s="6" t="n"/>
      <c r="B822" s="7">
        <f>IF($A822="","",UPPER(SUBSTITUTE(SUBSTITUTE(SUBSTITUTE(SUBSTITUTE(SUBSTITUTE(SUBSTITUTE($A822," ",""),"-",""),".",""),"/",""),"i","I"),"ı","?")))</f>
        <v/>
      </c>
      <c r="C822" s="8">
        <f>IF($F822=1,$R822,"")</f>
        <v/>
      </c>
      <c r="D822" s="7">
        <f>IF($A822="","",IF($F822=0,"Biçim hatalı",IF(FIND(MID($B822,11,1),"0123456789")-1=$R822,"Geçerli","Kontrol hanesi hatalı (doğrusu: "&amp;$R822&amp;")")))</f>
        <v/>
      </c>
      <c r="F822">
        <f>IF($A822="","",IF(AND(LEN($B822)=11,SUMPRODUCT(--ISNUMBER(FIND(MID($B822,{1,2,3},1),"ABCDEFGHIJKLMNOPQRSTUVWXYZ")))=3,ISNUMBER(FIND(MID($B822,4,1),"UJZ")),SUMPRODUCT(--ISNUMBER(FIND(MID($B822,{5,6,7,8,9,10,11},1),"0123456789")))=7),1,0))</f>
        <v/>
      </c>
      <c r="G822">
        <f>IF($F822=1,INDEX({10,12,13,14,15,16,17,18,19,20,21,23,24,25,26,27,28,29,30,31,32,34,35,36,37,38},1,FIND(MID($B822,1,1),"ABCDEFGHIJKLMNOPQRSTUVWXYZ")),"")</f>
        <v/>
      </c>
      <c r="H822">
        <f>IF($F822=1,INDEX({10,12,13,14,15,16,17,18,19,20,21,23,24,25,26,27,28,29,30,31,32,34,35,36,37,38},1,FIND(MID($B822,2,1),"ABCDEFGHIJKLMNOPQRSTUVWXYZ")),"")</f>
        <v/>
      </c>
      <c r="I822">
        <f>IF($F822=1,INDEX({10,12,13,14,15,16,17,18,19,20,21,23,24,25,26,27,28,29,30,31,32,34,35,36,37,38},1,FIND(MID($B822,3,1),"ABCDEFGHIJKLMNOPQRSTUVWXYZ")),"")</f>
        <v/>
      </c>
      <c r="J822">
        <f>IF($F822=1,INDEX({10,12,13,14,15,16,17,18,19,20,21,23,24,25,26,27,28,29,30,31,32,34,35,36,37,38},1,FIND(MID($B822,4,1),"ABCDEFGHIJKLMNOPQRSTUVWXYZ")),"")</f>
        <v/>
      </c>
      <c r="K822">
        <f>IF($F822=1,FIND(MID($B822,5,1),"0123456789")-1,"")</f>
        <v/>
      </c>
      <c r="L822">
        <f>IF($F822=1,FIND(MID($B822,6,1),"0123456789")-1,"")</f>
        <v/>
      </c>
      <c r="M822">
        <f>IF($F822=1,FIND(MID($B822,7,1),"0123456789")-1,"")</f>
        <v/>
      </c>
      <c r="N822">
        <f>IF($F822=1,FIND(MID($B822,8,1),"0123456789")-1,"")</f>
        <v/>
      </c>
      <c r="O822">
        <f>IF($F822=1,FIND(MID($B822,9,1),"0123456789")-1,"")</f>
        <v/>
      </c>
      <c r="P822">
        <f>IF($F822=1,FIND(MID($B822,10,1),"0123456789")-1,"")</f>
        <v/>
      </c>
      <c r="Q822">
        <f>IF($F822=1,SUMPRODUCT($G822:$P822,{1,2,4,8,16,32,64,128,256,512}),"")</f>
        <v/>
      </c>
      <c r="R822">
        <f>IF($F822=1,MOD(MOD($Q822,11),10),"")</f>
        <v/>
      </c>
    </row>
    <row r="823">
      <c r="A823" s="6" t="n"/>
      <c r="B823" s="7">
        <f>IF($A823="","",UPPER(SUBSTITUTE(SUBSTITUTE(SUBSTITUTE(SUBSTITUTE(SUBSTITUTE(SUBSTITUTE($A823," ",""),"-",""),".",""),"/",""),"i","I"),"ı","?")))</f>
        <v/>
      </c>
      <c r="C823" s="8">
        <f>IF($F823=1,$R823,"")</f>
        <v/>
      </c>
      <c r="D823" s="7">
        <f>IF($A823="","",IF($F823=0,"Biçim hatalı",IF(FIND(MID($B823,11,1),"0123456789")-1=$R823,"Geçerli","Kontrol hanesi hatalı (doğrusu: "&amp;$R823&amp;")")))</f>
        <v/>
      </c>
      <c r="F823">
        <f>IF($A823="","",IF(AND(LEN($B823)=11,SUMPRODUCT(--ISNUMBER(FIND(MID($B823,{1,2,3},1),"ABCDEFGHIJKLMNOPQRSTUVWXYZ")))=3,ISNUMBER(FIND(MID($B823,4,1),"UJZ")),SUMPRODUCT(--ISNUMBER(FIND(MID($B823,{5,6,7,8,9,10,11},1),"0123456789")))=7),1,0))</f>
        <v/>
      </c>
      <c r="G823">
        <f>IF($F823=1,INDEX({10,12,13,14,15,16,17,18,19,20,21,23,24,25,26,27,28,29,30,31,32,34,35,36,37,38},1,FIND(MID($B823,1,1),"ABCDEFGHIJKLMNOPQRSTUVWXYZ")),"")</f>
        <v/>
      </c>
      <c r="H823">
        <f>IF($F823=1,INDEX({10,12,13,14,15,16,17,18,19,20,21,23,24,25,26,27,28,29,30,31,32,34,35,36,37,38},1,FIND(MID($B823,2,1),"ABCDEFGHIJKLMNOPQRSTUVWXYZ")),"")</f>
        <v/>
      </c>
      <c r="I823">
        <f>IF($F823=1,INDEX({10,12,13,14,15,16,17,18,19,20,21,23,24,25,26,27,28,29,30,31,32,34,35,36,37,38},1,FIND(MID($B823,3,1),"ABCDEFGHIJKLMNOPQRSTUVWXYZ")),"")</f>
        <v/>
      </c>
      <c r="J823">
        <f>IF($F823=1,INDEX({10,12,13,14,15,16,17,18,19,20,21,23,24,25,26,27,28,29,30,31,32,34,35,36,37,38},1,FIND(MID($B823,4,1),"ABCDEFGHIJKLMNOPQRSTUVWXYZ")),"")</f>
        <v/>
      </c>
      <c r="K823">
        <f>IF($F823=1,FIND(MID($B823,5,1),"0123456789")-1,"")</f>
        <v/>
      </c>
      <c r="L823">
        <f>IF($F823=1,FIND(MID($B823,6,1),"0123456789")-1,"")</f>
        <v/>
      </c>
      <c r="M823">
        <f>IF($F823=1,FIND(MID($B823,7,1),"0123456789")-1,"")</f>
        <v/>
      </c>
      <c r="N823">
        <f>IF($F823=1,FIND(MID($B823,8,1),"0123456789")-1,"")</f>
        <v/>
      </c>
      <c r="O823">
        <f>IF($F823=1,FIND(MID($B823,9,1),"0123456789")-1,"")</f>
        <v/>
      </c>
      <c r="P823">
        <f>IF($F823=1,FIND(MID($B823,10,1),"0123456789")-1,"")</f>
        <v/>
      </c>
      <c r="Q823">
        <f>IF($F823=1,SUMPRODUCT($G823:$P823,{1,2,4,8,16,32,64,128,256,512}),"")</f>
        <v/>
      </c>
      <c r="R823">
        <f>IF($F823=1,MOD(MOD($Q823,11),10),"")</f>
        <v/>
      </c>
    </row>
    <row r="824">
      <c r="A824" s="6" t="n"/>
      <c r="B824" s="7">
        <f>IF($A824="","",UPPER(SUBSTITUTE(SUBSTITUTE(SUBSTITUTE(SUBSTITUTE(SUBSTITUTE(SUBSTITUTE($A824," ",""),"-",""),".",""),"/",""),"i","I"),"ı","?")))</f>
        <v/>
      </c>
      <c r="C824" s="8">
        <f>IF($F824=1,$R824,"")</f>
        <v/>
      </c>
      <c r="D824" s="7">
        <f>IF($A824="","",IF($F824=0,"Biçim hatalı",IF(FIND(MID($B824,11,1),"0123456789")-1=$R824,"Geçerli","Kontrol hanesi hatalı (doğrusu: "&amp;$R824&amp;")")))</f>
        <v/>
      </c>
      <c r="F824">
        <f>IF($A824="","",IF(AND(LEN($B824)=11,SUMPRODUCT(--ISNUMBER(FIND(MID($B824,{1,2,3},1),"ABCDEFGHIJKLMNOPQRSTUVWXYZ")))=3,ISNUMBER(FIND(MID($B824,4,1),"UJZ")),SUMPRODUCT(--ISNUMBER(FIND(MID($B824,{5,6,7,8,9,10,11},1),"0123456789")))=7),1,0))</f>
        <v/>
      </c>
      <c r="G824">
        <f>IF($F824=1,INDEX({10,12,13,14,15,16,17,18,19,20,21,23,24,25,26,27,28,29,30,31,32,34,35,36,37,38},1,FIND(MID($B824,1,1),"ABCDEFGHIJKLMNOPQRSTUVWXYZ")),"")</f>
        <v/>
      </c>
      <c r="H824">
        <f>IF($F824=1,INDEX({10,12,13,14,15,16,17,18,19,20,21,23,24,25,26,27,28,29,30,31,32,34,35,36,37,38},1,FIND(MID($B824,2,1),"ABCDEFGHIJKLMNOPQRSTUVWXYZ")),"")</f>
        <v/>
      </c>
      <c r="I824">
        <f>IF($F824=1,INDEX({10,12,13,14,15,16,17,18,19,20,21,23,24,25,26,27,28,29,30,31,32,34,35,36,37,38},1,FIND(MID($B824,3,1),"ABCDEFGHIJKLMNOPQRSTUVWXYZ")),"")</f>
        <v/>
      </c>
      <c r="J824">
        <f>IF($F824=1,INDEX({10,12,13,14,15,16,17,18,19,20,21,23,24,25,26,27,28,29,30,31,32,34,35,36,37,38},1,FIND(MID($B824,4,1),"ABCDEFGHIJKLMNOPQRSTUVWXYZ")),"")</f>
        <v/>
      </c>
      <c r="K824">
        <f>IF($F824=1,FIND(MID($B824,5,1),"0123456789")-1,"")</f>
        <v/>
      </c>
      <c r="L824">
        <f>IF($F824=1,FIND(MID($B824,6,1),"0123456789")-1,"")</f>
        <v/>
      </c>
      <c r="M824">
        <f>IF($F824=1,FIND(MID($B824,7,1),"0123456789")-1,"")</f>
        <v/>
      </c>
      <c r="N824">
        <f>IF($F824=1,FIND(MID($B824,8,1),"0123456789")-1,"")</f>
        <v/>
      </c>
      <c r="O824">
        <f>IF($F824=1,FIND(MID($B824,9,1),"0123456789")-1,"")</f>
        <v/>
      </c>
      <c r="P824">
        <f>IF($F824=1,FIND(MID($B824,10,1),"0123456789")-1,"")</f>
        <v/>
      </c>
      <c r="Q824">
        <f>IF($F824=1,SUMPRODUCT($G824:$P824,{1,2,4,8,16,32,64,128,256,512}),"")</f>
        <v/>
      </c>
      <c r="R824">
        <f>IF($F824=1,MOD(MOD($Q824,11),10),"")</f>
        <v/>
      </c>
    </row>
    <row r="825">
      <c r="A825" s="6" t="n"/>
      <c r="B825" s="7">
        <f>IF($A825="","",UPPER(SUBSTITUTE(SUBSTITUTE(SUBSTITUTE(SUBSTITUTE(SUBSTITUTE(SUBSTITUTE($A825," ",""),"-",""),".",""),"/",""),"i","I"),"ı","?")))</f>
        <v/>
      </c>
      <c r="C825" s="8">
        <f>IF($F825=1,$R825,"")</f>
        <v/>
      </c>
      <c r="D825" s="7">
        <f>IF($A825="","",IF($F825=0,"Biçim hatalı",IF(FIND(MID($B825,11,1),"0123456789")-1=$R825,"Geçerli","Kontrol hanesi hatalı (doğrusu: "&amp;$R825&amp;")")))</f>
        <v/>
      </c>
      <c r="F825">
        <f>IF($A825="","",IF(AND(LEN($B825)=11,SUMPRODUCT(--ISNUMBER(FIND(MID($B825,{1,2,3},1),"ABCDEFGHIJKLMNOPQRSTUVWXYZ")))=3,ISNUMBER(FIND(MID($B825,4,1),"UJZ")),SUMPRODUCT(--ISNUMBER(FIND(MID($B825,{5,6,7,8,9,10,11},1),"0123456789")))=7),1,0))</f>
        <v/>
      </c>
      <c r="G825">
        <f>IF($F825=1,INDEX({10,12,13,14,15,16,17,18,19,20,21,23,24,25,26,27,28,29,30,31,32,34,35,36,37,38},1,FIND(MID($B825,1,1),"ABCDEFGHIJKLMNOPQRSTUVWXYZ")),"")</f>
        <v/>
      </c>
      <c r="H825">
        <f>IF($F825=1,INDEX({10,12,13,14,15,16,17,18,19,20,21,23,24,25,26,27,28,29,30,31,32,34,35,36,37,38},1,FIND(MID($B825,2,1),"ABCDEFGHIJKLMNOPQRSTUVWXYZ")),"")</f>
        <v/>
      </c>
      <c r="I825">
        <f>IF($F825=1,INDEX({10,12,13,14,15,16,17,18,19,20,21,23,24,25,26,27,28,29,30,31,32,34,35,36,37,38},1,FIND(MID($B825,3,1),"ABCDEFGHIJKLMNOPQRSTUVWXYZ")),"")</f>
        <v/>
      </c>
      <c r="J825">
        <f>IF($F825=1,INDEX({10,12,13,14,15,16,17,18,19,20,21,23,24,25,26,27,28,29,30,31,32,34,35,36,37,38},1,FIND(MID($B825,4,1),"ABCDEFGHIJKLMNOPQRSTUVWXYZ")),"")</f>
        <v/>
      </c>
      <c r="K825">
        <f>IF($F825=1,FIND(MID($B825,5,1),"0123456789")-1,"")</f>
        <v/>
      </c>
      <c r="L825">
        <f>IF($F825=1,FIND(MID($B825,6,1),"0123456789")-1,"")</f>
        <v/>
      </c>
      <c r="M825">
        <f>IF($F825=1,FIND(MID($B825,7,1),"0123456789")-1,"")</f>
        <v/>
      </c>
      <c r="N825">
        <f>IF($F825=1,FIND(MID($B825,8,1),"0123456789")-1,"")</f>
        <v/>
      </c>
      <c r="O825">
        <f>IF($F825=1,FIND(MID($B825,9,1),"0123456789")-1,"")</f>
        <v/>
      </c>
      <c r="P825">
        <f>IF($F825=1,FIND(MID($B825,10,1),"0123456789")-1,"")</f>
        <v/>
      </c>
      <c r="Q825">
        <f>IF($F825=1,SUMPRODUCT($G825:$P825,{1,2,4,8,16,32,64,128,256,512}),"")</f>
        <v/>
      </c>
      <c r="R825">
        <f>IF($F825=1,MOD(MOD($Q825,11),10),"")</f>
        <v/>
      </c>
    </row>
    <row r="826">
      <c r="A826" s="6" t="n"/>
      <c r="B826" s="7">
        <f>IF($A826="","",UPPER(SUBSTITUTE(SUBSTITUTE(SUBSTITUTE(SUBSTITUTE(SUBSTITUTE(SUBSTITUTE($A826," ",""),"-",""),".",""),"/",""),"i","I"),"ı","?")))</f>
        <v/>
      </c>
      <c r="C826" s="8">
        <f>IF($F826=1,$R826,"")</f>
        <v/>
      </c>
      <c r="D826" s="7">
        <f>IF($A826="","",IF($F826=0,"Biçim hatalı",IF(FIND(MID($B826,11,1),"0123456789")-1=$R826,"Geçerli","Kontrol hanesi hatalı (doğrusu: "&amp;$R826&amp;")")))</f>
        <v/>
      </c>
      <c r="F826">
        <f>IF($A826="","",IF(AND(LEN($B826)=11,SUMPRODUCT(--ISNUMBER(FIND(MID($B826,{1,2,3},1),"ABCDEFGHIJKLMNOPQRSTUVWXYZ")))=3,ISNUMBER(FIND(MID($B826,4,1),"UJZ")),SUMPRODUCT(--ISNUMBER(FIND(MID($B826,{5,6,7,8,9,10,11},1),"0123456789")))=7),1,0))</f>
        <v/>
      </c>
      <c r="G826">
        <f>IF($F826=1,INDEX({10,12,13,14,15,16,17,18,19,20,21,23,24,25,26,27,28,29,30,31,32,34,35,36,37,38},1,FIND(MID($B826,1,1),"ABCDEFGHIJKLMNOPQRSTUVWXYZ")),"")</f>
        <v/>
      </c>
      <c r="H826">
        <f>IF($F826=1,INDEX({10,12,13,14,15,16,17,18,19,20,21,23,24,25,26,27,28,29,30,31,32,34,35,36,37,38},1,FIND(MID($B826,2,1),"ABCDEFGHIJKLMNOPQRSTUVWXYZ")),"")</f>
        <v/>
      </c>
      <c r="I826">
        <f>IF($F826=1,INDEX({10,12,13,14,15,16,17,18,19,20,21,23,24,25,26,27,28,29,30,31,32,34,35,36,37,38},1,FIND(MID($B826,3,1),"ABCDEFGHIJKLMNOPQRSTUVWXYZ")),"")</f>
        <v/>
      </c>
      <c r="J826">
        <f>IF($F826=1,INDEX({10,12,13,14,15,16,17,18,19,20,21,23,24,25,26,27,28,29,30,31,32,34,35,36,37,38},1,FIND(MID($B826,4,1),"ABCDEFGHIJKLMNOPQRSTUVWXYZ")),"")</f>
        <v/>
      </c>
      <c r="K826">
        <f>IF($F826=1,FIND(MID($B826,5,1),"0123456789")-1,"")</f>
        <v/>
      </c>
      <c r="L826">
        <f>IF($F826=1,FIND(MID($B826,6,1),"0123456789")-1,"")</f>
        <v/>
      </c>
      <c r="M826">
        <f>IF($F826=1,FIND(MID($B826,7,1),"0123456789")-1,"")</f>
        <v/>
      </c>
      <c r="N826">
        <f>IF($F826=1,FIND(MID($B826,8,1),"0123456789")-1,"")</f>
        <v/>
      </c>
      <c r="O826">
        <f>IF($F826=1,FIND(MID($B826,9,1),"0123456789")-1,"")</f>
        <v/>
      </c>
      <c r="P826">
        <f>IF($F826=1,FIND(MID($B826,10,1),"0123456789")-1,"")</f>
        <v/>
      </c>
      <c r="Q826">
        <f>IF($F826=1,SUMPRODUCT($G826:$P826,{1,2,4,8,16,32,64,128,256,512}),"")</f>
        <v/>
      </c>
      <c r="R826">
        <f>IF($F826=1,MOD(MOD($Q826,11),10),"")</f>
        <v/>
      </c>
    </row>
    <row r="827">
      <c r="A827" s="6" t="n"/>
      <c r="B827" s="7">
        <f>IF($A827="","",UPPER(SUBSTITUTE(SUBSTITUTE(SUBSTITUTE(SUBSTITUTE(SUBSTITUTE(SUBSTITUTE($A827," ",""),"-",""),".",""),"/",""),"i","I"),"ı","?")))</f>
        <v/>
      </c>
      <c r="C827" s="8">
        <f>IF($F827=1,$R827,"")</f>
        <v/>
      </c>
      <c r="D827" s="7">
        <f>IF($A827="","",IF($F827=0,"Biçim hatalı",IF(FIND(MID($B827,11,1),"0123456789")-1=$R827,"Geçerli","Kontrol hanesi hatalı (doğrusu: "&amp;$R827&amp;")")))</f>
        <v/>
      </c>
      <c r="F827">
        <f>IF($A827="","",IF(AND(LEN($B827)=11,SUMPRODUCT(--ISNUMBER(FIND(MID($B827,{1,2,3},1),"ABCDEFGHIJKLMNOPQRSTUVWXYZ")))=3,ISNUMBER(FIND(MID($B827,4,1),"UJZ")),SUMPRODUCT(--ISNUMBER(FIND(MID($B827,{5,6,7,8,9,10,11},1),"0123456789")))=7),1,0))</f>
        <v/>
      </c>
      <c r="G827">
        <f>IF($F827=1,INDEX({10,12,13,14,15,16,17,18,19,20,21,23,24,25,26,27,28,29,30,31,32,34,35,36,37,38},1,FIND(MID($B827,1,1),"ABCDEFGHIJKLMNOPQRSTUVWXYZ")),"")</f>
        <v/>
      </c>
      <c r="H827">
        <f>IF($F827=1,INDEX({10,12,13,14,15,16,17,18,19,20,21,23,24,25,26,27,28,29,30,31,32,34,35,36,37,38},1,FIND(MID($B827,2,1),"ABCDEFGHIJKLMNOPQRSTUVWXYZ")),"")</f>
        <v/>
      </c>
      <c r="I827">
        <f>IF($F827=1,INDEX({10,12,13,14,15,16,17,18,19,20,21,23,24,25,26,27,28,29,30,31,32,34,35,36,37,38},1,FIND(MID($B827,3,1),"ABCDEFGHIJKLMNOPQRSTUVWXYZ")),"")</f>
        <v/>
      </c>
      <c r="J827">
        <f>IF($F827=1,INDEX({10,12,13,14,15,16,17,18,19,20,21,23,24,25,26,27,28,29,30,31,32,34,35,36,37,38},1,FIND(MID($B827,4,1),"ABCDEFGHIJKLMNOPQRSTUVWXYZ")),"")</f>
        <v/>
      </c>
      <c r="K827">
        <f>IF($F827=1,FIND(MID($B827,5,1),"0123456789")-1,"")</f>
        <v/>
      </c>
      <c r="L827">
        <f>IF($F827=1,FIND(MID($B827,6,1),"0123456789")-1,"")</f>
        <v/>
      </c>
      <c r="M827">
        <f>IF($F827=1,FIND(MID($B827,7,1),"0123456789")-1,"")</f>
        <v/>
      </c>
      <c r="N827">
        <f>IF($F827=1,FIND(MID($B827,8,1),"0123456789")-1,"")</f>
        <v/>
      </c>
      <c r="O827">
        <f>IF($F827=1,FIND(MID($B827,9,1),"0123456789")-1,"")</f>
        <v/>
      </c>
      <c r="P827">
        <f>IF($F827=1,FIND(MID($B827,10,1),"0123456789")-1,"")</f>
        <v/>
      </c>
      <c r="Q827">
        <f>IF($F827=1,SUMPRODUCT($G827:$P827,{1,2,4,8,16,32,64,128,256,512}),"")</f>
        <v/>
      </c>
      <c r="R827">
        <f>IF($F827=1,MOD(MOD($Q827,11),10),"")</f>
        <v/>
      </c>
    </row>
    <row r="828">
      <c r="A828" s="6" t="n"/>
      <c r="B828" s="7">
        <f>IF($A828="","",UPPER(SUBSTITUTE(SUBSTITUTE(SUBSTITUTE(SUBSTITUTE(SUBSTITUTE(SUBSTITUTE($A828," ",""),"-",""),".",""),"/",""),"i","I"),"ı","?")))</f>
        <v/>
      </c>
      <c r="C828" s="8">
        <f>IF($F828=1,$R828,"")</f>
        <v/>
      </c>
      <c r="D828" s="7">
        <f>IF($A828="","",IF($F828=0,"Biçim hatalı",IF(FIND(MID($B828,11,1),"0123456789")-1=$R828,"Geçerli","Kontrol hanesi hatalı (doğrusu: "&amp;$R828&amp;")")))</f>
        <v/>
      </c>
      <c r="F828">
        <f>IF($A828="","",IF(AND(LEN($B828)=11,SUMPRODUCT(--ISNUMBER(FIND(MID($B828,{1,2,3},1),"ABCDEFGHIJKLMNOPQRSTUVWXYZ")))=3,ISNUMBER(FIND(MID($B828,4,1),"UJZ")),SUMPRODUCT(--ISNUMBER(FIND(MID($B828,{5,6,7,8,9,10,11},1),"0123456789")))=7),1,0))</f>
        <v/>
      </c>
      <c r="G828">
        <f>IF($F828=1,INDEX({10,12,13,14,15,16,17,18,19,20,21,23,24,25,26,27,28,29,30,31,32,34,35,36,37,38},1,FIND(MID($B828,1,1),"ABCDEFGHIJKLMNOPQRSTUVWXYZ")),"")</f>
        <v/>
      </c>
      <c r="H828">
        <f>IF($F828=1,INDEX({10,12,13,14,15,16,17,18,19,20,21,23,24,25,26,27,28,29,30,31,32,34,35,36,37,38},1,FIND(MID($B828,2,1),"ABCDEFGHIJKLMNOPQRSTUVWXYZ")),"")</f>
        <v/>
      </c>
      <c r="I828">
        <f>IF($F828=1,INDEX({10,12,13,14,15,16,17,18,19,20,21,23,24,25,26,27,28,29,30,31,32,34,35,36,37,38},1,FIND(MID($B828,3,1),"ABCDEFGHIJKLMNOPQRSTUVWXYZ")),"")</f>
        <v/>
      </c>
      <c r="J828">
        <f>IF($F828=1,INDEX({10,12,13,14,15,16,17,18,19,20,21,23,24,25,26,27,28,29,30,31,32,34,35,36,37,38},1,FIND(MID($B828,4,1),"ABCDEFGHIJKLMNOPQRSTUVWXYZ")),"")</f>
        <v/>
      </c>
      <c r="K828">
        <f>IF($F828=1,FIND(MID($B828,5,1),"0123456789")-1,"")</f>
        <v/>
      </c>
      <c r="L828">
        <f>IF($F828=1,FIND(MID($B828,6,1),"0123456789")-1,"")</f>
        <v/>
      </c>
      <c r="M828">
        <f>IF($F828=1,FIND(MID($B828,7,1),"0123456789")-1,"")</f>
        <v/>
      </c>
      <c r="N828">
        <f>IF($F828=1,FIND(MID($B828,8,1),"0123456789")-1,"")</f>
        <v/>
      </c>
      <c r="O828">
        <f>IF($F828=1,FIND(MID($B828,9,1),"0123456789")-1,"")</f>
        <v/>
      </c>
      <c r="P828">
        <f>IF($F828=1,FIND(MID($B828,10,1),"0123456789")-1,"")</f>
        <v/>
      </c>
      <c r="Q828">
        <f>IF($F828=1,SUMPRODUCT($G828:$P828,{1,2,4,8,16,32,64,128,256,512}),"")</f>
        <v/>
      </c>
      <c r="R828">
        <f>IF($F828=1,MOD(MOD($Q828,11),10),"")</f>
        <v/>
      </c>
    </row>
    <row r="829">
      <c r="A829" s="6" t="n"/>
      <c r="B829" s="7">
        <f>IF($A829="","",UPPER(SUBSTITUTE(SUBSTITUTE(SUBSTITUTE(SUBSTITUTE(SUBSTITUTE(SUBSTITUTE($A829," ",""),"-",""),".",""),"/",""),"i","I"),"ı","?")))</f>
        <v/>
      </c>
      <c r="C829" s="8">
        <f>IF($F829=1,$R829,"")</f>
        <v/>
      </c>
      <c r="D829" s="7">
        <f>IF($A829="","",IF($F829=0,"Biçim hatalı",IF(FIND(MID($B829,11,1),"0123456789")-1=$R829,"Geçerli","Kontrol hanesi hatalı (doğrusu: "&amp;$R829&amp;")")))</f>
        <v/>
      </c>
      <c r="F829">
        <f>IF($A829="","",IF(AND(LEN($B829)=11,SUMPRODUCT(--ISNUMBER(FIND(MID($B829,{1,2,3},1),"ABCDEFGHIJKLMNOPQRSTUVWXYZ")))=3,ISNUMBER(FIND(MID($B829,4,1),"UJZ")),SUMPRODUCT(--ISNUMBER(FIND(MID($B829,{5,6,7,8,9,10,11},1),"0123456789")))=7),1,0))</f>
        <v/>
      </c>
      <c r="G829">
        <f>IF($F829=1,INDEX({10,12,13,14,15,16,17,18,19,20,21,23,24,25,26,27,28,29,30,31,32,34,35,36,37,38},1,FIND(MID($B829,1,1),"ABCDEFGHIJKLMNOPQRSTUVWXYZ")),"")</f>
        <v/>
      </c>
      <c r="H829">
        <f>IF($F829=1,INDEX({10,12,13,14,15,16,17,18,19,20,21,23,24,25,26,27,28,29,30,31,32,34,35,36,37,38},1,FIND(MID($B829,2,1),"ABCDEFGHIJKLMNOPQRSTUVWXYZ")),"")</f>
        <v/>
      </c>
      <c r="I829">
        <f>IF($F829=1,INDEX({10,12,13,14,15,16,17,18,19,20,21,23,24,25,26,27,28,29,30,31,32,34,35,36,37,38},1,FIND(MID($B829,3,1),"ABCDEFGHIJKLMNOPQRSTUVWXYZ")),"")</f>
        <v/>
      </c>
      <c r="J829">
        <f>IF($F829=1,INDEX({10,12,13,14,15,16,17,18,19,20,21,23,24,25,26,27,28,29,30,31,32,34,35,36,37,38},1,FIND(MID($B829,4,1),"ABCDEFGHIJKLMNOPQRSTUVWXYZ")),"")</f>
        <v/>
      </c>
      <c r="K829">
        <f>IF($F829=1,FIND(MID($B829,5,1),"0123456789")-1,"")</f>
        <v/>
      </c>
      <c r="L829">
        <f>IF($F829=1,FIND(MID($B829,6,1),"0123456789")-1,"")</f>
        <v/>
      </c>
      <c r="M829">
        <f>IF($F829=1,FIND(MID($B829,7,1),"0123456789")-1,"")</f>
        <v/>
      </c>
      <c r="N829">
        <f>IF($F829=1,FIND(MID($B829,8,1),"0123456789")-1,"")</f>
        <v/>
      </c>
      <c r="O829">
        <f>IF($F829=1,FIND(MID($B829,9,1),"0123456789")-1,"")</f>
        <v/>
      </c>
      <c r="P829">
        <f>IF($F829=1,FIND(MID($B829,10,1),"0123456789")-1,"")</f>
        <v/>
      </c>
      <c r="Q829">
        <f>IF($F829=1,SUMPRODUCT($G829:$P829,{1,2,4,8,16,32,64,128,256,512}),"")</f>
        <v/>
      </c>
      <c r="R829">
        <f>IF($F829=1,MOD(MOD($Q829,11),10),"")</f>
        <v/>
      </c>
    </row>
    <row r="830">
      <c r="A830" s="6" t="n"/>
      <c r="B830" s="7">
        <f>IF($A830="","",UPPER(SUBSTITUTE(SUBSTITUTE(SUBSTITUTE(SUBSTITUTE(SUBSTITUTE(SUBSTITUTE($A830," ",""),"-",""),".",""),"/",""),"i","I"),"ı","?")))</f>
        <v/>
      </c>
      <c r="C830" s="8">
        <f>IF($F830=1,$R830,"")</f>
        <v/>
      </c>
      <c r="D830" s="7">
        <f>IF($A830="","",IF($F830=0,"Biçim hatalı",IF(FIND(MID($B830,11,1),"0123456789")-1=$R830,"Geçerli","Kontrol hanesi hatalı (doğrusu: "&amp;$R830&amp;")")))</f>
        <v/>
      </c>
      <c r="F830">
        <f>IF($A830="","",IF(AND(LEN($B830)=11,SUMPRODUCT(--ISNUMBER(FIND(MID($B830,{1,2,3},1),"ABCDEFGHIJKLMNOPQRSTUVWXYZ")))=3,ISNUMBER(FIND(MID($B830,4,1),"UJZ")),SUMPRODUCT(--ISNUMBER(FIND(MID($B830,{5,6,7,8,9,10,11},1),"0123456789")))=7),1,0))</f>
        <v/>
      </c>
      <c r="G830">
        <f>IF($F830=1,INDEX({10,12,13,14,15,16,17,18,19,20,21,23,24,25,26,27,28,29,30,31,32,34,35,36,37,38},1,FIND(MID($B830,1,1),"ABCDEFGHIJKLMNOPQRSTUVWXYZ")),"")</f>
        <v/>
      </c>
      <c r="H830">
        <f>IF($F830=1,INDEX({10,12,13,14,15,16,17,18,19,20,21,23,24,25,26,27,28,29,30,31,32,34,35,36,37,38},1,FIND(MID($B830,2,1),"ABCDEFGHIJKLMNOPQRSTUVWXYZ")),"")</f>
        <v/>
      </c>
      <c r="I830">
        <f>IF($F830=1,INDEX({10,12,13,14,15,16,17,18,19,20,21,23,24,25,26,27,28,29,30,31,32,34,35,36,37,38},1,FIND(MID($B830,3,1),"ABCDEFGHIJKLMNOPQRSTUVWXYZ")),"")</f>
        <v/>
      </c>
      <c r="J830">
        <f>IF($F830=1,INDEX({10,12,13,14,15,16,17,18,19,20,21,23,24,25,26,27,28,29,30,31,32,34,35,36,37,38},1,FIND(MID($B830,4,1),"ABCDEFGHIJKLMNOPQRSTUVWXYZ")),"")</f>
        <v/>
      </c>
      <c r="K830">
        <f>IF($F830=1,FIND(MID($B830,5,1),"0123456789")-1,"")</f>
        <v/>
      </c>
      <c r="L830">
        <f>IF($F830=1,FIND(MID($B830,6,1),"0123456789")-1,"")</f>
        <v/>
      </c>
      <c r="M830">
        <f>IF($F830=1,FIND(MID($B830,7,1),"0123456789")-1,"")</f>
        <v/>
      </c>
      <c r="N830">
        <f>IF($F830=1,FIND(MID($B830,8,1),"0123456789")-1,"")</f>
        <v/>
      </c>
      <c r="O830">
        <f>IF($F830=1,FIND(MID($B830,9,1),"0123456789")-1,"")</f>
        <v/>
      </c>
      <c r="P830">
        <f>IF($F830=1,FIND(MID($B830,10,1),"0123456789")-1,"")</f>
        <v/>
      </c>
      <c r="Q830">
        <f>IF($F830=1,SUMPRODUCT($G830:$P830,{1,2,4,8,16,32,64,128,256,512}),"")</f>
        <v/>
      </c>
      <c r="R830">
        <f>IF($F830=1,MOD(MOD($Q830,11),10),"")</f>
        <v/>
      </c>
    </row>
    <row r="831">
      <c r="A831" s="6" t="n"/>
      <c r="B831" s="7">
        <f>IF($A831="","",UPPER(SUBSTITUTE(SUBSTITUTE(SUBSTITUTE(SUBSTITUTE(SUBSTITUTE(SUBSTITUTE($A831," ",""),"-",""),".",""),"/",""),"i","I"),"ı","?")))</f>
        <v/>
      </c>
      <c r="C831" s="8">
        <f>IF($F831=1,$R831,"")</f>
        <v/>
      </c>
      <c r="D831" s="7">
        <f>IF($A831="","",IF($F831=0,"Biçim hatalı",IF(FIND(MID($B831,11,1),"0123456789")-1=$R831,"Geçerli","Kontrol hanesi hatalı (doğrusu: "&amp;$R831&amp;")")))</f>
        <v/>
      </c>
      <c r="F831">
        <f>IF($A831="","",IF(AND(LEN($B831)=11,SUMPRODUCT(--ISNUMBER(FIND(MID($B831,{1,2,3},1),"ABCDEFGHIJKLMNOPQRSTUVWXYZ")))=3,ISNUMBER(FIND(MID($B831,4,1),"UJZ")),SUMPRODUCT(--ISNUMBER(FIND(MID($B831,{5,6,7,8,9,10,11},1),"0123456789")))=7),1,0))</f>
        <v/>
      </c>
      <c r="G831">
        <f>IF($F831=1,INDEX({10,12,13,14,15,16,17,18,19,20,21,23,24,25,26,27,28,29,30,31,32,34,35,36,37,38},1,FIND(MID($B831,1,1),"ABCDEFGHIJKLMNOPQRSTUVWXYZ")),"")</f>
        <v/>
      </c>
      <c r="H831">
        <f>IF($F831=1,INDEX({10,12,13,14,15,16,17,18,19,20,21,23,24,25,26,27,28,29,30,31,32,34,35,36,37,38},1,FIND(MID($B831,2,1),"ABCDEFGHIJKLMNOPQRSTUVWXYZ")),"")</f>
        <v/>
      </c>
      <c r="I831">
        <f>IF($F831=1,INDEX({10,12,13,14,15,16,17,18,19,20,21,23,24,25,26,27,28,29,30,31,32,34,35,36,37,38},1,FIND(MID($B831,3,1),"ABCDEFGHIJKLMNOPQRSTUVWXYZ")),"")</f>
        <v/>
      </c>
      <c r="J831">
        <f>IF($F831=1,INDEX({10,12,13,14,15,16,17,18,19,20,21,23,24,25,26,27,28,29,30,31,32,34,35,36,37,38},1,FIND(MID($B831,4,1),"ABCDEFGHIJKLMNOPQRSTUVWXYZ")),"")</f>
        <v/>
      </c>
      <c r="K831">
        <f>IF($F831=1,FIND(MID($B831,5,1),"0123456789")-1,"")</f>
        <v/>
      </c>
      <c r="L831">
        <f>IF($F831=1,FIND(MID($B831,6,1),"0123456789")-1,"")</f>
        <v/>
      </c>
      <c r="M831">
        <f>IF($F831=1,FIND(MID($B831,7,1),"0123456789")-1,"")</f>
        <v/>
      </c>
      <c r="N831">
        <f>IF($F831=1,FIND(MID($B831,8,1),"0123456789")-1,"")</f>
        <v/>
      </c>
      <c r="O831">
        <f>IF($F831=1,FIND(MID($B831,9,1),"0123456789")-1,"")</f>
        <v/>
      </c>
      <c r="P831">
        <f>IF($F831=1,FIND(MID($B831,10,1),"0123456789")-1,"")</f>
        <v/>
      </c>
      <c r="Q831">
        <f>IF($F831=1,SUMPRODUCT($G831:$P831,{1,2,4,8,16,32,64,128,256,512}),"")</f>
        <v/>
      </c>
      <c r="R831">
        <f>IF($F831=1,MOD(MOD($Q831,11),10),"")</f>
        <v/>
      </c>
    </row>
    <row r="832">
      <c r="A832" s="6" t="n"/>
      <c r="B832" s="7">
        <f>IF($A832="","",UPPER(SUBSTITUTE(SUBSTITUTE(SUBSTITUTE(SUBSTITUTE(SUBSTITUTE(SUBSTITUTE($A832," ",""),"-",""),".",""),"/",""),"i","I"),"ı","?")))</f>
        <v/>
      </c>
      <c r="C832" s="8">
        <f>IF($F832=1,$R832,"")</f>
        <v/>
      </c>
      <c r="D832" s="7">
        <f>IF($A832="","",IF($F832=0,"Biçim hatalı",IF(FIND(MID($B832,11,1),"0123456789")-1=$R832,"Geçerli","Kontrol hanesi hatalı (doğrusu: "&amp;$R832&amp;")")))</f>
        <v/>
      </c>
      <c r="F832">
        <f>IF($A832="","",IF(AND(LEN($B832)=11,SUMPRODUCT(--ISNUMBER(FIND(MID($B832,{1,2,3},1),"ABCDEFGHIJKLMNOPQRSTUVWXYZ")))=3,ISNUMBER(FIND(MID($B832,4,1),"UJZ")),SUMPRODUCT(--ISNUMBER(FIND(MID($B832,{5,6,7,8,9,10,11},1),"0123456789")))=7),1,0))</f>
        <v/>
      </c>
      <c r="G832">
        <f>IF($F832=1,INDEX({10,12,13,14,15,16,17,18,19,20,21,23,24,25,26,27,28,29,30,31,32,34,35,36,37,38},1,FIND(MID($B832,1,1),"ABCDEFGHIJKLMNOPQRSTUVWXYZ")),"")</f>
        <v/>
      </c>
      <c r="H832">
        <f>IF($F832=1,INDEX({10,12,13,14,15,16,17,18,19,20,21,23,24,25,26,27,28,29,30,31,32,34,35,36,37,38},1,FIND(MID($B832,2,1),"ABCDEFGHIJKLMNOPQRSTUVWXYZ")),"")</f>
        <v/>
      </c>
      <c r="I832">
        <f>IF($F832=1,INDEX({10,12,13,14,15,16,17,18,19,20,21,23,24,25,26,27,28,29,30,31,32,34,35,36,37,38},1,FIND(MID($B832,3,1),"ABCDEFGHIJKLMNOPQRSTUVWXYZ")),"")</f>
        <v/>
      </c>
      <c r="J832">
        <f>IF($F832=1,INDEX({10,12,13,14,15,16,17,18,19,20,21,23,24,25,26,27,28,29,30,31,32,34,35,36,37,38},1,FIND(MID($B832,4,1),"ABCDEFGHIJKLMNOPQRSTUVWXYZ")),"")</f>
        <v/>
      </c>
      <c r="K832">
        <f>IF($F832=1,FIND(MID($B832,5,1),"0123456789")-1,"")</f>
        <v/>
      </c>
      <c r="L832">
        <f>IF($F832=1,FIND(MID($B832,6,1),"0123456789")-1,"")</f>
        <v/>
      </c>
      <c r="M832">
        <f>IF($F832=1,FIND(MID($B832,7,1),"0123456789")-1,"")</f>
        <v/>
      </c>
      <c r="N832">
        <f>IF($F832=1,FIND(MID($B832,8,1),"0123456789")-1,"")</f>
        <v/>
      </c>
      <c r="O832">
        <f>IF($F832=1,FIND(MID($B832,9,1),"0123456789")-1,"")</f>
        <v/>
      </c>
      <c r="P832">
        <f>IF($F832=1,FIND(MID($B832,10,1),"0123456789")-1,"")</f>
        <v/>
      </c>
      <c r="Q832">
        <f>IF($F832=1,SUMPRODUCT($G832:$P832,{1,2,4,8,16,32,64,128,256,512}),"")</f>
        <v/>
      </c>
      <c r="R832">
        <f>IF($F832=1,MOD(MOD($Q832,11),10),"")</f>
        <v/>
      </c>
    </row>
    <row r="833">
      <c r="A833" s="6" t="n"/>
      <c r="B833" s="7">
        <f>IF($A833="","",UPPER(SUBSTITUTE(SUBSTITUTE(SUBSTITUTE(SUBSTITUTE(SUBSTITUTE(SUBSTITUTE($A833," ",""),"-",""),".",""),"/",""),"i","I"),"ı","?")))</f>
        <v/>
      </c>
      <c r="C833" s="8">
        <f>IF($F833=1,$R833,"")</f>
        <v/>
      </c>
      <c r="D833" s="7">
        <f>IF($A833="","",IF($F833=0,"Biçim hatalı",IF(FIND(MID($B833,11,1),"0123456789")-1=$R833,"Geçerli","Kontrol hanesi hatalı (doğrusu: "&amp;$R833&amp;")")))</f>
        <v/>
      </c>
      <c r="F833">
        <f>IF($A833="","",IF(AND(LEN($B833)=11,SUMPRODUCT(--ISNUMBER(FIND(MID($B833,{1,2,3},1),"ABCDEFGHIJKLMNOPQRSTUVWXYZ")))=3,ISNUMBER(FIND(MID($B833,4,1),"UJZ")),SUMPRODUCT(--ISNUMBER(FIND(MID($B833,{5,6,7,8,9,10,11},1),"0123456789")))=7),1,0))</f>
        <v/>
      </c>
      <c r="G833">
        <f>IF($F833=1,INDEX({10,12,13,14,15,16,17,18,19,20,21,23,24,25,26,27,28,29,30,31,32,34,35,36,37,38},1,FIND(MID($B833,1,1),"ABCDEFGHIJKLMNOPQRSTUVWXYZ")),"")</f>
        <v/>
      </c>
      <c r="H833">
        <f>IF($F833=1,INDEX({10,12,13,14,15,16,17,18,19,20,21,23,24,25,26,27,28,29,30,31,32,34,35,36,37,38},1,FIND(MID($B833,2,1),"ABCDEFGHIJKLMNOPQRSTUVWXYZ")),"")</f>
        <v/>
      </c>
      <c r="I833">
        <f>IF($F833=1,INDEX({10,12,13,14,15,16,17,18,19,20,21,23,24,25,26,27,28,29,30,31,32,34,35,36,37,38},1,FIND(MID($B833,3,1),"ABCDEFGHIJKLMNOPQRSTUVWXYZ")),"")</f>
        <v/>
      </c>
      <c r="J833">
        <f>IF($F833=1,INDEX({10,12,13,14,15,16,17,18,19,20,21,23,24,25,26,27,28,29,30,31,32,34,35,36,37,38},1,FIND(MID($B833,4,1),"ABCDEFGHIJKLMNOPQRSTUVWXYZ")),"")</f>
        <v/>
      </c>
      <c r="K833">
        <f>IF($F833=1,FIND(MID($B833,5,1),"0123456789")-1,"")</f>
        <v/>
      </c>
      <c r="L833">
        <f>IF($F833=1,FIND(MID($B833,6,1),"0123456789")-1,"")</f>
        <v/>
      </c>
      <c r="M833">
        <f>IF($F833=1,FIND(MID($B833,7,1),"0123456789")-1,"")</f>
        <v/>
      </c>
      <c r="N833">
        <f>IF($F833=1,FIND(MID($B833,8,1),"0123456789")-1,"")</f>
        <v/>
      </c>
      <c r="O833">
        <f>IF($F833=1,FIND(MID($B833,9,1),"0123456789")-1,"")</f>
        <v/>
      </c>
      <c r="P833">
        <f>IF($F833=1,FIND(MID($B833,10,1),"0123456789")-1,"")</f>
        <v/>
      </c>
      <c r="Q833">
        <f>IF($F833=1,SUMPRODUCT($G833:$P833,{1,2,4,8,16,32,64,128,256,512}),"")</f>
        <v/>
      </c>
      <c r="R833">
        <f>IF($F833=1,MOD(MOD($Q833,11),10),"")</f>
        <v/>
      </c>
    </row>
    <row r="834">
      <c r="A834" s="6" t="n"/>
      <c r="B834" s="7">
        <f>IF($A834="","",UPPER(SUBSTITUTE(SUBSTITUTE(SUBSTITUTE(SUBSTITUTE(SUBSTITUTE(SUBSTITUTE($A834," ",""),"-",""),".",""),"/",""),"i","I"),"ı","?")))</f>
        <v/>
      </c>
      <c r="C834" s="8">
        <f>IF($F834=1,$R834,"")</f>
        <v/>
      </c>
      <c r="D834" s="7">
        <f>IF($A834="","",IF($F834=0,"Biçim hatalı",IF(FIND(MID($B834,11,1),"0123456789")-1=$R834,"Geçerli","Kontrol hanesi hatalı (doğrusu: "&amp;$R834&amp;")")))</f>
        <v/>
      </c>
      <c r="F834">
        <f>IF($A834="","",IF(AND(LEN($B834)=11,SUMPRODUCT(--ISNUMBER(FIND(MID($B834,{1,2,3},1),"ABCDEFGHIJKLMNOPQRSTUVWXYZ")))=3,ISNUMBER(FIND(MID($B834,4,1),"UJZ")),SUMPRODUCT(--ISNUMBER(FIND(MID($B834,{5,6,7,8,9,10,11},1),"0123456789")))=7),1,0))</f>
        <v/>
      </c>
      <c r="G834">
        <f>IF($F834=1,INDEX({10,12,13,14,15,16,17,18,19,20,21,23,24,25,26,27,28,29,30,31,32,34,35,36,37,38},1,FIND(MID($B834,1,1),"ABCDEFGHIJKLMNOPQRSTUVWXYZ")),"")</f>
        <v/>
      </c>
      <c r="H834">
        <f>IF($F834=1,INDEX({10,12,13,14,15,16,17,18,19,20,21,23,24,25,26,27,28,29,30,31,32,34,35,36,37,38},1,FIND(MID($B834,2,1),"ABCDEFGHIJKLMNOPQRSTUVWXYZ")),"")</f>
        <v/>
      </c>
      <c r="I834">
        <f>IF($F834=1,INDEX({10,12,13,14,15,16,17,18,19,20,21,23,24,25,26,27,28,29,30,31,32,34,35,36,37,38},1,FIND(MID($B834,3,1),"ABCDEFGHIJKLMNOPQRSTUVWXYZ")),"")</f>
        <v/>
      </c>
      <c r="J834">
        <f>IF($F834=1,INDEX({10,12,13,14,15,16,17,18,19,20,21,23,24,25,26,27,28,29,30,31,32,34,35,36,37,38},1,FIND(MID($B834,4,1),"ABCDEFGHIJKLMNOPQRSTUVWXYZ")),"")</f>
        <v/>
      </c>
      <c r="K834">
        <f>IF($F834=1,FIND(MID($B834,5,1),"0123456789")-1,"")</f>
        <v/>
      </c>
      <c r="L834">
        <f>IF($F834=1,FIND(MID($B834,6,1),"0123456789")-1,"")</f>
        <v/>
      </c>
      <c r="M834">
        <f>IF($F834=1,FIND(MID($B834,7,1),"0123456789")-1,"")</f>
        <v/>
      </c>
      <c r="N834">
        <f>IF($F834=1,FIND(MID($B834,8,1),"0123456789")-1,"")</f>
        <v/>
      </c>
      <c r="O834">
        <f>IF($F834=1,FIND(MID($B834,9,1),"0123456789")-1,"")</f>
        <v/>
      </c>
      <c r="P834">
        <f>IF($F834=1,FIND(MID($B834,10,1),"0123456789")-1,"")</f>
        <v/>
      </c>
      <c r="Q834">
        <f>IF($F834=1,SUMPRODUCT($G834:$P834,{1,2,4,8,16,32,64,128,256,512}),"")</f>
        <v/>
      </c>
      <c r="R834">
        <f>IF($F834=1,MOD(MOD($Q834,11),10),"")</f>
        <v/>
      </c>
    </row>
    <row r="835">
      <c r="A835" s="6" t="n"/>
      <c r="B835" s="7">
        <f>IF($A835="","",UPPER(SUBSTITUTE(SUBSTITUTE(SUBSTITUTE(SUBSTITUTE(SUBSTITUTE(SUBSTITUTE($A835," ",""),"-",""),".",""),"/",""),"i","I"),"ı","?")))</f>
        <v/>
      </c>
      <c r="C835" s="8">
        <f>IF($F835=1,$R835,"")</f>
        <v/>
      </c>
      <c r="D835" s="7">
        <f>IF($A835="","",IF($F835=0,"Biçim hatalı",IF(FIND(MID($B835,11,1),"0123456789")-1=$R835,"Geçerli","Kontrol hanesi hatalı (doğrusu: "&amp;$R835&amp;")")))</f>
        <v/>
      </c>
      <c r="F835">
        <f>IF($A835="","",IF(AND(LEN($B835)=11,SUMPRODUCT(--ISNUMBER(FIND(MID($B835,{1,2,3},1),"ABCDEFGHIJKLMNOPQRSTUVWXYZ")))=3,ISNUMBER(FIND(MID($B835,4,1),"UJZ")),SUMPRODUCT(--ISNUMBER(FIND(MID($B835,{5,6,7,8,9,10,11},1),"0123456789")))=7),1,0))</f>
        <v/>
      </c>
      <c r="G835">
        <f>IF($F835=1,INDEX({10,12,13,14,15,16,17,18,19,20,21,23,24,25,26,27,28,29,30,31,32,34,35,36,37,38},1,FIND(MID($B835,1,1),"ABCDEFGHIJKLMNOPQRSTUVWXYZ")),"")</f>
        <v/>
      </c>
      <c r="H835">
        <f>IF($F835=1,INDEX({10,12,13,14,15,16,17,18,19,20,21,23,24,25,26,27,28,29,30,31,32,34,35,36,37,38},1,FIND(MID($B835,2,1),"ABCDEFGHIJKLMNOPQRSTUVWXYZ")),"")</f>
        <v/>
      </c>
      <c r="I835">
        <f>IF($F835=1,INDEX({10,12,13,14,15,16,17,18,19,20,21,23,24,25,26,27,28,29,30,31,32,34,35,36,37,38},1,FIND(MID($B835,3,1),"ABCDEFGHIJKLMNOPQRSTUVWXYZ")),"")</f>
        <v/>
      </c>
      <c r="J835">
        <f>IF($F835=1,INDEX({10,12,13,14,15,16,17,18,19,20,21,23,24,25,26,27,28,29,30,31,32,34,35,36,37,38},1,FIND(MID($B835,4,1),"ABCDEFGHIJKLMNOPQRSTUVWXYZ")),"")</f>
        <v/>
      </c>
      <c r="K835">
        <f>IF($F835=1,FIND(MID($B835,5,1),"0123456789")-1,"")</f>
        <v/>
      </c>
      <c r="L835">
        <f>IF($F835=1,FIND(MID($B835,6,1),"0123456789")-1,"")</f>
        <v/>
      </c>
      <c r="M835">
        <f>IF($F835=1,FIND(MID($B835,7,1),"0123456789")-1,"")</f>
        <v/>
      </c>
      <c r="N835">
        <f>IF($F835=1,FIND(MID($B835,8,1),"0123456789")-1,"")</f>
        <v/>
      </c>
      <c r="O835">
        <f>IF($F835=1,FIND(MID($B835,9,1),"0123456789")-1,"")</f>
        <v/>
      </c>
      <c r="P835">
        <f>IF($F835=1,FIND(MID($B835,10,1),"0123456789")-1,"")</f>
        <v/>
      </c>
      <c r="Q835">
        <f>IF($F835=1,SUMPRODUCT($G835:$P835,{1,2,4,8,16,32,64,128,256,512}),"")</f>
        <v/>
      </c>
      <c r="R835">
        <f>IF($F835=1,MOD(MOD($Q835,11),10),"")</f>
        <v/>
      </c>
    </row>
    <row r="836">
      <c r="A836" s="6" t="n"/>
      <c r="B836" s="7">
        <f>IF($A836="","",UPPER(SUBSTITUTE(SUBSTITUTE(SUBSTITUTE(SUBSTITUTE(SUBSTITUTE(SUBSTITUTE($A836," ",""),"-",""),".",""),"/",""),"i","I"),"ı","?")))</f>
        <v/>
      </c>
      <c r="C836" s="8">
        <f>IF($F836=1,$R836,"")</f>
        <v/>
      </c>
      <c r="D836" s="7">
        <f>IF($A836="","",IF($F836=0,"Biçim hatalı",IF(FIND(MID($B836,11,1),"0123456789")-1=$R836,"Geçerli","Kontrol hanesi hatalı (doğrusu: "&amp;$R836&amp;")")))</f>
        <v/>
      </c>
      <c r="F836">
        <f>IF($A836="","",IF(AND(LEN($B836)=11,SUMPRODUCT(--ISNUMBER(FIND(MID($B836,{1,2,3},1),"ABCDEFGHIJKLMNOPQRSTUVWXYZ")))=3,ISNUMBER(FIND(MID($B836,4,1),"UJZ")),SUMPRODUCT(--ISNUMBER(FIND(MID($B836,{5,6,7,8,9,10,11},1),"0123456789")))=7),1,0))</f>
        <v/>
      </c>
      <c r="G836">
        <f>IF($F836=1,INDEX({10,12,13,14,15,16,17,18,19,20,21,23,24,25,26,27,28,29,30,31,32,34,35,36,37,38},1,FIND(MID($B836,1,1),"ABCDEFGHIJKLMNOPQRSTUVWXYZ")),"")</f>
        <v/>
      </c>
      <c r="H836">
        <f>IF($F836=1,INDEX({10,12,13,14,15,16,17,18,19,20,21,23,24,25,26,27,28,29,30,31,32,34,35,36,37,38},1,FIND(MID($B836,2,1),"ABCDEFGHIJKLMNOPQRSTUVWXYZ")),"")</f>
        <v/>
      </c>
      <c r="I836">
        <f>IF($F836=1,INDEX({10,12,13,14,15,16,17,18,19,20,21,23,24,25,26,27,28,29,30,31,32,34,35,36,37,38},1,FIND(MID($B836,3,1),"ABCDEFGHIJKLMNOPQRSTUVWXYZ")),"")</f>
        <v/>
      </c>
      <c r="J836">
        <f>IF($F836=1,INDEX({10,12,13,14,15,16,17,18,19,20,21,23,24,25,26,27,28,29,30,31,32,34,35,36,37,38},1,FIND(MID($B836,4,1),"ABCDEFGHIJKLMNOPQRSTUVWXYZ")),"")</f>
        <v/>
      </c>
      <c r="K836">
        <f>IF($F836=1,FIND(MID($B836,5,1),"0123456789")-1,"")</f>
        <v/>
      </c>
      <c r="L836">
        <f>IF($F836=1,FIND(MID($B836,6,1),"0123456789")-1,"")</f>
        <v/>
      </c>
      <c r="M836">
        <f>IF($F836=1,FIND(MID($B836,7,1),"0123456789")-1,"")</f>
        <v/>
      </c>
      <c r="N836">
        <f>IF($F836=1,FIND(MID($B836,8,1),"0123456789")-1,"")</f>
        <v/>
      </c>
      <c r="O836">
        <f>IF($F836=1,FIND(MID($B836,9,1),"0123456789")-1,"")</f>
        <v/>
      </c>
      <c r="P836">
        <f>IF($F836=1,FIND(MID($B836,10,1),"0123456789")-1,"")</f>
        <v/>
      </c>
      <c r="Q836">
        <f>IF($F836=1,SUMPRODUCT($G836:$P836,{1,2,4,8,16,32,64,128,256,512}),"")</f>
        <v/>
      </c>
      <c r="R836">
        <f>IF($F836=1,MOD(MOD($Q836,11),10),"")</f>
        <v/>
      </c>
    </row>
    <row r="837">
      <c r="A837" s="6" t="n"/>
      <c r="B837" s="7">
        <f>IF($A837="","",UPPER(SUBSTITUTE(SUBSTITUTE(SUBSTITUTE(SUBSTITUTE(SUBSTITUTE(SUBSTITUTE($A837," ",""),"-",""),".",""),"/",""),"i","I"),"ı","?")))</f>
        <v/>
      </c>
      <c r="C837" s="8">
        <f>IF($F837=1,$R837,"")</f>
        <v/>
      </c>
      <c r="D837" s="7">
        <f>IF($A837="","",IF($F837=0,"Biçim hatalı",IF(FIND(MID($B837,11,1),"0123456789")-1=$R837,"Geçerli","Kontrol hanesi hatalı (doğrusu: "&amp;$R837&amp;")")))</f>
        <v/>
      </c>
      <c r="F837">
        <f>IF($A837="","",IF(AND(LEN($B837)=11,SUMPRODUCT(--ISNUMBER(FIND(MID($B837,{1,2,3},1),"ABCDEFGHIJKLMNOPQRSTUVWXYZ")))=3,ISNUMBER(FIND(MID($B837,4,1),"UJZ")),SUMPRODUCT(--ISNUMBER(FIND(MID($B837,{5,6,7,8,9,10,11},1),"0123456789")))=7),1,0))</f>
        <v/>
      </c>
      <c r="G837">
        <f>IF($F837=1,INDEX({10,12,13,14,15,16,17,18,19,20,21,23,24,25,26,27,28,29,30,31,32,34,35,36,37,38},1,FIND(MID($B837,1,1),"ABCDEFGHIJKLMNOPQRSTUVWXYZ")),"")</f>
        <v/>
      </c>
      <c r="H837">
        <f>IF($F837=1,INDEX({10,12,13,14,15,16,17,18,19,20,21,23,24,25,26,27,28,29,30,31,32,34,35,36,37,38},1,FIND(MID($B837,2,1),"ABCDEFGHIJKLMNOPQRSTUVWXYZ")),"")</f>
        <v/>
      </c>
      <c r="I837">
        <f>IF($F837=1,INDEX({10,12,13,14,15,16,17,18,19,20,21,23,24,25,26,27,28,29,30,31,32,34,35,36,37,38},1,FIND(MID($B837,3,1),"ABCDEFGHIJKLMNOPQRSTUVWXYZ")),"")</f>
        <v/>
      </c>
      <c r="J837">
        <f>IF($F837=1,INDEX({10,12,13,14,15,16,17,18,19,20,21,23,24,25,26,27,28,29,30,31,32,34,35,36,37,38},1,FIND(MID($B837,4,1),"ABCDEFGHIJKLMNOPQRSTUVWXYZ")),"")</f>
        <v/>
      </c>
      <c r="K837">
        <f>IF($F837=1,FIND(MID($B837,5,1),"0123456789")-1,"")</f>
        <v/>
      </c>
      <c r="L837">
        <f>IF($F837=1,FIND(MID($B837,6,1),"0123456789")-1,"")</f>
        <v/>
      </c>
      <c r="M837">
        <f>IF($F837=1,FIND(MID($B837,7,1),"0123456789")-1,"")</f>
        <v/>
      </c>
      <c r="N837">
        <f>IF($F837=1,FIND(MID($B837,8,1),"0123456789")-1,"")</f>
        <v/>
      </c>
      <c r="O837">
        <f>IF($F837=1,FIND(MID($B837,9,1),"0123456789")-1,"")</f>
        <v/>
      </c>
      <c r="P837">
        <f>IF($F837=1,FIND(MID($B837,10,1),"0123456789")-1,"")</f>
        <v/>
      </c>
      <c r="Q837">
        <f>IF($F837=1,SUMPRODUCT($G837:$P837,{1,2,4,8,16,32,64,128,256,512}),"")</f>
        <v/>
      </c>
      <c r="R837">
        <f>IF($F837=1,MOD(MOD($Q837,11),10),"")</f>
        <v/>
      </c>
    </row>
    <row r="838">
      <c r="A838" s="6" t="n"/>
      <c r="B838" s="7">
        <f>IF($A838="","",UPPER(SUBSTITUTE(SUBSTITUTE(SUBSTITUTE(SUBSTITUTE(SUBSTITUTE(SUBSTITUTE($A838," ",""),"-",""),".",""),"/",""),"i","I"),"ı","?")))</f>
        <v/>
      </c>
      <c r="C838" s="8">
        <f>IF($F838=1,$R838,"")</f>
        <v/>
      </c>
      <c r="D838" s="7">
        <f>IF($A838="","",IF($F838=0,"Biçim hatalı",IF(FIND(MID($B838,11,1),"0123456789")-1=$R838,"Geçerli","Kontrol hanesi hatalı (doğrusu: "&amp;$R838&amp;")")))</f>
        <v/>
      </c>
      <c r="F838">
        <f>IF($A838="","",IF(AND(LEN($B838)=11,SUMPRODUCT(--ISNUMBER(FIND(MID($B838,{1,2,3},1),"ABCDEFGHIJKLMNOPQRSTUVWXYZ")))=3,ISNUMBER(FIND(MID($B838,4,1),"UJZ")),SUMPRODUCT(--ISNUMBER(FIND(MID($B838,{5,6,7,8,9,10,11},1),"0123456789")))=7),1,0))</f>
        <v/>
      </c>
      <c r="G838">
        <f>IF($F838=1,INDEX({10,12,13,14,15,16,17,18,19,20,21,23,24,25,26,27,28,29,30,31,32,34,35,36,37,38},1,FIND(MID($B838,1,1),"ABCDEFGHIJKLMNOPQRSTUVWXYZ")),"")</f>
        <v/>
      </c>
      <c r="H838">
        <f>IF($F838=1,INDEX({10,12,13,14,15,16,17,18,19,20,21,23,24,25,26,27,28,29,30,31,32,34,35,36,37,38},1,FIND(MID($B838,2,1),"ABCDEFGHIJKLMNOPQRSTUVWXYZ")),"")</f>
        <v/>
      </c>
      <c r="I838">
        <f>IF($F838=1,INDEX({10,12,13,14,15,16,17,18,19,20,21,23,24,25,26,27,28,29,30,31,32,34,35,36,37,38},1,FIND(MID($B838,3,1),"ABCDEFGHIJKLMNOPQRSTUVWXYZ")),"")</f>
        <v/>
      </c>
      <c r="J838">
        <f>IF($F838=1,INDEX({10,12,13,14,15,16,17,18,19,20,21,23,24,25,26,27,28,29,30,31,32,34,35,36,37,38},1,FIND(MID($B838,4,1),"ABCDEFGHIJKLMNOPQRSTUVWXYZ")),"")</f>
        <v/>
      </c>
      <c r="K838">
        <f>IF($F838=1,FIND(MID($B838,5,1),"0123456789")-1,"")</f>
        <v/>
      </c>
      <c r="L838">
        <f>IF($F838=1,FIND(MID($B838,6,1),"0123456789")-1,"")</f>
        <v/>
      </c>
      <c r="M838">
        <f>IF($F838=1,FIND(MID($B838,7,1),"0123456789")-1,"")</f>
        <v/>
      </c>
      <c r="N838">
        <f>IF($F838=1,FIND(MID($B838,8,1),"0123456789")-1,"")</f>
        <v/>
      </c>
      <c r="O838">
        <f>IF($F838=1,FIND(MID($B838,9,1),"0123456789")-1,"")</f>
        <v/>
      </c>
      <c r="P838">
        <f>IF($F838=1,FIND(MID($B838,10,1),"0123456789")-1,"")</f>
        <v/>
      </c>
      <c r="Q838">
        <f>IF($F838=1,SUMPRODUCT($G838:$P838,{1,2,4,8,16,32,64,128,256,512}),"")</f>
        <v/>
      </c>
      <c r="R838">
        <f>IF($F838=1,MOD(MOD($Q838,11),10),"")</f>
        <v/>
      </c>
    </row>
    <row r="839">
      <c r="A839" s="6" t="n"/>
      <c r="B839" s="7">
        <f>IF($A839="","",UPPER(SUBSTITUTE(SUBSTITUTE(SUBSTITUTE(SUBSTITUTE(SUBSTITUTE(SUBSTITUTE($A839," ",""),"-",""),".",""),"/",""),"i","I"),"ı","?")))</f>
        <v/>
      </c>
      <c r="C839" s="8">
        <f>IF($F839=1,$R839,"")</f>
        <v/>
      </c>
      <c r="D839" s="7">
        <f>IF($A839="","",IF($F839=0,"Biçim hatalı",IF(FIND(MID($B839,11,1),"0123456789")-1=$R839,"Geçerli","Kontrol hanesi hatalı (doğrusu: "&amp;$R839&amp;")")))</f>
        <v/>
      </c>
      <c r="F839">
        <f>IF($A839="","",IF(AND(LEN($B839)=11,SUMPRODUCT(--ISNUMBER(FIND(MID($B839,{1,2,3},1),"ABCDEFGHIJKLMNOPQRSTUVWXYZ")))=3,ISNUMBER(FIND(MID($B839,4,1),"UJZ")),SUMPRODUCT(--ISNUMBER(FIND(MID($B839,{5,6,7,8,9,10,11},1),"0123456789")))=7),1,0))</f>
        <v/>
      </c>
      <c r="G839">
        <f>IF($F839=1,INDEX({10,12,13,14,15,16,17,18,19,20,21,23,24,25,26,27,28,29,30,31,32,34,35,36,37,38},1,FIND(MID($B839,1,1),"ABCDEFGHIJKLMNOPQRSTUVWXYZ")),"")</f>
        <v/>
      </c>
      <c r="H839">
        <f>IF($F839=1,INDEX({10,12,13,14,15,16,17,18,19,20,21,23,24,25,26,27,28,29,30,31,32,34,35,36,37,38},1,FIND(MID($B839,2,1),"ABCDEFGHIJKLMNOPQRSTUVWXYZ")),"")</f>
        <v/>
      </c>
      <c r="I839">
        <f>IF($F839=1,INDEX({10,12,13,14,15,16,17,18,19,20,21,23,24,25,26,27,28,29,30,31,32,34,35,36,37,38},1,FIND(MID($B839,3,1),"ABCDEFGHIJKLMNOPQRSTUVWXYZ")),"")</f>
        <v/>
      </c>
      <c r="J839">
        <f>IF($F839=1,INDEX({10,12,13,14,15,16,17,18,19,20,21,23,24,25,26,27,28,29,30,31,32,34,35,36,37,38},1,FIND(MID($B839,4,1),"ABCDEFGHIJKLMNOPQRSTUVWXYZ")),"")</f>
        <v/>
      </c>
      <c r="K839">
        <f>IF($F839=1,FIND(MID($B839,5,1),"0123456789")-1,"")</f>
        <v/>
      </c>
      <c r="L839">
        <f>IF($F839=1,FIND(MID($B839,6,1),"0123456789")-1,"")</f>
        <v/>
      </c>
      <c r="M839">
        <f>IF($F839=1,FIND(MID($B839,7,1),"0123456789")-1,"")</f>
        <v/>
      </c>
      <c r="N839">
        <f>IF($F839=1,FIND(MID($B839,8,1),"0123456789")-1,"")</f>
        <v/>
      </c>
      <c r="O839">
        <f>IF($F839=1,FIND(MID($B839,9,1),"0123456789")-1,"")</f>
        <v/>
      </c>
      <c r="P839">
        <f>IF($F839=1,FIND(MID($B839,10,1),"0123456789")-1,"")</f>
        <v/>
      </c>
      <c r="Q839">
        <f>IF($F839=1,SUMPRODUCT($G839:$P839,{1,2,4,8,16,32,64,128,256,512}),"")</f>
        <v/>
      </c>
      <c r="R839">
        <f>IF($F839=1,MOD(MOD($Q839,11),10),"")</f>
        <v/>
      </c>
    </row>
    <row r="840">
      <c r="A840" s="6" t="n"/>
      <c r="B840" s="7">
        <f>IF($A840="","",UPPER(SUBSTITUTE(SUBSTITUTE(SUBSTITUTE(SUBSTITUTE(SUBSTITUTE(SUBSTITUTE($A840," ",""),"-",""),".",""),"/",""),"i","I"),"ı","?")))</f>
        <v/>
      </c>
      <c r="C840" s="8">
        <f>IF($F840=1,$R840,"")</f>
        <v/>
      </c>
      <c r="D840" s="7">
        <f>IF($A840="","",IF($F840=0,"Biçim hatalı",IF(FIND(MID($B840,11,1),"0123456789")-1=$R840,"Geçerli","Kontrol hanesi hatalı (doğrusu: "&amp;$R840&amp;")")))</f>
        <v/>
      </c>
      <c r="F840">
        <f>IF($A840="","",IF(AND(LEN($B840)=11,SUMPRODUCT(--ISNUMBER(FIND(MID($B840,{1,2,3},1),"ABCDEFGHIJKLMNOPQRSTUVWXYZ")))=3,ISNUMBER(FIND(MID($B840,4,1),"UJZ")),SUMPRODUCT(--ISNUMBER(FIND(MID($B840,{5,6,7,8,9,10,11},1),"0123456789")))=7),1,0))</f>
        <v/>
      </c>
      <c r="G840">
        <f>IF($F840=1,INDEX({10,12,13,14,15,16,17,18,19,20,21,23,24,25,26,27,28,29,30,31,32,34,35,36,37,38},1,FIND(MID($B840,1,1),"ABCDEFGHIJKLMNOPQRSTUVWXYZ")),"")</f>
        <v/>
      </c>
      <c r="H840">
        <f>IF($F840=1,INDEX({10,12,13,14,15,16,17,18,19,20,21,23,24,25,26,27,28,29,30,31,32,34,35,36,37,38},1,FIND(MID($B840,2,1),"ABCDEFGHIJKLMNOPQRSTUVWXYZ")),"")</f>
        <v/>
      </c>
      <c r="I840">
        <f>IF($F840=1,INDEX({10,12,13,14,15,16,17,18,19,20,21,23,24,25,26,27,28,29,30,31,32,34,35,36,37,38},1,FIND(MID($B840,3,1),"ABCDEFGHIJKLMNOPQRSTUVWXYZ")),"")</f>
        <v/>
      </c>
      <c r="J840">
        <f>IF($F840=1,INDEX({10,12,13,14,15,16,17,18,19,20,21,23,24,25,26,27,28,29,30,31,32,34,35,36,37,38},1,FIND(MID($B840,4,1),"ABCDEFGHIJKLMNOPQRSTUVWXYZ")),"")</f>
        <v/>
      </c>
      <c r="K840">
        <f>IF($F840=1,FIND(MID($B840,5,1),"0123456789")-1,"")</f>
        <v/>
      </c>
      <c r="L840">
        <f>IF($F840=1,FIND(MID($B840,6,1),"0123456789")-1,"")</f>
        <v/>
      </c>
      <c r="M840">
        <f>IF($F840=1,FIND(MID($B840,7,1),"0123456789")-1,"")</f>
        <v/>
      </c>
      <c r="N840">
        <f>IF($F840=1,FIND(MID($B840,8,1),"0123456789")-1,"")</f>
        <v/>
      </c>
      <c r="O840">
        <f>IF($F840=1,FIND(MID($B840,9,1),"0123456789")-1,"")</f>
        <v/>
      </c>
      <c r="P840">
        <f>IF($F840=1,FIND(MID($B840,10,1),"0123456789")-1,"")</f>
        <v/>
      </c>
      <c r="Q840">
        <f>IF($F840=1,SUMPRODUCT($G840:$P840,{1,2,4,8,16,32,64,128,256,512}),"")</f>
        <v/>
      </c>
      <c r="R840">
        <f>IF($F840=1,MOD(MOD($Q840,11),10),"")</f>
        <v/>
      </c>
    </row>
    <row r="841">
      <c r="A841" s="6" t="n"/>
      <c r="B841" s="7">
        <f>IF($A841="","",UPPER(SUBSTITUTE(SUBSTITUTE(SUBSTITUTE(SUBSTITUTE(SUBSTITUTE(SUBSTITUTE($A841," ",""),"-",""),".",""),"/",""),"i","I"),"ı","?")))</f>
        <v/>
      </c>
      <c r="C841" s="8">
        <f>IF($F841=1,$R841,"")</f>
        <v/>
      </c>
      <c r="D841" s="7">
        <f>IF($A841="","",IF($F841=0,"Biçim hatalı",IF(FIND(MID($B841,11,1),"0123456789")-1=$R841,"Geçerli","Kontrol hanesi hatalı (doğrusu: "&amp;$R841&amp;")")))</f>
        <v/>
      </c>
      <c r="F841">
        <f>IF($A841="","",IF(AND(LEN($B841)=11,SUMPRODUCT(--ISNUMBER(FIND(MID($B841,{1,2,3},1),"ABCDEFGHIJKLMNOPQRSTUVWXYZ")))=3,ISNUMBER(FIND(MID($B841,4,1),"UJZ")),SUMPRODUCT(--ISNUMBER(FIND(MID($B841,{5,6,7,8,9,10,11},1),"0123456789")))=7),1,0))</f>
        <v/>
      </c>
      <c r="G841">
        <f>IF($F841=1,INDEX({10,12,13,14,15,16,17,18,19,20,21,23,24,25,26,27,28,29,30,31,32,34,35,36,37,38},1,FIND(MID($B841,1,1),"ABCDEFGHIJKLMNOPQRSTUVWXYZ")),"")</f>
        <v/>
      </c>
      <c r="H841">
        <f>IF($F841=1,INDEX({10,12,13,14,15,16,17,18,19,20,21,23,24,25,26,27,28,29,30,31,32,34,35,36,37,38},1,FIND(MID($B841,2,1),"ABCDEFGHIJKLMNOPQRSTUVWXYZ")),"")</f>
        <v/>
      </c>
      <c r="I841">
        <f>IF($F841=1,INDEX({10,12,13,14,15,16,17,18,19,20,21,23,24,25,26,27,28,29,30,31,32,34,35,36,37,38},1,FIND(MID($B841,3,1),"ABCDEFGHIJKLMNOPQRSTUVWXYZ")),"")</f>
        <v/>
      </c>
      <c r="J841">
        <f>IF($F841=1,INDEX({10,12,13,14,15,16,17,18,19,20,21,23,24,25,26,27,28,29,30,31,32,34,35,36,37,38},1,FIND(MID($B841,4,1),"ABCDEFGHIJKLMNOPQRSTUVWXYZ")),"")</f>
        <v/>
      </c>
      <c r="K841">
        <f>IF($F841=1,FIND(MID($B841,5,1),"0123456789")-1,"")</f>
        <v/>
      </c>
      <c r="L841">
        <f>IF($F841=1,FIND(MID($B841,6,1),"0123456789")-1,"")</f>
        <v/>
      </c>
      <c r="M841">
        <f>IF($F841=1,FIND(MID($B841,7,1),"0123456789")-1,"")</f>
        <v/>
      </c>
      <c r="N841">
        <f>IF($F841=1,FIND(MID($B841,8,1),"0123456789")-1,"")</f>
        <v/>
      </c>
      <c r="O841">
        <f>IF($F841=1,FIND(MID($B841,9,1),"0123456789")-1,"")</f>
        <v/>
      </c>
      <c r="P841">
        <f>IF($F841=1,FIND(MID($B841,10,1),"0123456789")-1,"")</f>
        <v/>
      </c>
      <c r="Q841">
        <f>IF($F841=1,SUMPRODUCT($G841:$P841,{1,2,4,8,16,32,64,128,256,512}),"")</f>
        <v/>
      </c>
      <c r="R841">
        <f>IF($F841=1,MOD(MOD($Q841,11),10),"")</f>
        <v/>
      </c>
    </row>
    <row r="842">
      <c r="A842" s="6" t="n"/>
      <c r="B842" s="7">
        <f>IF($A842="","",UPPER(SUBSTITUTE(SUBSTITUTE(SUBSTITUTE(SUBSTITUTE(SUBSTITUTE(SUBSTITUTE($A842," ",""),"-",""),".",""),"/",""),"i","I"),"ı","?")))</f>
        <v/>
      </c>
      <c r="C842" s="8">
        <f>IF($F842=1,$R842,"")</f>
        <v/>
      </c>
      <c r="D842" s="7">
        <f>IF($A842="","",IF($F842=0,"Biçim hatalı",IF(FIND(MID($B842,11,1),"0123456789")-1=$R842,"Geçerli","Kontrol hanesi hatalı (doğrusu: "&amp;$R842&amp;")")))</f>
        <v/>
      </c>
      <c r="F842">
        <f>IF($A842="","",IF(AND(LEN($B842)=11,SUMPRODUCT(--ISNUMBER(FIND(MID($B842,{1,2,3},1),"ABCDEFGHIJKLMNOPQRSTUVWXYZ")))=3,ISNUMBER(FIND(MID($B842,4,1),"UJZ")),SUMPRODUCT(--ISNUMBER(FIND(MID($B842,{5,6,7,8,9,10,11},1),"0123456789")))=7),1,0))</f>
        <v/>
      </c>
      <c r="G842">
        <f>IF($F842=1,INDEX({10,12,13,14,15,16,17,18,19,20,21,23,24,25,26,27,28,29,30,31,32,34,35,36,37,38},1,FIND(MID($B842,1,1),"ABCDEFGHIJKLMNOPQRSTUVWXYZ")),"")</f>
        <v/>
      </c>
      <c r="H842">
        <f>IF($F842=1,INDEX({10,12,13,14,15,16,17,18,19,20,21,23,24,25,26,27,28,29,30,31,32,34,35,36,37,38},1,FIND(MID($B842,2,1),"ABCDEFGHIJKLMNOPQRSTUVWXYZ")),"")</f>
        <v/>
      </c>
      <c r="I842">
        <f>IF($F842=1,INDEX({10,12,13,14,15,16,17,18,19,20,21,23,24,25,26,27,28,29,30,31,32,34,35,36,37,38},1,FIND(MID($B842,3,1),"ABCDEFGHIJKLMNOPQRSTUVWXYZ")),"")</f>
        <v/>
      </c>
      <c r="J842">
        <f>IF($F842=1,INDEX({10,12,13,14,15,16,17,18,19,20,21,23,24,25,26,27,28,29,30,31,32,34,35,36,37,38},1,FIND(MID($B842,4,1),"ABCDEFGHIJKLMNOPQRSTUVWXYZ")),"")</f>
        <v/>
      </c>
      <c r="K842">
        <f>IF($F842=1,FIND(MID($B842,5,1),"0123456789")-1,"")</f>
        <v/>
      </c>
      <c r="L842">
        <f>IF($F842=1,FIND(MID($B842,6,1),"0123456789")-1,"")</f>
        <v/>
      </c>
      <c r="M842">
        <f>IF($F842=1,FIND(MID($B842,7,1),"0123456789")-1,"")</f>
        <v/>
      </c>
      <c r="N842">
        <f>IF($F842=1,FIND(MID($B842,8,1),"0123456789")-1,"")</f>
        <v/>
      </c>
      <c r="O842">
        <f>IF($F842=1,FIND(MID($B842,9,1),"0123456789")-1,"")</f>
        <v/>
      </c>
      <c r="P842">
        <f>IF($F842=1,FIND(MID($B842,10,1),"0123456789")-1,"")</f>
        <v/>
      </c>
      <c r="Q842">
        <f>IF($F842=1,SUMPRODUCT($G842:$P842,{1,2,4,8,16,32,64,128,256,512}),"")</f>
        <v/>
      </c>
      <c r="R842">
        <f>IF($F842=1,MOD(MOD($Q842,11),10),"")</f>
        <v/>
      </c>
    </row>
    <row r="843">
      <c r="A843" s="6" t="n"/>
      <c r="B843" s="7">
        <f>IF($A843="","",UPPER(SUBSTITUTE(SUBSTITUTE(SUBSTITUTE(SUBSTITUTE(SUBSTITUTE(SUBSTITUTE($A843," ",""),"-",""),".",""),"/",""),"i","I"),"ı","?")))</f>
        <v/>
      </c>
      <c r="C843" s="8">
        <f>IF($F843=1,$R843,"")</f>
        <v/>
      </c>
      <c r="D843" s="7">
        <f>IF($A843="","",IF($F843=0,"Biçim hatalı",IF(FIND(MID($B843,11,1),"0123456789")-1=$R843,"Geçerli","Kontrol hanesi hatalı (doğrusu: "&amp;$R843&amp;")")))</f>
        <v/>
      </c>
      <c r="F843">
        <f>IF($A843="","",IF(AND(LEN($B843)=11,SUMPRODUCT(--ISNUMBER(FIND(MID($B843,{1,2,3},1),"ABCDEFGHIJKLMNOPQRSTUVWXYZ")))=3,ISNUMBER(FIND(MID($B843,4,1),"UJZ")),SUMPRODUCT(--ISNUMBER(FIND(MID($B843,{5,6,7,8,9,10,11},1),"0123456789")))=7),1,0))</f>
        <v/>
      </c>
      <c r="G843">
        <f>IF($F843=1,INDEX({10,12,13,14,15,16,17,18,19,20,21,23,24,25,26,27,28,29,30,31,32,34,35,36,37,38},1,FIND(MID($B843,1,1),"ABCDEFGHIJKLMNOPQRSTUVWXYZ")),"")</f>
        <v/>
      </c>
      <c r="H843">
        <f>IF($F843=1,INDEX({10,12,13,14,15,16,17,18,19,20,21,23,24,25,26,27,28,29,30,31,32,34,35,36,37,38},1,FIND(MID($B843,2,1),"ABCDEFGHIJKLMNOPQRSTUVWXYZ")),"")</f>
        <v/>
      </c>
      <c r="I843">
        <f>IF($F843=1,INDEX({10,12,13,14,15,16,17,18,19,20,21,23,24,25,26,27,28,29,30,31,32,34,35,36,37,38},1,FIND(MID($B843,3,1),"ABCDEFGHIJKLMNOPQRSTUVWXYZ")),"")</f>
        <v/>
      </c>
      <c r="J843">
        <f>IF($F843=1,INDEX({10,12,13,14,15,16,17,18,19,20,21,23,24,25,26,27,28,29,30,31,32,34,35,36,37,38},1,FIND(MID($B843,4,1),"ABCDEFGHIJKLMNOPQRSTUVWXYZ")),"")</f>
        <v/>
      </c>
      <c r="K843">
        <f>IF($F843=1,FIND(MID($B843,5,1),"0123456789")-1,"")</f>
        <v/>
      </c>
      <c r="L843">
        <f>IF($F843=1,FIND(MID($B843,6,1),"0123456789")-1,"")</f>
        <v/>
      </c>
      <c r="M843">
        <f>IF($F843=1,FIND(MID($B843,7,1),"0123456789")-1,"")</f>
        <v/>
      </c>
      <c r="N843">
        <f>IF($F843=1,FIND(MID($B843,8,1),"0123456789")-1,"")</f>
        <v/>
      </c>
      <c r="O843">
        <f>IF($F843=1,FIND(MID($B843,9,1),"0123456789")-1,"")</f>
        <v/>
      </c>
      <c r="P843">
        <f>IF($F843=1,FIND(MID($B843,10,1),"0123456789")-1,"")</f>
        <v/>
      </c>
      <c r="Q843">
        <f>IF($F843=1,SUMPRODUCT($G843:$P843,{1,2,4,8,16,32,64,128,256,512}),"")</f>
        <v/>
      </c>
      <c r="R843">
        <f>IF($F843=1,MOD(MOD($Q843,11),10),"")</f>
        <v/>
      </c>
    </row>
    <row r="844">
      <c r="A844" s="6" t="n"/>
      <c r="B844" s="7">
        <f>IF($A844="","",UPPER(SUBSTITUTE(SUBSTITUTE(SUBSTITUTE(SUBSTITUTE(SUBSTITUTE(SUBSTITUTE($A844," ",""),"-",""),".",""),"/",""),"i","I"),"ı","?")))</f>
        <v/>
      </c>
      <c r="C844" s="8">
        <f>IF($F844=1,$R844,"")</f>
        <v/>
      </c>
      <c r="D844" s="7">
        <f>IF($A844="","",IF($F844=0,"Biçim hatalı",IF(FIND(MID($B844,11,1),"0123456789")-1=$R844,"Geçerli","Kontrol hanesi hatalı (doğrusu: "&amp;$R844&amp;")")))</f>
        <v/>
      </c>
      <c r="F844">
        <f>IF($A844="","",IF(AND(LEN($B844)=11,SUMPRODUCT(--ISNUMBER(FIND(MID($B844,{1,2,3},1),"ABCDEFGHIJKLMNOPQRSTUVWXYZ")))=3,ISNUMBER(FIND(MID($B844,4,1),"UJZ")),SUMPRODUCT(--ISNUMBER(FIND(MID($B844,{5,6,7,8,9,10,11},1),"0123456789")))=7),1,0))</f>
        <v/>
      </c>
      <c r="G844">
        <f>IF($F844=1,INDEX({10,12,13,14,15,16,17,18,19,20,21,23,24,25,26,27,28,29,30,31,32,34,35,36,37,38},1,FIND(MID($B844,1,1),"ABCDEFGHIJKLMNOPQRSTUVWXYZ")),"")</f>
        <v/>
      </c>
      <c r="H844">
        <f>IF($F844=1,INDEX({10,12,13,14,15,16,17,18,19,20,21,23,24,25,26,27,28,29,30,31,32,34,35,36,37,38},1,FIND(MID($B844,2,1),"ABCDEFGHIJKLMNOPQRSTUVWXYZ")),"")</f>
        <v/>
      </c>
      <c r="I844">
        <f>IF($F844=1,INDEX({10,12,13,14,15,16,17,18,19,20,21,23,24,25,26,27,28,29,30,31,32,34,35,36,37,38},1,FIND(MID($B844,3,1),"ABCDEFGHIJKLMNOPQRSTUVWXYZ")),"")</f>
        <v/>
      </c>
      <c r="J844">
        <f>IF($F844=1,INDEX({10,12,13,14,15,16,17,18,19,20,21,23,24,25,26,27,28,29,30,31,32,34,35,36,37,38},1,FIND(MID($B844,4,1),"ABCDEFGHIJKLMNOPQRSTUVWXYZ")),"")</f>
        <v/>
      </c>
      <c r="K844">
        <f>IF($F844=1,FIND(MID($B844,5,1),"0123456789")-1,"")</f>
        <v/>
      </c>
      <c r="L844">
        <f>IF($F844=1,FIND(MID($B844,6,1),"0123456789")-1,"")</f>
        <v/>
      </c>
      <c r="M844">
        <f>IF($F844=1,FIND(MID($B844,7,1),"0123456789")-1,"")</f>
        <v/>
      </c>
      <c r="N844">
        <f>IF($F844=1,FIND(MID($B844,8,1),"0123456789")-1,"")</f>
        <v/>
      </c>
      <c r="O844">
        <f>IF($F844=1,FIND(MID($B844,9,1),"0123456789")-1,"")</f>
        <v/>
      </c>
      <c r="P844">
        <f>IF($F844=1,FIND(MID($B844,10,1),"0123456789")-1,"")</f>
        <v/>
      </c>
      <c r="Q844">
        <f>IF($F844=1,SUMPRODUCT($G844:$P844,{1,2,4,8,16,32,64,128,256,512}),"")</f>
        <v/>
      </c>
      <c r="R844">
        <f>IF($F844=1,MOD(MOD($Q844,11),10),"")</f>
        <v/>
      </c>
    </row>
    <row r="845">
      <c r="A845" s="6" t="n"/>
      <c r="B845" s="7">
        <f>IF($A845="","",UPPER(SUBSTITUTE(SUBSTITUTE(SUBSTITUTE(SUBSTITUTE(SUBSTITUTE(SUBSTITUTE($A845," ",""),"-",""),".",""),"/",""),"i","I"),"ı","?")))</f>
        <v/>
      </c>
      <c r="C845" s="8">
        <f>IF($F845=1,$R845,"")</f>
        <v/>
      </c>
      <c r="D845" s="7">
        <f>IF($A845="","",IF($F845=0,"Biçim hatalı",IF(FIND(MID($B845,11,1),"0123456789")-1=$R845,"Geçerli","Kontrol hanesi hatalı (doğrusu: "&amp;$R845&amp;")")))</f>
        <v/>
      </c>
      <c r="F845">
        <f>IF($A845="","",IF(AND(LEN($B845)=11,SUMPRODUCT(--ISNUMBER(FIND(MID($B845,{1,2,3},1),"ABCDEFGHIJKLMNOPQRSTUVWXYZ")))=3,ISNUMBER(FIND(MID($B845,4,1),"UJZ")),SUMPRODUCT(--ISNUMBER(FIND(MID($B845,{5,6,7,8,9,10,11},1),"0123456789")))=7),1,0))</f>
        <v/>
      </c>
      <c r="G845">
        <f>IF($F845=1,INDEX({10,12,13,14,15,16,17,18,19,20,21,23,24,25,26,27,28,29,30,31,32,34,35,36,37,38},1,FIND(MID($B845,1,1),"ABCDEFGHIJKLMNOPQRSTUVWXYZ")),"")</f>
        <v/>
      </c>
      <c r="H845">
        <f>IF($F845=1,INDEX({10,12,13,14,15,16,17,18,19,20,21,23,24,25,26,27,28,29,30,31,32,34,35,36,37,38},1,FIND(MID($B845,2,1),"ABCDEFGHIJKLMNOPQRSTUVWXYZ")),"")</f>
        <v/>
      </c>
      <c r="I845">
        <f>IF($F845=1,INDEX({10,12,13,14,15,16,17,18,19,20,21,23,24,25,26,27,28,29,30,31,32,34,35,36,37,38},1,FIND(MID($B845,3,1),"ABCDEFGHIJKLMNOPQRSTUVWXYZ")),"")</f>
        <v/>
      </c>
      <c r="J845">
        <f>IF($F845=1,INDEX({10,12,13,14,15,16,17,18,19,20,21,23,24,25,26,27,28,29,30,31,32,34,35,36,37,38},1,FIND(MID($B845,4,1),"ABCDEFGHIJKLMNOPQRSTUVWXYZ")),"")</f>
        <v/>
      </c>
      <c r="K845">
        <f>IF($F845=1,FIND(MID($B845,5,1),"0123456789")-1,"")</f>
        <v/>
      </c>
      <c r="L845">
        <f>IF($F845=1,FIND(MID($B845,6,1),"0123456789")-1,"")</f>
        <v/>
      </c>
      <c r="M845">
        <f>IF($F845=1,FIND(MID($B845,7,1),"0123456789")-1,"")</f>
        <v/>
      </c>
      <c r="N845">
        <f>IF($F845=1,FIND(MID($B845,8,1),"0123456789")-1,"")</f>
        <v/>
      </c>
      <c r="O845">
        <f>IF($F845=1,FIND(MID($B845,9,1),"0123456789")-1,"")</f>
        <v/>
      </c>
      <c r="P845">
        <f>IF($F845=1,FIND(MID($B845,10,1),"0123456789")-1,"")</f>
        <v/>
      </c>
      <c r="Q845">
        <f>IF($F845=1,SUMPRODUCT($G845:$P845,{1,2,4,8,16,32,64,128,256,512}),"")</f>
        <v/>
      </c>
      <c r="R845">
        <f>IF($F845=1,MOD(MOD($Q845,11),10),"")</f>
        <v/>
      </c>
    </row>
    <row r="846">
      <c r="A846" s="6" t="n"/>
      <c r="B846" s="7">
        <f>IF($A846="","",UPPER(SUBSTITUTE(SUBSTITUTE(SUBSTITUTE(SUBSTITUTE(SUBSTITUTE(SUBSTITUTE($A846," ",""),"-",""),".",""),"/",""),"i","I"),"ı","?")))</f>
        <v/>
      </c>
      <c r="C846" s="8">
        <f>IF($F846=1,$R846,"")</f>
        <v/>
      </c>
      <c r="D846" s="7">
        <f>IF($A846="","",IF($F846=0,"Biçim hatalı",IF(FIND(MID($B846,11,1),"0123456789")-1=$R846,"Geçerli","Kontrol hanesi hatalı (doğrusu: "&amp;$R846&amp;")")))</f>
        <v/>
      </c>
      <c r="F846">
        <f>IF($A846="","",IF(AND(LEN($B846)=11,SUMPRODUCT(--ISNUMBER(FIND(MID($B846,{1,2,3},1),"ABCDEFGHIJKLMNOPQRSTUVWXYZ")))=3,ISNUMBER(FIND(MID($B846,4,1),"UJZ")),SUMPRODUCT(--ISNUMBER(FIND(MID($B846,{5,6,7,8,9,10,11},1),"0123456789")))=7),1,0))</f>
        <v/>
      </c>
      <c r="G846">
        <f>IF($F846=1,INDEX({10,12,13,14,15,16,17,18,19,20,21,23,24,25,26,27,28,29,30,31,32,34,35,36,37,38},1,FIND(MID($B846,1,1),"ABCDEFGHIJKLMNOPQRSTUVWXYZ")),"")</f>
        <v/>
      </c>
      <c r="H846">
        <f>IF($F846=1,INDEX({10,12,13,14,15,16,17,18,19,20,21,23,24,25,26,27,28,29,30,31,32,34,35,36,37,38},1,FIND(MID($B846,2,1),"ABCDEFGHIJKLMNOPQRSTUVWXYZ")),"")</f>
        <v/>
      </c>
      <c r="I846">
        <f>IF($F846=1,INDEX({10,12,13,14,15,16,17,18,19,20,21,23,24,25,26,27,28,29,30,31,32,34,35,36,37,38},1,FIND(MID($B846,3,1),"ABCDEFGHIJKLMNOPQRSTUVWXYZ")),"")</f>
        <v/>
      </c>
      <c r="J846">
        <f>IF($F846=1,INDEX({10,12,13,14,15,16,17,18,19,20,21,23,24,25,26,27,28,29,30,31,32,34,35,36,37,38},1,FIND(MID($B846,4,1),"ABCDEFGHIJKLMNOPQRSTUVWXYZ")),"")</f>
        <v/>
      </c>
      <c r="K846">
        <f>IF($F846=1,FIND(MID($B846,5,1),"0123456789")-1,"")</f>
        <v/>
      </c>
      <c r="L846">
        <f>IF($F846=1,FIND(MID($B846,6,1),"0123456789")-1,"")</f>
        <v/>
      </c>
      <c r="M846">
        <f>IF($F846=1,FIND(MID($B846,7,1),"0123456789")-1,"")</f>
        <v/>
      </c>
      <c r="N846">
        <f>IF($F846=1,FIND(MID($B846,8,1),"0123456789")-1,"")</f>
        <v/>
      </c>
      <c r="O846">
        <f>IF($F846=1,FIND(MID($B846,9,1),"0123456789")-1,"")</f>
        <v/>
      </c>
      <c r="P846">
        <f>IF($F846=1,FIND(MID($B846,10,1),"0123456789")-1,"")</f>
        <v/>
      </c>
      <c r="Q846">
        <f>IF($F846=1,SUMPRODUCT($G846:$P846,{1,2,4,8,16,32,64,128,256,512}),"")</f>
        <v/>
      </c>
      <c r="R846">
        <f>IF($F846=1,MOD(MOD($Q846,11),10),"")</f>
        <v/>
      </c>
    </row>
    <row r="847">
      <c r="A847" s="6" t="n"/>
      <c r="B847" s="7">
        <f>IF($A847="","",UPPER(SUBSTITUTE(SUBSTITUTE(SUBSTITUTE(SUBSTITUTE(SUBSTITUTE(SUBSTITUTE($A847," ",""),"-",""),".",""),"/",""),"i","I"),"ı","?")))</f>
        <v/>
      </c>
      <c r="C847" s="8">
        <f>IF($F847=1,$R847,"")</f>
        <v/>
      </c>
      <c r="D847" s="7">
        <f>IF($A847="","",IF($F847=0,"Biçim hatalı",IF(FIND(MID($B847,11,1),"0123456789")-1=$R847,"Geçerli","Kontrol hanesi hatalı (doğrusu: "&amp;$R847&amp;")")))</f>
        <v/>
      </c>
      <c r="F847">
        <f>IF($A847="","",IF(AND(LEN($B847)=11,SUMPRODUCT(--ISNUMBER(FIND(MID($B847,{1,2,3},1),"ABCDEFGHIJKLMNOPQRSTUVWXYZ")))=3,ISNUMBER(FIND(MID($B847,4,1),"UJZ")),SUMPRODUCT(--ISNUMBER(FIND(MID($B847,{5,6,7,8,9,10,11},1),"0123456789")))=7),1,0))</f>
        <v/>
      </c>
      <c r="G847">
        <f>IF($F847=1,INDEX({10,12,13,14,15,16,17,18,19,20,21,23,24,25,26,27,28,29,30,31,32,34,35,36,37,38},1,FIND(MID($B847,1,1),"ABCDEFGHIJKLMNOPQRSTUVWXYZ")),"")</f>
        <v/>
      </c>
      <c r="H847">
        <f>IF($F847=1,INDEX({10,12,13,14,15,16,17,18,19,20,21,23,24,25,26,27,28,29,30,31,32,34,35,36,37,38},1,FIND(MID($B847,2,1),"ABCDEFGHIJKLMNOPQRSTUVWXYZ")),"")</f>
        <v/>
      </c>
      <c r="I847">
        <f>IF($F847=1,INDEX({10,12,13,14,15,16,17,18,19,20,21,23,24,25,26,27,28,29,30,31,32,34,35,36,37,38},1,FIND(MID($B847,3,1),"ABCDEFGHIJKLMNOPQRSTUVWXYZ")),"")</f>
        <v/>
      </c>
      <c r="J847">
        <f>IF($F847=1,INDEX({10,12,13,14,15,16,17,18,19,20,21,23,24,25,26,27,28,29,30,31,32,34,35,36,37,38},1,FIND(MID($B847,4,1),"ABCDEFGHIJKLMNOPQRSTUVWXYZ")),"")</f>
        <v/>
      </c>
      <c r="K847">
        <f>IF($F847=1,FIND(MID($B847,5,1),"0123456789")-1,"")</f>
        <v/>
      </c>
      <c r="L847">
        <f>IF($F847=1,FIND(MID($B847,6,1),"0123456789")-1,"")</f>
        <v/>
      </c>
      <c r="M847">
        <f>IF($F847=1,FIND(MID($B847,7,1),"0123456789")-1,"")</f>
        <v/>
      </c>
      <c r="N847">
        <f>IF($F847=1,FIND(MID($B847,8,1),"0123456789")-1,"")</f>
        <v/>
      </c>
      <c r="O847">
        <f>IF($F847=1,FIND(MID($B847,9,1),"0123456789")-1,"")</f>
        <v/>
      </c>
      <c r="P847">
        <f>IF($F847=1,FIND(MID($B847,10,1),"0123456789")-1,"")</f>
        <v/>
      </c>
      <c r="Q847">
        <f>IF($F847=1,SUMPRODUCT($G847:$P847,{1,2,4,8,16,32,64,128,256,512}),"")</f>
        <v/>
      </c>
      <c r="R847">
        <f>IF($F847=1,MOD(MOD($Q847,11),10),"")</f>
        <v/>
      </c>
    </row>
    <row r="848">
      <c r="A848" s="6" t="n"/>
      <c r="B848" s="7">
        <f>IF($A848="","",UPPER(SUBSTITUTE(SUBSTITUTE(SUBSTITUTE(SUBSTITUTE(SUBSTITUTE(SUBSTITUTE($A848," ",""),"-",""),".",""),"/",""),"i","I"),"ı","?")))</f>
        <v/>
      </c>
      <c r="C848" s="8">
        <f>IF($F848=1,$R848,"")</f>
        <v/>
      </c>
      <c r="D848" s="7">
        <f>IF($A848="","",IF($F848=0,"Biçim hatalı",IF(FIND(MID($B848,11,1),"0123456789")-1=$R848,"Geçerli","Kontrol hanesi hatalı (doğrusu: "&amp;$R848&amp;")")))</f>
        <v/>
      </c>
      <c r="F848">
        <f>IF($A848="","",IF(AND(LEN($B848)=11,SUMPRODUCT(--ISNUMBER(FIND(MID($B848,{1,2,3},1),"ABCDEFGHIJKLMNOPQRSTUVWXYZ")))=3,ISNUMBER(FIND(MID($B848,4,1),"UJZ")),SUMPRODUCT(--ISNUMBER(FIND(MID($B848,{5,6,7,8,9,10,11},1),"0123456789")))=7),1,0))</f>
        <v/>
      </c>
      <c r="G848">
        <f>IF($F848=1,INDEX({10,12,13,14,15,16,17,18,19,20,21,23,24,25,26,27,28,29,30,31,32,34,35,36,37,38},1,FIND(MID($B848,1,1),"ABCDEFGHIJKLMNOPQRSTUVWXYZ")),"")</f>
        <v/>
      </c>
      <c r="H848">
        <f>IF($F848=1,INDEX({10,12,13,14,15,16,17,18,19,20,21,23,24,25,26,27,28,29,30,31,32,34,35,36,37,38},1,FIND(MID($B848,2,1),"ABCDEFGHIJKLMNOPQRSTUVWXYZ")),"")</f>
        <v/>
      </c>
      <c r="I848">
        <f>IF($F848=1,INDEX({10,12,13,14,15,16,17,18,19,20,21,23,24,25,26,27,28,29,30,31,32,34,35,36,37,38},1,FIND(MID($B848,3,1),"ABCDEFGHIJKLMNOPQRSTUVWXYZ")),"")</f>
        <v/>
      </c>
      <c r="J848">
        <f>IF($F848=1,INDEX({10,12,13,14,15,16,17,18,19,20,21,23,24,25,26,27,28,29,30,31,32,34,35,36,37,38},1,FIND(MID($B848,4,1),"ABCDEFGHIJKLMNOPQRSTUVWXYZ")),"")</f>
        <v/>
      </c>
      <c r="K848">
        <f>IF($F848=1,FIND(MID($B848,5,1),"0123456789")-1,"")</f>
        <v/>
      </c>
      <c r="L848">
        <f>IF($F848=1,FIND(MID($B848,6,1),"0123456789")-1,"")</f>
        <v/>
      </c>
      <c r="M848">
        <f>IF($F848=1,FIND(MID($B848,7,1),"0123456789")-1,"")</f>
        <v/>
      </c>
      <c r="N848">
        <f>IF($F848=1,FIND(MID($B848,8,1),"0123456789")-1,"")</f>
        <v/>
      </c>
      <c r="O848">
        <f>IF($F848=1,FIND(MID($B848,9,1),"0123456789")-1,"")</f>
        <v/>
      </c>
      <c r="P848">
        <f>IF($F848=1,FIND(MID($B848,10,1),"0123456789")-1,"")</f>
        <v/>
      </c>
      <c r="Q848">
        <f>IF($F848=1,SUMPRODUCT($G848:$P848,{1,2,4,8,16,32,64,128,256,512}),"")</f>
        <v/>
      </c>
      <c r="R848">
        <f>IF($F848=1,MOD(MOD($Q848,11),10),"")</f>
        <v/>
      </c>
    </row>
    <row r="849">
      <c r="A849" s="6" t="n"/>
      <c r="B849" s="7">
        <f>IF($A849="","",UPPER(SUBSTITUTE(SUBSTITUTE(SUBSTITUTE(SUBSTITUTE(SUBSTITUTE(SUBSTITUTE($A849," ",""),"-",""),".",""),"/",""),"i","I"),"ı","?")))</f>
        <v/>
      </c>
      <c r="C849" s="8">
        <f>IF($F849=1,$R849,"")</f>
        <v/>
      </c>
      <c r="D849" s="7">
        <f>IF($A849="","",IF($F849=0,"Biçim hatalı",IF(FIND(MID($B849,11,1),"0123456789")-1=$R849,"Geçerli","Kontrol hanesi hatalı (doğrusu: "&amp;$R849&amp;")")))</f>
        <v/>
      </c>
      <c r="F849">
        <f>IF($A849="","",IF(AND(LEN($B849)=11,SUMPRODUCT(--ISNUMBER(FIND(MID($B849,{1,2,3},1),"ABCDEFGHIJKLMNOPQRSTUVWXYZ")))=3,ISNUMBER(FIND(MID($B849,4,1),"UJZ")),SUMPRODUCT(--ISNUMBER(FIND(MID($B849,{5,6,7,8,9,10,11},1),"0123456789")))=7),1,0))</f>
        <v/>
      </c>
      <c r="G849">
        <f>IF($F849=1,INDEX({10,12,13,14,15,16,17,18,19,20,21,23,24,25,26,27,28,29,30,31,32,34,35,36,37,38},1,FIND(MID($B849,1,1),"ABCDEFGHIJKLMNOPQRSTUVWXYZ")),"")</f>
        <v/>
      </c>
      <c r="H849">
        <f>IF($F849=1,INDEX({10,12,13,14,15,16,17,18,19,20,21,23,24,25,26,27,28,29,30,31,32,34,35,36,37,38},1,FIND(MID($B849,2,1),"ABCDEFGHIJKLMNOPQRSTUVWXYZ")),"")</f>
        <v/>
      </c>
      <c r="I849">
        <f>IF($F849=1,INDEX({10,12,13,14,15,16,17,18,19,20,21,23,24,25,26,27,28,29,30,31,32,34,35,36,37,38},1,FIND(MID($B849,3,1),"ABCDEFGHIJKLMNOPQRSTUVWXYZ")),"")</f>
        <v/>
      </c>
      <c r="J849">
        <f>IF($F849=1,INDEX({10,12,13,14,15,16,17,18,19,20,21,23,24,25,26,27,28,29,30,31,32,34,35,36,37,38},1,FIND(MID($B849,4,1),"ABCDEFGHIJKLMNOPQRSTUVWXYZ")),"")</f>
        <v/>
      </c>
      <c r="K849">
        <f>IF($F849=1,FIND(MID($B849,5,1),"0123456789")-1,"")</f>
        <v/>
      </c>
      <c r="L849">
        <f>IF($F849=1,FIND(MID($B849,6,1),"0123456789")-1,"")</f>
        <v/>
      </c>
      <c r="M849">
        <f>IF($F849=1,FIND(MID($B849,7,1),"0123456789")-1,"")</f>
        <v/>
      </c>
      <c r="N849">
        <f>IF($F849=1,FIND(MID($B849,8,1),"0123456789")-1,"")</f>
        <v/>
      </c>
      <c r="O849">
        <f>IF($F849=1,FIND(MID($B849,9,1),"0123456789")-1,"")</f>
        <v/>
      </c>
      <c r="P849">
        <f>IF($F849=1,FIND(MID($B849,10,1),"0123456789")-1,"")</f>
        <v/>
      </c>
      <c r="Q849">
        <f>IF($F849=1,SUMPRODUCT($G849:$P849,{1,2,4,8,16,32,64,128,256,512}),"")</f>
        <v/>
      </c>
      <c r="R849">
        <f>IF($F849=1,MOD(MOD($Q849,11),10),"")</f>
        <v/>
      </c>
    </row>
    <row r="850">
      <c r="A850" s="6" t="n"/>
      <c r="B850" s="7">
        <f>IF($A850="","",UPPER(SUBSTITUTE(SUBSTITUTE(SUBSTITUTE(SUBSTITUTE(SUBSTITUTE(SUBSTITUTE($A850," ",""),"-",""),".",""),"/",""),"i","I"),"ı","?")))</f>
        <v/>
      </c>
      <c r="C850" s="8">
        <f>IF($F850=1,$R850,"")</f>
        <v/>
      </c>
      <c r="D850" s="7">
        <f>IF($A850="","",IF($F850=0,"Biçim hatalı",IF(FIND(MID($B850,11,1),"0123456789")-1=$R850,"Geçerli","Kontrol hanesi hatalı (doğrusu: "&amp;$R850&amp;")")))</f>
        <v/>
      </c>
      <c r="F850">
        <f>IF($A850="","",IF(AND(LEN($B850)=11,SUMPRODUCT(--ISNUMBER(FIND(MID($B850,{1,2,3},1),"ABCDEFGHIJKLMNOPQRSTUVWXYZ")))=3,ISNUMBER(FIND(MID($B850,4,1),"UJZ")),SUMPRODUCT(--ISNUMBER(FIND(MID($B850,{5,6,7,8,9,10,11},1),"0123456789")))=7),1,0))</f>
        <v/>
      </c>
      <c r="G850">
        <f>IF($F850=1,INDEX({10,12,13,14,15,16,17,18,19,20,21,23,24,25,26,27,28,29,30,31,32,34,35,36,37,38},1,FIND(MID($B850,1,1),"ABCDEFGHIJKLMNOPQRSTUVWXYZ")),"")</f>
        <v/>
      </c>
      <c r="H850">
        <f>IF($F850=1,INDEX({10,12,13,14,15,16,17,18,19,20,21,23,24,25,26,27,28,29,30,31,32,34,35,36,37,38},1,FIND(MID($B850,2,1),"ABCDEFGHIJKLMNOPQRSTUVWXYZ")),"")</f>
        <v/>
      </c>
      <c r="I850">
        <f>IF($F850=1,INDEX({10,12,13,14,15,16,17,18,19,20,21,23,24,25,26,27,28,29,30,31,32,34,35,36,37,38},1,FIND(MID($B850,3,1),"ABCDEFGHIJKLMNOPQRSTUVWXYZ")),"")</f>
        <v/>
      </c>
      <c r="J850">
        <f>IF($F850=1,INDEX({10,12,13,14,15,16,17,18,19,20,21,23,24,25,26,27,28,29,30,31,32,34,35,36,37,38},1,FIND(MID($B850,4,1),"ABCDEFGHIJKLMNOPQRSTUVWXYZ")),"")</f>
        <v/>
      </c>
      <c r="K850">
        <f>IF($F850=1,FIND(MID($B850,5,1),"0123456789")-1,"")</f>
        <v/>
      </c>
      <c r="L850">
        <f>IF($F850=1,FIND(MID($B850,6,1),"0123456789")-1,"")</f>
        <v/>
      </c>
      <c r="M850">
        <f>IF($F850=1,FIND(MID($B850,7,1),"0123456789")-1,"")</f>
        <v/>
      </c>
      <c r="N850">
        <f>IF($F850=1,FIND(MID($B850,8,1),"0123456789")-1,"")</f>
        <v/>
      </c>
      <c r="O850">
        <f>IF($F850=1,FIND(MID($B850,9,1),"0123456789")-1,"")</f>
        <v/>
      </c>
      <c r="P850">
        <f>IF($F850=1,FIND(MID($B850,10,1),"0123456789")-1,"")</f>
        <v/>
      </c>
      <c r="Q850">
        <f>IF($F850=1,SUMPRODUCT($G850:$P850,{1,2,4,8,16,32,64,128,256,512}),"")</f>
        <v/>
      </c>
      <c r="R850">
        <f>IF($F850=1,MOD(MOD($Q850,11),10),"")</f>
        <v/>
      </c>
    </row>
    <row r="851">
      <c r="A851" s="6" t="n"/>
      <c r="B851" s="7">
        <f>IF($A851="","",UPPER(SUBSTITUTE(SUBSTITUTE(SUBSTITUTE(SUBSTITUTE(SUBSTITUTE(SUBSTITUTE($A851," ",""),"-",""),".",""),"/",""),"i","I"),"ı","?")))</f>
        <v/>
      </c>
      <c r="C851" s="8">
        <f>IF($F851=1,$R851,"")</f>
        <v/>
      </c>
      <c r="D851" s="7">
        <f>IF($A851="","",IF($F851=0,"Biçim hatalı",IF(FIND(MID($B851,11,1),"0123456789")-1=$R851,"Geçerli","Kontrol hanesi hatalı (doğrusu: "&amp;$R851&amp;")")))</f>
        <v/>
      </c>
      <c r="F851">
        <f>IF($A851="","",IF(AND(LEN($B851)=11,SUMPRODUCT(--ISNUMBER(FIND(MID($B851,{1,2,3},1),"ABCDEFGHIJKLMNOPQRSTUVWXYZ")))=3,ISNUMBER(FIND(MID($B851,4,1),"UJZ")),SUMPRODUCT(--ISNUMBER(FIND(MID($B851,{5,6,7,8,9,10,11},1),"0123456789")))=7),1,0))</f>
        <v/>
      </c>
      <c r="G851">
        <f>IF($F851=1,INDEX({10,12,13,14,15,16,17,18,19,20,21,23,24,25,26,27,28,29,30,31,32,34,35,36,37,38},1,FIND(MID($B851,1,1),"ABCDEFGHIJKLMNOPQRSTUVWXYZ")),"")</f>
        <v/>
      </c>
      <c r="H851">
        <f>IF($F851=1,INDEX({10,12,13,14,15,16,17,18,19,20,21,23,24,25,26,27,28,29,30,31,32,34,35,36,37,38},1,FIND(MID($B851,2,1),"ABCDEFGHIJKLMNOPQRSTUVWXYZ")),"")</f>
        <v/>
      </c>
      <c r="I851">
        <f>IF($F851=1,INDEX({10,12,13,14,15,16,17,18,19,20,21,23,24,25,26,27,28,29,30,31,32,34,35,36,37,38},1,FIND(MID($B851,3,1),"ABCDEFGHIJKLMNOPQRSTUVWXYZ")),"")</f>
        <v/>
      </c>
      <c r="J851">
        <f>IF($F851=1,INDEX({10,12,13,14,15,16,17,18,19,20,21,23,24,25,26,27,28,29,30,31,32,34,35,36,37,38},1,FIND(MID($B851,4,1),"ABCDEFGHIJKLMNOPQRSTUVWXYZ")),"")</f>
        <v/>
      </c>
      <c r="K851">
        <f>IF($F851=1,FIND(MID($B851,5,1),"0123456789")-1,"")</f>
        <v/>
      </c>
      <c r="L851">
        <f>IF($F851=1,FIND(MID($B851,6,1),"0123456789")-1,"")</f>
        <v/>
      </c>
      <c r="M851">
        <f>IF($F851=1,FIND(MID($B851,7,1),"0123456789")-1,"")</f>
        <v/>
      </c>
      <c r="N851">
        <f>IF($F851=1,FIND(MID($B851,8,1),"0123456789")-1,"")</f>
        <v/>
      </c>
      <c r="O851">
        <f>IF($F851=1,FIND(MID($B851,9,1),"0123456789")-1,"")</f>
        <v/>
      </c>
      <c r="P851">
        <f>IF($F851=1,FIND(MID($B851,10,1),"0123456789")-1,"")</f>
        <v/>
      </c>
      <c r="Q851">
        <f>IF($F851=1,SUMPRODUCT($G851:$P851,{1,2,4,8,16,32,64,128,256,512}),"")</f>
        <v/>
      </c>
      <c r="R851">
        <f>IF($F851=1,MOD(MOD($Q851,11),10),"")</f>
        <v/>
      </c>
    </row>
    <row r="852">
      <c r="A852" s="6" t="n"/>
      <c r="B852" s="7">
        <f>IF($A852="","",UPPER(SUBSTITUTE(SUBSTITUTE(SUBSTITUTE(SUBSTITUTE(SUBSTITUTE(SUBSTITUTE($A852," ",""),"-",""),".",""),"/",""),"i","I"),"ı","?")))</f>
        <v/>
      </c>
      <c r="C852" s="8">
        <f>IF($F852=1,$R852,"")</f>
        <v/>
      </c>
      <c r="D852" s="7">
        <f>IF($A852="","",IF($F852=0,"Biçim hatalı",IF(FIND(MID($B852,11,1),"0123456789")-1=$R852,"Geçerli","Kontrol hanesi hatalı (doğrusu: "&amp;$R852&amp;")")))</f>
        <v/>
      </c>
      <c r="F852">
        <f>IF($A852="","",IF(AND(LEN($B852)=11,SUMPRODUCT(--ISNUMBER(FIND(MID($B852,{1,2,3},1),"ABCDEFGHIJKLMNOPQRSTUVWXYZ")))=3,ISNUMBER(FIND(MID($B852,4,1),"UJZ")),SUMPRODUCT(--ISNUMBER(FIND(MID($B852,{5,6,7,8,9,10,11},1),"0123456789")))=7),1,0))</f>
        <v/>
      </c>
      <c r="G852">
        <f>IF($F852=1,INDEX({10,12,13,14,15,16,17,18,19,20,21,23,24,25,26,27,28,29,30,31,32,34,35,36,37,38},1,FIND(MID($B852,1,1),"ABCDEFGHIJKLMNOPQRSTUVWXYZ")),"")</f>
        <v/>
      </c>
      <c r="H852">
        <f>IF($F852=1,INDEX({10,12,13,14,15,16,17,18,19,20,21,23,24,25,26,27,28,29,30,31,32,34,35,36,37,38},1,FIND(MID($B852,2,1),"ABCDEFGHIJKLMNOPQRSTUVWXYZ")),"")</f>
        <v/>
      </c>
      <c r="I852">
        <f>IF($F852=1,INDEX({10,12,13,14,15,16,17,18,19,20,21,23,24,25,26,27,28,29,30,31,32,34,35,36,37,38},1,FIND(MID($B852,3,1),"ABCDEFGHIJKLMNOPQRSTUVWXYZ")),"")</f>
        <v/>
      </c>
      <c r="J852">
        <f>IF($F852=1,INDEX({10,12,13,14,15,16,17,18,19,20,21,23,24,25,26,27,28,29,30,31,32,34,35,36,37,38},1,FIND(MID($B852,4,1),"ABCDEFGHIJKLMNOPQRSTUVWXYZ")),"")</f>
        <v/>
      </c>
      <c r="K852">
        <f>IF($F852=1,FIND(MID($B852,5,1),"0123456789")-1,"")</f>
        <v/>
      </c>
      <c r="L852">
        <f>IF($F852=1,FIND(MID($B852,6,1),"0123456789")-1,"")</f>
        <v/>
      </c>
      <c r="M852">
        <f>IF($F852=1,FIND(MID($B852,7,1),"0123456789")-1,"")</f>
        <v/>
      </c>
      <c r="N852">
        <f>IF($F852=1,FIND(MID($B852,8,1),"0123456789")-1,"")</f>
        <v/>
      </c>
      <c r="O852">
        <f>IF($F852=1,FIND(MID($B852,9,1),"0123456789")-1,"")</f>
        <v/>
      </c>
      <c r="P852">
        <f>IF($F852=1,FIND(MID($B852,10,1),"0123456789")-1,"")</f>
        <v/>
      </c>
      <c r="Q852">
        <f>IF($F852=1,SUMPRODUCT($G852:$P852,{1,2,4,8,16,32,64,128,256,512}),"")</f>
        <v/>
      </c>
      <c r="R852">
        <f>IF($F852=1,MOD(MOD($Q852,11),10),"")</f>
        <v/>
      </c>
    </row>
    <row r="853">
      <c r="A853" s="6" t="n"/>
      <c r="B853" s="7">
        <f>IF($A853="","",UPPER(SUBSTITUTE(SUBSTITUTE(SUBSTITUTE(SUBSTITUTE(SUBSTITUTE(SUBSTITUTE($A853," ",""),"-",""),".",""),"/",""),"i","I"),"ı","?")))</f>
        <v/>
      </c>
      <c r="C853" s="8">
        <f>IF($F853=1,$R853,"")</f>
        <v/>
      </c>
      <c r="D853" s="7">
        <f>IF($A853="","",IF($F853=0,"Biçim hatalı",IF(FIND(MID($B853,11,1),"0123456789")-1=$R853,"Geçerli","Kontrol hanesi hatalı (doğrusu: "&amp;$R853&amp;")")))</f>
        <v/>
      </c>
      <c r="F853">
        <f>IF($A853="","",IF(AND(LEN($B853)=11,SUMPRODUCT(--ISNUMBER(FIND(MID($B853,{1,2,3},1),"ABCDEFGHIJKLMNOPQRSTUVWXYZ")))=3,ISNUMBER(FIND(MID($B853,4,1),"UJZ")),SUMPRODUCT(--ISNUMBER(FIND(MID($B853,{5,6,7,8,9,10,11},1),"0123456789")))=7),1,0))</f>
        <v/>
      </c>
      <c r="G853">
        <f>IF($F853=1,INDEX({10,12,13,14,15,16,17,18,19,20,21,23,24,25,26,27,28,29,30,31,32,34,35,36,37,38},1,FIND(MID($B853,1,1),"ABCDEFGHIJKLMNOPQRSTUVWXYZ")),"")</f>
        <v/>
      </c>
      <c r="H853">
        <f>IF($F853=1,INDEX({10,12,13,14,15,16,17,18,19,20,21,23,24,25,26,27,28,29,30,31,32,34,35,36,37,38},1,FIND(MID($B853,2,1),"ABCDEFGHIJKLMNOPQRSTUVWXYZ")),"")</f>
        <v/>
      </c>
      <c r="I853">
        <f>IF($F853=1,INDEX({10,12,13,14,15,16,17,18,19,20,21,23,24,25,26,27,28,29,30,31,32,34,35,36,37,38},1,FIND(MID($B853,3,1),"ABCDEFGHIJKLMNOPQRSTUVWXYZ")),"")</f>
        <v/>
      </c>
      <c r="J853">
        <f>IF($F853=1,INDEX({10,12,13,14,15,16,17,18,19,20,21,23,24,25,26,27,28,29,30,31,32,34,35,36,37,38},1,FIND(MID($B853,4,1),"ABCDEFGHIJKLMNOPQRSTUVWXYZ")),"")</f>
        <v/>
      </c>
      <c r="K853">
        <f>IF($F853=1,FIND(MID($B853,5,1),"0123456789")-1,"")</f>
        <v/>
      </c>
      <c r="L853">
        <f>IF($F853=1,FIND(MID($B853,6,1),"0123456789")-1,"")</f>
        <v/>
      </c>
      <c r="M853">
        <f>IF($F853=1,FIND(MID($B853,7,1),"0123456789")-1,"")</f>
        <v/>
      </c>
      <c r="N853">
        <f>IF($F853=1,FIND(MID($B853,8,1),"0123456789")-1,"")</f>
        <v/>
      </c>
      <c r="O853">
        <f>IF($F853=1,FIND(MID($B853,9,1),"0123456789")-1,"")</f>
        <v/>
      </c>
      <c r="P853">
        <f>IF($F853=1,FIND(MID($B853,10,1),"0123456789")-1,"")</f>
        <v/>
      </c>
      <c r="Q853">
        <f>IF($F853=1,SUMPRODUCT($G853:$P853,{1,2,4,8,16,32,64,128,256,512}),"")</f>
        <v/>
      </c>
      <c r="R853">
        <f>IF($F853=1,MOD(MOD($Q853,11),10),"")</f>
        <v/>
      </c>
    </row>
    <row r="854">
      <c r="A854" s="6" t="n"/>
      <c r="B854" s="7">
        <f>IF($A854="","",UPPER(SUBSTITUTE(SUBSTITUTE(SUBSTITUTE(SUBSTITUTE(SUBSTITUTE(SUBSTITUTE($A854," ",""),"-",""),".",""),"/",""),"i","I"),"ı","?")))</f>
        <v/>
      </c>
      <c r="C854" s="8">
        <f>IF($F854=1,$R854,"")</f>
        <v/>
      </c>
      <c r="D854" s="7">
        <f>IF($A854="","",IF($F854=0,"Biçim hatalı",IF(FIND(MID($B854,11,1),"0123456789")-1=$R854,"Geçerli","Kontrol hanesi hatalı (doğrusu: "&amp;$R854&amp;")")))</f>
        <v/>
      </c>
      <c r="F854">
        <f>IF($A854="","",IF(AND(LEN($B854)=11,SUMPRODUCT(--ISNUMBER(FIND(MID($B854,{1,2,3},1),"ABCDEFGHIJKLMNOPQRSTUVWXYZ")))=3,ISNUMBER(FIND(MID($B854,4,1),"UJZ")),SUMPRODUCT(--ISNUMBER(FIND(MID($B854,{5,6,7,8,9,10,11},1),"0123456789")))=7),1,0))</f>
        <v/>
      </c>
      <c r="G854">
        <f>IF($F854=1,INDEX({10,12,13,14,15,16,17,18,19,20,21,23,24,25,26,27,28,29,30,31,32,34,35,36,37,38},1,FIND(MID($B854,1,1),"ABCDEFGHIJKLMNOPQRSTUVWXYZ")),"")</f>
        <v/>
      </c>
      <c r="H854">
        <f>IF($F854=1,INDEX({10,12,13,14,15,16,17,18,19,20,21,23,24,25,26,27,28,29,30,31,32,34,35,36,37,38},1,FIND(MID($B854,2,1),"ABCDEFGHIJKLMNOPQRSTUVWXYZ")),"")</f>
        <v/>
      </c>
      <c r="I854">
        <f>IF($F854=1,INDEX({10,12,13,14,15,16,17,18,19,20,21,23,24,25,26,27,28,29,30,31,32,34,35,36,37,38},1,FIND(MID($B854,3,1),"ABCDEFGHIJKLMNOPQRSTUVWXYZ")),"")</f>
        <v/>
      </c>
      <c r="J854">
        <f>IF($F854=1,INDEX({10,12,13,14,15,16,17,18,19,20,21,23,24,25,26,27,28,29,30,31,32,34,35,36,37,38},1,FIND(MID($B854,4,1),"ABCDEFGHIJKLMNOPQRSTUVWXYZ")),"")</f>
        <v/>
      </c>
      <c r="K854">
        <f>IF($F854=1,FIND(MID($B854,5,1),"0123456789")-1,"")</f>
        <v/>
      </c>
      <c r="L854">
        <f>IF($F854=1,FIND(MID($B854,6,1),"0123456789")-1,"")</f>
        <v/>
      </c>
      <c r="M854">
        <f>IF($F854=1,FIND(MID($B854,7,1),"0123456789")-1,"")</f>
        <v/>
      </c>
      <c r="N854">
        <f>IF($F854=1,FIND(MID($B854,8,1),"0123456789")-1,"")</f>
        <v/>
      </c>
      <c r="O854">
        <f>IF($F854=1,FIND(MID($B854,9,1),"0123456789")-1,"")</f>
        <v/>
      </c>
      <c r="P854">
        <f>IF($F854=1,FIND(MID($B854,10,1),"0123456789")-1,"")</f>
        <v/>
      </c>
      <c r="Q854">
        <f>IF($F854=1,SUMPRODUCT($G854:$P854,{1,2,4,8,16,32,64,128,256,512}),"")</f>
        <v/>
      </c>
      <c r="R854">
        <f>IF($F854=1,MOD(MOD($Q854,11),10),"")</f>
        <v/>
      </c>
    </row>
    <row r="855">
      <c r="A855" s="6" t="n"/>
      <c r="B855" s="7">
        <f>IF($A855="","",UPPER(SUBSTITUTE(SUBSTITUTE(SUBSTITUTE(SUBSTITUTE(SUBSTITUTE(SUBSTITUTE($A855," ",""),"-",""),".",""),"/",""),"i","I"),"ı","?")))</f>
        <v/>
      </c>
      <c r="C855" s="8">
        <f>IF($F855=1,$R855,"")</f>
        <v/>
      </c>
      <c r="D855" s="7">
        <f>IF($A855="","",IF($F855=0,"Biçim hatalı",IF(FIND(MID($B855,11,1),"0123456789")-1=$R855,"Geçerli","Kontrol hanesi hatalı (doğrusu: "&amp;$R855&amp;")")))</f>
        <v/>
      </c>
      <c r="F855">
        <f>IF($A855="","",IF(AND(LEN($B855)=11,SUMPRODUCT(--ISNUMBER(FIND(MID($B855,{1,2,3},1),"ABCDEFGHIJKLMNOPQRSTUVWXYZ")))=3,ISNUMBER(FIND(MID($B855,4,1),"UJZ")),SUMPRODUCT(--ISNUMBER(FIND(MID($B855,{5,6,7,8,9,10,11},1),"0123456789")))=7),1,0))</f>
        <v/>
      </c>
      <c r="G855">
        <f>IF($F855=1,INDEX({10,12,13,14,15,16,17,18,19,20,21,23,24,25,26,27,28,29,30,31,32,34,35,36,37,38},1,FIND(MID($B855,1,1),"ABCDEFGHIJKLMNOPQRSTUVWXYZ")),"")</f>
        <v/>
      </c>
      <c r="H855">
        <f>IF($F855=1,INDEX({10,12,13,14,15,16,17,18,19,20,21,23,24,25,26,27,28,29,30,31,32,34,35,36,37,38},1,FIND(MID($B855,2,1),"ABCDEFGHIJKLMNOPQRSTUVWXYZ")),"")</f>
        <v/>
      </c>
      <c r="I855">
        <f>IF($F855=1,INDEX({10,12,13,14,15,16,17,18,19,20,21,23,24,25,26,27,28,29,30,31,32,34,35,36,37,38},1,FIND(MID($B855,3,1),"ABCDEFGHIJKLMNOPQRSTUVWXYZ")),"")</f>
        <v/>
      </c>
      <c r="J855">
        <f>IF($F855=1,INDEX({10,12,13,14,15,16,17,18,19,20,21,23,24,25,26,27,28,29,30,31,32,34,35,36,37,38},1,FIND(MID($B855,4,1),"ABCDEFGHIJKLMNOPQRSTUVWXYZ")),"")</f>
        <v/>
      </c>
      <c r="K855">
        <f>IF($F855=1,FIND(MID($B855,5,1),"0123456789")-1,"")</f>
        <v/>
      </c>
      <c r="L855">
        <f>IF($F855=1,FIND(MID($B855,6,1),"0123456789")-1,"")</f>
        <v/>
      </c>
      <c r="M855">
        <f>IF($F855=1,FIND(MID($B855,7,1),"0123456789")-1,"")</f>
        <v/>
      </c>
      <c r="N855">
        <f>IF($F855=1,FIND(MID($B855,8,1),"0123456789")-1,"")</f>
        <v/>
      </c>
      <c r="O855">
        <f>IF($F855=1,FIND(MID($B855,9,1),"0123456789")-1,"")</f>
        <v/>
      </c>
      <c r="P855">
        <f>IF($F855=1,FIND(MID($B855,10,1),"0123456789")-1,"")</f>
        <v/>
      </c>
      <c r="Q855">
        <f>IF($F855=1,SUMPRODUCT($G855:$P855,{1,2,4,8,16,32,64,128,256,512}),"")</f>
        <v/>
      </c>
      <c r="R855">
        <f>IF($F855=1,MOD(MOD($Q855,11),10),"")</f>
        <v/>
      </c>
    </row>
    <row r="856">
      <c r="A856" s="6" t="n"/>
      <c r="B856" s="7">
        <f>IF($A856="","",UPPER(SUBSTITUTE(SUBSTITUTE(SUBSTITUTE(SUBSTITUTE(SUBSTITUTE(SUBSTITUTE($A856," ",""),"-",""),".",""),"/",""),"i","I"),"ı","?")))</f>
        <v/>
      </c>
      <c r="C856" s="8">
        <f>IF($F856=1,$R856,"")</f>
        <v/>
      </c>
      <c r="D856" s="7">
        <f>IF($A856="","",IF($F856=0,"Biçim hatalı",IF(FIND(MID($B856,11,1),"0123456789")-1=$R856,"Geçerli","Kontrol hanesi hatalı (doğrusu: "&amp;$R856&amp;")")))</f>
        <v/>
      </c>
      <c r="F856">
        <f>IF($A856="","",IF(AND(LEN($B856)=11,SUMPRODUCT(--ISNUMBER(FIND(MID($B856,{1,2,3},1),"ABCDEFGHIJKLMNOPQRSTUVWXYZ")))=3,ISNUMBER(FIND(MID($B856,4,1),"UJZ")),SUMPRODUCT(--ISNUMBER(FIND(MID($B856,{5,6,7,8,9,10,11},1),"0123456789")))=7),1,0))</f>
        <v/>
      </c>
      <c r="G856">
        <f>IF($F856=1,INDEX({10,12,13,14,15,16,17,18,19,20,21,23,24,25,26,27,28,29,30,31,32,34,35,36,37,38},1,FIND(MID($B856,1,1),"ABCDEFGHIJKLMNOPQRSTUVWXYZ")),"")</f>
        <v/>
      </c>
      <c r="H856">
        <f>IF($F856=1,INDEX({10,12,13,14,15,16,17,18,19,20,21,23,24,25,26,27,28,29,30,31,32,34,35,36,37,38},1,FIND(MID($B856,2,1),"ABCDEFGHIJKLMNOPQRSTUVWXYZ")),"")</f>
        <v/>
      </c>
      <c r="I856">
        <f>IF($F856=1,INDEX({10,12,13,14,15,16,17,18,19,20,21,23,24,25,26,27,28,29,30,31,32,34,35,36,37,38},1,FIND(MID($B856,3,1),"ABCDEFGHIJKLMNOPQRSTUVWXYZ")),"")</f>
        <v/>
      </c>
      <c r="J856">
        <f>IF($F856=1,INDEX({10,12,13,14,15,16,17,18,19,20,21,23,24,25,26,27,28,29,30,31,32,34,35,36,37,38},1,FIND(MID($B856,4,1),"ABCDEFGHIJKLMNOPQRSTUVWXYZ")),"")</f>
        <v/>
      </c>
      <c r="K856">
        <f>IF($F856=1,FIND(MID($B856,5,1),"0123456789")-1,"")</f>
        <v/>
      </c>
      <c r="L856">
        <f>IF($F856=1,FIND(MID($B856,6,1),"0123456789")-1,"")</f>
        <v/>
      </c>
      <c r="M856">
        <f>IF($F856=1,FIND(MID($B856,7,1),"0123456789")-1,"")</f>
        <v/>
      </c>
      <c r="N856">
        <f>IF($F856=1,FIND(MID($B856,8,1),"0123456789")-1,"")</f>
        <v/>
      </c>
      <c r="O856">
        <f>IF($F856=1,FIND(MID($B856,9,1),"0123456789")-1,"")</f>
        <v/>
      </c>
      <c r="P856">
        <f>IF($F856=1,FIND(MID($B856,10,1),"0123456789")-1,"")</f>
        <v/>
      </c>
      <c r="Q856">
        <f>IF($F856=1,SUMPRODUCT($G856:$P856,{1,2,4,8,16,32,64,128,256,512}),"")</f>
        <v/>
      </c>
      <c r="R856">
        <f>IF($F856=1,MOD(MOD($Q856,11),10),"")</f>
        <v/>
      </c>
    </row>
    <row r="857">
      <c r="A857" s="6" t="n"/>
      <c r="B857" s="7">
        <f>IF($A857="","",UPPER(SUBSTITUTE(SUBSTITUTE(SUBSTITUTE(SUBSTITUTE(SUBSTITUTE(SUBSTITUTE($A857," ",""),"-",""),".",""),"/",""),"i","I"),"ı","?")))</f>
        <v/>
      </c>
      <c r="C857" s="8">
        <f>IF($F857=1,$R857,"")</f>
        <v/>
      </c>
      <c r="D857" s="7">
        <f>IF($A857="","",IF($F857=0,"Biçim hatalı",IF(FIND(MID($B857,11,1),"0123456789")-1=$R857,"Geçerli","Kontrol hanesi hatalı (doğrusu: "&amp;$R857&amp;")")))</f>
        <v/>
      </c>
      <c r="F857">
        <f>IF($A857="","",IF(AND(LEN($B857)=11,SUMPRODUCT(--ISNUMBER(FIND(MID($B857,{1,2,3},1),"ABCDEFGHIJKLMNOPQRSTUVWXYZ")))=3,ISNUMBER(FIND(MID($B857,4,1),"UJZ")),SUMPRODUCT(--ISNUMBER(FIND(MID($B857,{5,6,7,8,9,10,11},1),"0123456789")))=7),1,0))</f>
        <v/>
      </c>
      <c r="G857">
        <f>IF($F857=1,INDEX({10,12,13,14,15,16,17,18,19,20,21,23,24,25,26,27,28,29,30,31,32,34,35,36,37,38},1,FIND(MID($B857,1,1),"ABCDEFGHIJKLMNOPQRSTUVWXYZ")),"")</f>
        <v/>
      </c>
      <c r="H857">
        <f>IF($F857=1,INDEX({10,12,13,14,15,16,17,18,19,20,21,23,24,25,26,27,28,29,30,31,32,34,35,36,37,38},1,FIND(MID($B857,2,1),"ABCDEFGHIJKLMNOPQRSTUVWXYZ")),"")</f>
        <v/>
      </c>
      <c r="I857">
        <f>IF($F857=1,INDEX({10,12,13,14,15,16,17,18,19,20,21,23,24,25,26,27,28,29,30,31,32,34,35,36,37,38},1,FIND(MID($B857,3,1),"ABCDEFGHIJKLMNOPQRSTUVWXYZ")),"")</f>
        <v/>
      </c>
      <c r="J857">
        <f>IF($F857=1,INDEX({10,12,13,14,15,16,17,18,19,20,21,23,24,25,26,27,28,29,30,31,32,34,35,36,37,38},1,FIND(MID($B857,4,1),"ABCDEFGHIJKLMNOPQRSTUVWXYZ")),"")</f>
        <v/>
      </c>
      <c r="K857">
        <f>IF($F857=1,FIND(MID($B857,5,1),"0123456789")-1,"")</f>
        <v/>
      </c>
      <c r="L857">
        <f>IF($F857=1,FIND(MID($B857,6,1),"0123456789")-1,"")</f>
        <v/>
      </c>
      <c r="M857">
        <f>IF($F857=1,FIND(MID($B857,7,1),"0123456789")-1,"")</f>
        <v/>
      </c>
      <c r="N857">
        <f>IF($F857=1,FIND(MID($B857,8,1),"0123456789")-1,"")</f>
        <v/>
      </c>
      <c r="O857">
        <f>IF($F857=1,FIND(MID($B857,9,1),"0123456789")-1,"")</f>
        <v/>
      </c>
      <c r="P857">
        <f>IF($F857=1,FIND(MID($B857,10,1),"0123456789")-1,"")</f>
        <v/>
      </c>
      <c r="Q857">
        <f>IF($F857=1,SUMPRODUCT($G857:$P857,{1,2,4,8,16,32,64,128,256,512}),"")</f>
        <v/>
      </c>
      <c r="R857">
        <f>IF($F857=1,MOD(MOD($Q857,11),10),"")</f>
        <v/>
      </c>
    </row>
    <row r="858">
      <c r="A858" s="6" t="n"/>
      <c r="B858" s="7">
        <f>IF($A858="","",UPPER(SUBSTITUTE(SUBSTITUTE(SUBSTITUTE(SUBSTITUTE(SUBSTITUTE(SUBSTITUTE($A858," ",""),"-",""),".",""),"/",""),"i","I"),"ı","?")))</f>
        <v/>
      </c>
      <c r="C858" s="8">
        <f>IF($F858=1,$R858,"")</f>
        <v/>
      </c>
      <c r="D858" s="7">
        <f>IF($A858="","",IF($F858=0,"Biçim hatalı",IF(FIND(MID($B858,11,1),"0123456789")-1=$R858,"Geçerli","Kontrol hanesi hatalı (doğrusu: "&amp;$R858&amp;")")))</f>
        <v/>
      </c>
      <c r="F858">
        <f>IF($A858="","",IF(AND(LEN($B858)=11,SUMPRODUCT(--ISNUMBER(FIND(MID($B858,{1,2,3},1),"ABCDEFGHIJKLMNOPQRSTUVWXYZ")))=3,ISNUMBER(FIND(MID($B858,4,1),"UJZ")),SUMPRODUCT(--ISNUMBER(FIND(MID($B858,{5,6,7,8,9,10,11},1),"0123456789")))=7),1,0))</f>
        <v/>
      </c>
      <c r="G858">
        <f>IF($F858=1,INDEX({10,12,13,14,15,16,17,18,19,20,21,23,24,25,26,27,28,29,30,31,32,34,35,36,37,38},1,FIND(MID($B858,1,1),"ABCDEFGHIJKLMNOPQRSTUVWXYZ")),"")</f>
        <v/>
      </c>
      <c r="H858">
        <f>IF($F858=1,INDEX({10,12,13,14,15,16,17,18,19,20,21,23,24,25,26,27,28,29,30,31,32,34,35,36,37,38},1,FIND(MID($B858,2,1),"ABCDEFGHIJKLMNOPQRSTUVWXYZ")),"")</f>
        <v/>
      </c>
      <c r="I858">
        <f>IF($F858=1,INDEX({10,12,13,14,15,16,17,18,19,20,21,23,24,25,26,27,28,29,30,31,32,34,35,36,37,38},1,FIND(MID($B858,3,1),"ABCDEFGHIJKLMNOPQRSTUVWXYZ")),"")</f>
        <v/>
      </c>
      <c r="J858">
        <f>IF($F858=1,INDEX({10,12,13,14,15,16,17,18,19,20,21,23,24,25,26,27,28,29,30,31,32,34,35,36,37,38},1,FIND(MID($B858,4,1),"ABCDEFGHIJKLMNOPQRSTUVWXYZ")),"")</f>
        <v/>
      </c>
      <c r="K858">
        <f>IF($F858=1,FIND(MID($B858,5,1),"0123456789")-1,"")</f>
        <v/>
      </c>
      <c r="L858">
        <f>IF($F858=1,FIND(MID($B858,6,1),"0123456789")-1,"")</f>
        <v/>
      </c>
      <c r="M858">
        <f>IF($F858=1,FIND(MID($B858,7,1),"0123456789")-1,"")</f>
        <v/>
      </c>
      <c r="N858">
        <f>IF($F858=1,FIND(MID($B858,8,1),"0123456789")-1,"")</f>
        <v/>
      </c>
      <c r="O858">
        <f>IF($F858=1,FIND(MID($B858,9,1),"0123456789")-1,"")</f>
        <v/>
      </c>
      <c r="P858">
        <f>IF($F858=1,FIND(MID($B858,10,1),"0123456789")-1,"")</f>
        <v/>
      </c>
      <c r="Q858">
        <f>IF($F858=1,SUMPRODUCT($G858:$P858,{1,2,4,8,16,32,64,128,256,512}),"")</f>
        <v/>
      </c>
      <c r="R858">
        <f>IF($F858=1,MOD(MOD($Q858,11),10),"")</f>
        <v/>
      </c>
    </row>
    <row r="859">
      <c r="A859" s="6" t="n"/>
      <c r="B859" s="7">
        <f>IF($A859="","",UPPER(SUBSTITUTE(SUBSTITUTE(SUBSTITUTE(SUBSTITUTE(SUBSTITUTE(SUBSTITUTE($A859," ",""),"-",""),".",""),"/",""),"i","I"),"ı","?")))</f>
        <v/>
      </c>
      <c r="C859" s="8">
        <f>IF($F859=1,$R859,"")</f>
        <v/>
      </c>
      <c r="D859" s="7">
        <f>IF($A859="","",IF($F859=0,"Biçim hatalı",IF(FIND(MID($B859,11,1),"0123456789")-1=$R859,"Geçerli","Kontrol hanesi hatalı (doğrusu: "&amp;$R859&amp;")")))</f>
        <v/>
      </c>
      <c r="F859">
        <f>IF($A859="","",IF(AND(LEN($B859)=11,SUMPRODUCT(--ISNUMBER(FIND(MID($B859,{1,2,3},1),"ABCDEFGHIJKLMNOPQRSTUVWXYZ")))=3,ISNUMBER(FIND(MID($B859,4,1),"UJZ")),SUMPRODUCT(--ISNUMBER(FIND(MID($B859,{5,6,7,8,9,10,11},1),"0123456789")))=7),1,0))</f>
        <v/>
      </c>
      <c r="G859">
        <f>IF($F859=1,INDEX({10,12,13,14,15,16,17,18,19,20,21,23,24,25,26,27,28,29,30,31,32,34,35,36,37,38},1,FIND(MID($B859,1,1),"ABCDEFGHIJKLMNOPQRSTUVWXYZ")),"")</f>
        <v/>
      </c>
      <c r="H859">
        <f>IF($F859=1,INDEX({10,12,13,14,15,16,17,18,19,20,21,23,24,25,26,27,28,29,30,31,32,34,35,36,37,38},1,FIND(MID($B859,2,1),"ABCDEFGHIJKLMNOPQRSTUVWXYZ")),"")</f>
        <v/>
      </c>
      <c r="I859">
        <f>IF($F859=1,INDEX({10,12,13,14,15,16,17,18,19,20,21,23,24,25,26,27,28,29,30,31,32,34,35,36,37,38},1,FIND(MID($B859,3,1),"ABCDEFGHIJKLMNOPQRSTUVWXYZ")),"")</f>
        <v/>
      </c>
      <c r="J859">
        <f>IF($F859=1,INDEX({10,12,13,14,15,16,17,18,19,20,21,23,24,25,26,27,28,29,30,31,32,34,35,36,37,38},1,FIND(MID($B859,4,1),"ABCDEFGHIJKLMNOPQRSTUVWXYZ")),"")</f>
        <v/>
      </c>
      <c r="K859">
        <f>IF($F859=1,FIND(MID($B859,5,1),"0123456789")-1,"")</f>
        <v/>
      </c>
      <c r="L859">
        <f>IF($F859=1,FIND(MID($B859,6,1),"0123456789")-1,"")</f>
        <v/>
      </c>
      <c r="M859">
        <f>IF($F859=1,FIND(MID($B859,7,1),"0123456789")-1,"")</f>
        <v/>
      </c>
      <c r="N859">
        <f>IF($F859=1,FIND(MID($B859,8,1),"0123456789")-1,"")</f>
        <v/>
      </c>
      <c r="O859">
        <f>IF($F859=1,FIND(MID($B859,9,1),"0123456789")-1,"")</f>
        <v/>
      </c>
      <c r="P859">
        <f>IF($F859=1,FIND(MID($B859,10,1),"0123456789")-1,"")</f>
        <v/>
      </c>
      <c r="Q859">
        <f>IF($F859=1,SUMPRODUCT($G859:$P859,{1,2,4,8,16,32,64,128,256,512}),"")</f>
        <v/>
      </c>
      <c r="R859">
        <f>IF($F859=1,MOD(MOD($Q859,11),10),"")</f>
        <v/>
      </c>
    </row>
    <row r="860">
      <c r="A860" s="6" t="n"/>
      <c r="B860" s="7">
        <f>IF($A860="","",UPPER(SUBSTITUTE(SUBSTITUTE(SUBSTITUTE(SUBSTITUTE(SUBSTITUTE(SUBSTITUTE($A860," ",""),"-",""),".",""),"/",""),"i","I"),"ı","?")))</f>
        <v/>
      </c>
      <c r="C860" s="8">
        <f>IF($F860=1,$R860,"")</f>
        <v/>
      </c>
      <c r="D860" s="7">
        <f>IF($A860="","",IF($F860=0,"Biçim hatalı",IF(FIND(MID($B860,11,1),"0123456789")-1=$R860,"Geçerli","Kontrol hanesi hatalı (doğrusu: "&amp;$R860&amp;")")))</f>
        <v/>
      </c>
      <c r="F860">
        <f>IF($A860="","",IF(AND(LEN($B860)=11,SUMPRODUCT(--ISNUMBER(FIND(MID($B860,{1,2,3},1),"ABCDEFGHIJKLMNOPQRSTUVWXYZ")))=3,ISNUMBER(FIND(MID($B860,4,1),"UJZ")),SUMPRODUCT(--ISNUMBER(FIND(MID($B860,{5,6,7,8,9,10,11},1),"0123456789")))=7),1,0))</f>
        <v/>
      </c>
      <c r="G860">
        <f>IF($F860=1,INDEX({10,12,13,14,15,16,17,18,19,20,21,23,24,25,26,27,28,29,30,31,32,34,35,36,37,38},1,FIND(MID($B860,1,1),"ABCDEFGHIJKLMNOPQRSTUVWXYZ")),"")</f>
        <v/>
      </c>
      <c r="H860">
        <f>IF($F860=1,INDEX({10,12,13,14,15,16,17,18,19,20,21,23,24,25,26,27,28,29,30,31,32,34,35,36,37,38},1,FIND(MID($B860,2,1),"ABCDEFGHIJKLMNOPQRSTUVWXYZ")),"")</f>
        <v/>
      </c>
      <c r="I860">
        <f>IF($F860=1,INDEX({10,12,13,14,15,16,17,18,19,20,21,23,24,25,26,27,28,29,30,31,32,34,35,36,37,38},1,FIND(MID($B860,3,1),"ABCDEFGHIJKLMNOPQRSTUVWXYZ")),"")</f>
        <v/>
      </c>
      <c r="J860">
        <f>IF($F860=1,INDEX({10,12,13,14,15,16,17,18,19,20,21,23,24,25,26,27,28,29,30,31,32,34,35,36,37,38},1,FIND(MID($B860,4,1),"ABCDEFGHIJKLMNOPQRSTUVWXYZ")),"")</f>
        <v/>
      </c>
      <c r="K860">
        <f>IF($F860=1,FIND(MID($B860,5,1),"0123456789")-1,"")</f>
        <v/>
      </c>
      <c r="L860">
        <f>IF($F860=1,FIND(MID($B860,6,1),"0123456789")-1,"")</f>
        <v/>
      </c>
      <c r="M860">
        <f>IF($F860=1,FIND(MID($B860,7,1),"0123456789")-1,"")</f>
        <v/>
      </c>
      <c r="N860">
        <f>IF($F860=1,FIND(MID($B860,8,1),"0123456789")-1,"")</f>
        <v/>
      </c>
      <c r="O860">
        <f>IF($F860=1,FIND(MID($B860,9,1),"0123456789")-1,"")</f>
        <v/>
      </c>
      <c r="P860">
        <f>IF($F860=1,FIND(MID($B860,10,1),"0123456789")-1,"")</f>
        <v/>
      </c>
      <c r="Q860">
        <f>IF($F860=1,SUMPRODUCT($G860:$P860,{1,2,4,8,16,32,64,128,256,512}),"")</f>
        <v/>
      </c>
      <c r="R860">
        <f>IF($F860=1,MOD(MOD($Q860,11),10),"")</f>
        <v/>
      </c>
    </row>
    <row r="861">
      <c r="A861" s="6" t="n"/>
      <c r="B861" s="7">
        <f>IF($A861="","",UPPER(SUBSTITUTE(SUBSTITUTE(SUBSTITUTE(SUBSTITUTE(SUBSTITUTE(SUBSTITUTE($A861," ",""),"-",""),".",""),"/",""),"i","I"),"ı","?")))</f>
        <v/>
      </c>
      <c r="C861" s="8">
        <f>IF($F861=1,$R861,"")</f>
        <v/>
      </c>
      <c r="D861" s="7">
        <f>IF($A861="","",IF($F861=0,"Biçim hatalı",IF(FIND(MID($B861,11,1),"0123456789")-1=$R861,"Geçerli","Kontrol hanesi hatalı (doğrusu: "&amp;$R861&amp;")")))</f>
        <v/>
      </c>
      <c r="F861">
        <f>IF($A861="","",IF(AND(LEN($B861)=11,SUMPRODUCT(--ISNUMBER(FIND(MID($B861,{1,2,3},1),"ABCDEFGHIJKLMNOPQRSTUVWXYZ")))=3,ISNUMBER(FIND(MID($B861,4,1),"UJZ")),SUMPRODUCT(--ISNUMBER(FIND(MID($B861,{5,6,7,8,9,10,11},1),"0123456789")))=7),1,0))</f>
        <v/>
      </c>
      <c r="G861">
        <f>IF($F861=1,INDEX({10,12,13,14,15,16,17,18,19,20,21,23,24,25,26,27,28,29,30,31,32,34,35,36,37,38},1,FIND(MID($B861,1,1),"ABCDEFGHIJKLMNOPQRSTUVWXYZ")),"")</f>
        <v/>
      </c>
      <c r="H861">
        <f>IF($F861=1,INDEX({10,12,13,14,15,16,17,18,19,20,21,23,24,25,26,27,28,29,30,31,32,34,35,36,37,38},1,FIND(MID($B861,2,1),"ABCDEFGHIJKLMNOPQRSTUVWXYZ")),"")</f>
        <v/>
      </c>
      <c r="I861">
        <f>IF($F861=1,INDEX({10,12,13,14,15,16,17,18,19,20,21,23,24,25,26,27,28,29,30,31,32,34,35,36,37,38},1,FIND(MID($B861,3,1),"ABCDEFGHIJKLMNOPQRSTUVWXYZ")),"")</f>
        <v/>
      </c>
      <c r="J861">
        <f>IF($F861=1,INDEX({10,12,13,14,15,16,17,18,19,20,21,23,24,25,26,27,28,29,30,31,32,34,35,36,37,38},1,FIND(MID($B861,4,1),"ABCDEFGHIJKLMNOPQRSTUVWXYZ")),"")</f>
        <v/>
      </c>
      <c r="K861">
        <f>IF($F861=1,FIND(MID($B861,5,1),"0123456789")-1,"")</f>
        <v/>
      </c>
      <c r="L861">
        <f>IF($F861=1,FIND(MID($B861,6,1),"0123456789")-1,"")</f>
        <v/>
      </c>
      <c r="M861">
        <f>IF($F861=1,FIND(MID($B861,7,1),"0123456789")-1,"")</f>
        <v/>
      </c>
      <c r="N861">
        <f>IF($F861=1,FIND(MID($B861,8,1),"0123456789")-1,"")</f>
        <v/>
      </c>
      <c r="O861">
        <f>IF($F861=1,FIND(MID($B861,9,1),"0123456789")-1,"")</f>
        <v/>
      </c>
      <c r="P861">
        <f>IF($F861=1,FIND(MID($B861,10,1),"0123456789")-1,"")</f>
        <v/>
      </c>
      <c r="Q861">
        <f>IF($F861=1,SUMPRODUCT($G861:$P861,{1,2,4,8,16,32,64,128,256,512}),"")</f>
        <v/>
      </c>
      <c r="R861">
        <f>IF($F861=1,MOD(MOD($Q861,11),10),"")</f>
        <v/>
      </c>
    </row>
    <row r="862">
      <c r="A862" s="6" t="n"/>
      <c r="B862" s="7">
        <f>IF($A862="","",UPPER(SUBSTITUTE(SUBSTITUTE(SUBSTITUTE(SUBSTITUTE(SUBSTITUTE(SUBSTITUTE($A862," ",""),"-",""),".",""),"/",""),"i","I"),"ı","?")))</f>
        <v/>
      </c>
      <c r="C862" s="8">
        <f>IF($F862=1,$R862,"")</f>
        <v/>
      </c>
      <c r="D862" s="7">
        <f>IF($A862="","",IF($F862=0,"Biçim hatalı",IF(FIND(MID($B862,11,1),"0123456789")-1=$R862,"Geçerli","Kontrol hanesi hatalı (doğrusu: "&amp;$R862&amp;")")))</f>
        <v/>
      </c>
      <c r="F862">
        <f>IF($A862="","",IF(AND(LEN($B862)=11,SUMPRODUCT(--ISNUMBER(FIND(MID($B862,{1,2,3},1),"ABCDEFGHIJKLMNOPQRSTUVWXYZ")))=3,ISNUMBER(FIND(MID($B862,4,1),"UJZ")),SUMPRODUCT(--ISNUMBER(FIND(MID($B862,{5,6,7,8,9,10,11},1),"0123456789")))=7),1,0))</f>
        <v/>
      </c>
      <c r="G862">
        <f>IF($F862=1,INDEX({10,12,13,14,15,16,17,18,19,20,21,23,24,25,26,27,28,29,30,31,32,34,35,36,37,38},1,FIND(MID($B862,1,1),"ABCDEFGHIJKLMNOPQRSTUVWXYZ")),"")</f>
        <v/>
      </c>
      <c r="H862">
        <f>IF($F862=1,INDEX({10,12,13,14,15,16,17,18,19,20,21,23,24,25,26,27,28,29,30,31,32,34,35,36,37,38},1,FIND(MID($B862,2,1),"ABCDEFGHIJKLMNOPQRSTUVWXYZ")),"")</f>
        <v/>
      </c>
      <c r="I862">
        <f>IF($F862=1,INDEX({10,12,13,14,15,16,17,18,19,20,21,23,24,25,26,27,28,29,30,31,32,34,35,36,37,38},1,FIND(MID($B862,3,1),"ABCDEFGHIJKLMNOPQRSTUVWXYZ")),"")</f>
        <v/>
      </c>
      <c r="J862">
        <f>IF($F862=1,INDEX({10,12,13,14,15,16,17,18,19,20,21,23,24,25,26,27,28,29,30,31,32,34,35,36,37,38},1,FIND(MID($B862,4,1),"ABCDEFGHIJKLMNOPQRSTUVWXYZ")),"")</f>
        <v/>
      </c>
      <c r="K862">
        <f>IF($F862=1,FIND(MID($B862,5,1),"0123456789")-1,"")</f>
        <v/>
      </c>
      <c r="L862">
        <f>IF($F862=1,FIND(MID($B862,6,1),"0123456789")-1,"")</f>
        <v/>
      </c>
      <c r="M862">
        <f>IF($F862=1,FIND(MID($B862,7,1),"0123456789")-1,"")</f>
        <v/>
      </c>
      <c r="N862">
        <f>IF($F862=1,FIND(MID($B862,8,1),"0123456789")-1,"")</f>
        <v/>
      </c>
      <c r="O862">
        <f>IF($F862=1,FIND(MID($B862,9,1),"0123456789")-1,"")</f>
        <v/>
      </c>
      <c r="P862">
        <f>IF($F862=1,FIND(MID($B862,10,1),"0123456789")-1,"")</f>
        <v/>
      </c>
      <c r="Q862">
        <f>IF($F862=1,SUMPRODUCT($G862:$P862,{1,2,4,8,16,32,64,128,256,512}),"")</f>
        <v/>
      </c>
      <c r="R862">
        <f>IF($F862=1,MOD(MOD($Q862,11),10),"")</f>
        <v/>
      </c>
    </row>
    <row r="863">
      <c r="A863" s="6" t="n"/>
      <c r="B863" s="7">
        <f>IF($A863="","",UPPER(SUBSTITUTE(SUBSTITUTE(SUBSTITUTE(SUBSTITUTE(SUBSTITUTE(SUBSTITUTE($A863," ",""),"-",""),".",""),"/",""),"i","I"),"ı","?")))</f>
        <v/>
      </c>
      <c r="C863" s="8">
        <f>IF($F863=1,$R863,"")</f>
        <v/>
      </c>
      <c r="D863" s="7">
        <f>IF($A863="","",IF($F863=0,"Biçim hatalı",IF(FIND(MID($B863,11,1),"0123456789")-1=$R863,"Geçerli","Kontrol hanesi hatalı (doğrusu: "&amp;$R863&amp;")")))</f>
        <v/>
      </c>
      <c r="F863">
        <f>IF($A863="","",IF(AND(LEN($B863)=11,SUMPRODUCT(--ISNUMBER(FIND(MID($B863,{1,2,3},1),"ABCDEFGHIJKLMNOPQRSTUVWXYZ")))=3,ISNUMBER(FIND(MID($B863,4,1),"UJZ")),SUMPRODUCT(--ISNUMBER(FIND(MID($B863,{5,6,7,8,9,10,11},1),"0123456789")))=7),1,0))</f>
        <v/>
      </c>
      <c r="G863">
        <f>IF($F863=1,INDEX({10,12,13,14,15,16,17,18,19,20,21,23,24,25,26,27,28,29,30,31,32,34,35,36,37,38},1,FIND(MID($B863,1,1),"ABCDEFGHIJKLMNOPQRSTUVWXYZ")),"")</f>
        <v/>
      </c>
      <c r="H863">
        <f>IF($F863=1,INDEX({10,12,13,14,15,16,17,18,19,20,21,23,24,25,26,27,28,29,30,31,32,34,35,36,37,38},1,FIND(MID($B863,2,1),"ABCDEFGHIJKLMNOPQRSTUVWXYZ")),"")</f>
        <v/>
      </c>
      <c r="I863">
        <f>IF($F863=1,INDEX({10,12,13,14,15,16,17,18,19,20,21,23,24,25,26,27,28,29,30,31,32,34,35,36,37,38},1,FIND(MID($B863,3,1),"ABCDEFGHIJKLMNOPQRSTUVWXYZ")),"")</f>
        <v/>
      </c>
      <c r="J863">
        <f>IF($F863=1,INDEX({10,12,13,14,15,16,17,18,19,20,21,23,24,25,26,27,28,29,30,31,32,34,35,36,37,38},1,FIND(MID($B863,4,1),"ABCDEFGHIJKLMNOPQRSTUVWXYZ")),"")</f>
        <v/>
      </c>
      <c r="K863">
        <f>IF($F863=1,FIND(MID($B863,5,1),"0123456789")-1,"")</f>
        <v/>
      </c>
      <c r="L863">
        <f>IF($F863=1,FIND(MID($B863,6,1),"0123456789")-1,"")</f>
        <v/>
      </c>
      <c r="M863">
        <f>IF($F863=1,FIND(MID($B863,7,1),"0123456789")-1,"")</f>
        <v/>
      </c>
      <c r="N863">
        <f>IF($F863=1,FIND(MID($B863,8,1),"0123456789")-1,"")</f>
        <v/>
      </c>
      <c r="O863">
        <f>IF($F863=1,FIND(MID($B863,9,1),"0123456789")-1,"")</f>
        <v/>
      </c>
      <c r="P863">
        <f>IF($F863=1,FIND(MID($B863,10,1),"0123456789")-1,"")</f>
        <v/>
      </c>
      <c r="Q863">
        <f>IF($F863=1,SUMPRODUCT($G863:$P863,{1,2,4,8,16,32,64,128,256,512}),"")</f>
        <v/>
      </c>
      <c r="R863">
        <f>IF($F863=1,MOD(MOD($Q863,11),10),"")</f>
        <v/>
      </c>
    </row>
    <row r="864">
      <c r="A864" s="6" t="n"/>
      <c r="B864" s="7">
        <f>IF($A864="","",UPPER(SUBSTITUTE(SUBSTITUTE(SUBSTITUTE(SUBSTITUTE(SUBSTITUTE(SUBSTITUTE($A864," ",""),"-",""),".",""),"/",""),"i","I"),"ı","?")))</f>
        <v/>
      </c>
      <c r="C864" s="8">
        <f>IF($F864=1,$R864,"")</f>
        <v/>
      </c>
      <c r="D864" s="7">
        <f>IF($A864="","",IF($F864=0,"Biçim hatalı",IF(FIND(MID($B864,11,1),"0123456789")-1=$R864,"Geçerli","Kontrol hanesi hatalı (doğrusu: "&amp;$R864&amp;")")))</f>
        <v/>
      </c>
      <c r="F864">
        <f>IF($A864="","",IF(AND(LEN($B864)=11,SUMPRODUCT(--ISNUMBER(FIND(MID($B864,{1,2,3},1),"ABCDEFGHIJKLMNOPQRSTUVWXYZ")))=3,ISNUMBER(FIND(MID($B864,4,1),"UJZ")),SUMPRODUCT(--ISNUMBER(FIND(MID($B864,{5,6,7,8,9,10,11},1),"0123456789")))=7),1,0))</f>
        <v/>
      </c>
      <c r="G864">
        <f>IF($F864=1,INDEX({10,12,13,14,15,16,17,18,19,20,21,23,24,25,26,27,28,29,30,31,32,34,35,36,37,38},1,FIND(MID($B864,1,1),"ABCDEFGHIJKLMNOPQRSTUVWXYZ")),"")</f>
        <v/>
      </c>
      <c r="H864">
        <f>IF($F864=1,INDEX({10,12,13,14,15,16,17,18,19,20,21,23,24,25,26,27,28,29,30,31,32,34,35,36,37,38},1,FIND(MID($B864,2,1),"ABCDEFGHIJKLMNOPQRSTUVWXYZ")),"")</f>
        <v/>
      </c>
      <c r="I864">
        <f>IF($F864=1,INDEX({10,12,13,14,15,16,17,18,19,20,21,23,24,25,26,27,28,29,30,31,32,34,35,36,37,38},1,FIND(MID($B864,3,1),"ABCDEFGHIJKLMNOPQRSTUVWXYZ")),"")</f>
        <v/>
      </c>
      <c r="J864">
        <f>IF($F864=1,INDEX({10,12,13,14,15,16,17,18,19,20,21,23,24,25,26,27,28,29,30,31,32,34,35,36,37,38},1,FIND(MID($B864,4,1),"ABCDEFGHIJKLMNOPQRSTUVWXYZ")),"")</f>
        <v/>
      </c>
      <c r="K864">
        <f>IF($F864=1,FIND(MID($B864,5,1),"0123456789")-1,"")</f>
        <v/>
      </c>
      <c r="L864">
        <f>IF($F864=1,FIND(MID($B864,6,1),"0123456789")-1,"")</f>
        <v/>
      </c>
      <c r="M864">
        <f>IF($F864=1,FIND(MID($B864,7,1),"0123456789")-1,"")</f>
        <v/>
      </c>
      <c r="N864">
        <f>IF($F864=1,FIND(MID($B864,8,1),"0123456789")-1,"")</f>
        <v/>
      </c>
      <c r="O864">
        <f>IF($F864=1,FIND(MID($B864,9,1),"0123456789")-1,"")</f>
        <v/>
      </c>
      <c r="P864">
        <f>IF($F864=1,FIND(MID($B864,10,1),"0123456789")-1,"")</f>
        <v/>
      </c>
      <c r="Q864">
        <f>IF($F864=1,SUMPRODUCT($G864:$P864,{1,2,4,8,16,32,64,128,256,512}),"")</f>
        <v/>
      </c>
      <c r="R864">
        <f>IF($F864=1,MOD(MOD($Q864,11),10),"")</f>
        <v/>
      </c>
    </row>
    <row r="865">
      <c r="A865" s="6" t="n"/>
      <c r="B865" s="7">
        <f>IF($A865="","",UPPER(SUBSTITUTE(SUBSTITUTE(SUBSTITUTE(SUBSTITUTE(SUBSTITUTE(SUBSTITUTE($A865," ",""),"-",""),".",""),"/",""),"i","I"),"ı","?")))</f>
        <v/>
      </c>
      <c r="C865" s="8">
        <f>IF($F865=1,$R865,"")</f>
        <v/>
      </c>
      <c r="D865" s="7">
        <f>IF($A865="","",IF($F865=0,"Biçim hatalı",IF(FIND(MID($B865,11,1),"0123456789")-1=$R865,"Geçerli","Kontrol hanesi hatalı (doğrusu: "&amp;$R865&amp;")")))</f>
        <v/>
      </c>
      <c r="F865">
        <f>IF($A865="","",IF(AND(LEN($B865)=11,SUMPRODUCT(--ISNUMBER(FIND(MID($B865,{1,2,3},1),"ABCDEFGHIJKLMNOPQRSTUVWXYZ")))=3,ISNUMBER(FIND(MID($B865,4,1),"UJZ")),SUMPRODUCT(--ISNUMBER(FIND(MID($B865,{5,6,7,8,9,10,11},1),"0123456789")))=7),1,0))</f>
        <v/>
      </c>
      <c r="G865">
        <f>IF($F865=1,INDEX({10,12,13,14,15,16,17,18,19,20,21,23,24,25,26,27,28,29,30,31,32,34,35,36,37,38},1,FIND(MID($B865,1,1),"ABCDEFGHIJKLMNOPQRSTUVWXYZ")),"")</f>
        <v/>
      </c>
      <c r="H865">
        <f>IF($F865=1,INDEX({10,12,13,14,15,16,17,18,19,20,21,23,24,25,26,27,28,29,30,31,32,34,35,36,37,38},1,FIND(MID($B865,2,1),"ABCDEFGHIJKLMNOPQRSTUVWXYZ")),"")</f>
        <v/>
      </c>
      <c r="I865">
        <f>IF($F865=1,INDEX({10,12,13,14,15,16,17,18,19,20,21,23,24,25,26,27,28,29,30,31,32,34,35,36,37,38},1,FIND(MID($B865,3,1),"ABCDEFGHIJKLMNOPQRSTUVWXYZ")),"")</f>
        <v/>
      </c>
      <c r="J865">
        <f>IF($F865=1,INDEX({10,12,13,14,15,16,17,18,19,20,21,23,24,25,26,27,28,29,30,31,32,34,35,36,37,38},1,FIND(MID($B865,4,1),"ABCDEFGHIJKLMNOPQRSTUVWXYZ")),"")</f>
        <v/>
      </c>
      <c r="K865">
        <f>IF($F865=1,FIND(MID($B865,5,1),"0123456789")-1,"")</f>
        <v/>
      </c>
      <c r="L865">
        <f>IF($F865=1,FIND(MID($B865,6,1),"0123456789")-1,"")</f>
        <v/>
      </c>
      <c r="M865">
        <f>IF($F865=1,FIND(MID($B865,7,1),"0123456789")-1,"")</f>
        <v/>
      </c>
      <c r="N865">
        <f>IF($F865=1,FIND(MID($B865,8,1),"0123456789")-1,"")</f>
        <v/>
      </c>
      <c r="O865">
        <f>IF($F865=1,FIND(MID($B865,9,1),"0123456789")-1,"")</f>
        <v/>
      </c>
      <c r="P865">
        <f>IF($F865=1,FIND(MID($B865,10,1),"0123456789")-1,"")</f>
        <v/>
      </c>
      <c r="Q865">
        <f>IF($F865=1,SUMPRODUCT($G865:$P865,{1,2,4,8,16,32,64,128,256,512}),"")</f>
        <v/>
      </c>
      <c r="R865">
        <f>IF($F865=1,MOD(MOD($Q865,11),10),"")</f>
        <v/>
      </c>
    </row>
    <row r="866">
      <c r="A866" s="6" t="n"/>
      <c r="B866" s="7">
        <f>IF($A866="","",UPPER(SUBSTITUTE(SUBSTITUTE(SUBSTITUTE(SUBSTITUTE(SUBSTITUTE(SUBSTITUTE($A866," ",""),"-",""),".",""),"/",""),"i","I"),"ı","?")))</f>
        <v/>
      </c>
      <c r="C866" s="8">
        <f>IF($F866=1,$R866,"")</f>
        <v/>
      </c>
      <c r="D866" s="7">
        <f>IF($A866="","",IF($F866=0,"Biçim hatalı",IF(FIND(MID($B866,11,1),"0123456789")-1=$R866,"Geçerli","Kontrol hanesi hatalı (doğrusu: "&amp;$R866&amp;")")))</f>
        <v/>
      </c>
      <c r="F866">
        <f>IF($A866="","",IF(AND(LEN($B866)=11,SUMPRODUCT(--ISNUMBER(FIND(MID($B866,{1,2,3},1),"ABCDEFGHIJKLMNOPQRSTUVWXYZ")))=3,ISNUMBER(FIND(MID($B866,4,1),"UJZ")),SUMPRODUCT(--ISNUMBER(FIND(MID($B866,{5,6,7,8,9,10,11},1),"0123456789")))=7),1,0))</f>
        <v/>
      </c>
      <c r="G866">
        <f>IF($F866=1,INDEX({10,12,13,14,15,16,17,18,19,20,21,23,24,25,26,27,28,29,30,31,32,34,35,36,37,38},1,FIND(MID($B866,1,1),"ABCDEFGHIJKLMNOPQRSTUVWXYZ")),"")</f>
        <v/>
      </c>
      <c r="H866">
        <f>IF($F866=1,INDEX({10,12,13,14,15,16,17,18,19,20,21,23,24,25,26,27,28,29,30,31,32,34,35,36,37,38},1,FIND(MID($B866,2,1),"ABCDEFGHIJKLMNOPQRSTUVWXYZ")),"")</f>
        <v/>
      </c>
      <c r="I866">
        <f>IF($F866=1,INDEX({10,12,13,14,15,16,17,18,19,20,21,23,24,25,26,27,28,29,30,31,32,34,35,36,37,38},1,FIND(MID($B866,3,1),"ABCDEFGHIJKLMNOPQRSTUVWXYZ")),"")</f>
        <v/>
      </c>
      <c r="J866">
        <f>IF($F866=1,INDEX({10,12,13,14,15,16,17,18,19,20,21,23,24,25,26,27,28,29,30,31,32,34,35,36,37,38},1,FIND(MID($B866,4,1),"ABCDEFGHIJKLMNOPQRSTUVWXYZ")),"")</f>
        <v/>
      </c>
      <c r="K866">
        <f>IF($F866=1,FIND(MID($B866,5,1),"0123456789")-1,"")</f>
        <v/>
      </c>
      <c r="L866">
        <f>IF($F866=1,FIND(MID($B866,6,1),"0123456789")-1,"")</f>
        <v/>
      </c>
      <c r="M866">
        <f>IF($F866=1,FIND(MID($B866,7,1),"0123456789")-1,"")</f>
        <v/>
      </c>
      <c r="N866">
        <f>IF($F866=1,FIND(MID($B866,8,1),"0123456789")-1,"")</f>
        <v/>
      </c>
      <c r="O866">
        <f>IF($F866=1,FIND(MID($B866,9,1),"0123456789")-1,"")</f>
        <v/>
      </c>
      <c r="P866">
        <f>IF($F866=1,FIND(MID($B866,10,1),"0123456789")-1,"")</f>
        <v/>
      </c>
      <c r="Q866">
        <f>IF($F866=1,SUMPRODUCT($G866:$P866,{1,2,4,8,16,32,64,128,256,512}),"")</f>
        <v/>
      </c>
      <c r="R866">
        <f>IF($F866=1,MOD(MOD($Q866,11),10),"")</f>
        <v/>
      </c>
    </row>
    <row r="867">
      <c r="A867" s="6" t="n"/>
      <c r="B867" s="7">
        <f>IF($A867="","",UPPER(SUBSTITUTE(SUBSTITUTE(SUBSTITUTE(SUBSTITUTE(SUBSTITUTE(SUBSTITUTE($A867," ",""),"-",""),".",""),"/",""),"i","I"),"ı","?")))</f>
        <v/>
      </c>
      <c r="C867" s="8">
        <f>IF($F867=1,$R867,"")</f>
        <v/>
      </c>
      <c r="D867" s="7">
        <f>IF($A867="","",IF($F867=0,"Biçim hatalı",IF(FIND(MID($B867,11,1),"0123456789")-1=$R867,"Geçerli","Kontrol hanesi hatalı (doğrusu: "&amp;$R867&amp;")")))</f>
        <v/>
      </c>
      <c r="F867">
        <f>IF($A867="","",IF(AND(LEN($B867)=11,SUMPRODUCT(--ISNUMBER(FIND(MID($B867,{1,2,3},1),"ABCDEFGHIJKLMNOPQRSTUVWXYZ")))=3,ISNUMBER(FIND(MID($B867,4,1),"UJZ")),SUMPRODUCT(--ISNUMBER(FIND(MID($B867,{5,6,7,8,9,10,11},1),"0123456789")))=7),1,0))</f>
        <v/>
      </c>
      <c r="G867">
        <f>IF($F867=1,INDEX({10,12,13,14,15,16,17,18,19,20,21,23,24,25,26,27,28,29,30,31,32,34,35,36,37,38},1,FIND(MID($B867,1,1),"ABCDEFGHIJKLMNOPQRSTUVWXYZ")),"")</f>
        <v/>
      </c>
      <c r="H867">
        <f>IF($F867=1,INDEX({10,12,13,14,15,16,17,18,19,20,21,23,24,25,26,27,28,29,30,31,32,34,35,36,37,38},1,FIND(MID($B867,2,1),"ABCDEFGHIJKLMNOPQRSTUVWXYZ")),"")</f>
        <v/>
      </c>
      <c r="I867">
        <f>IF($F867=1,INDEX({10,12,13,14,15,16,17,18,19,20,21,23,24,25,26,27,28,29,30,31,32,34,35,36,37,38},1,FIND(MID($B867,3,1),"ABCDEFGHIJKLMNOPQRSTUVWXYZ")),"")</f>
        <v/>
      </c>
      <c r="J867">
        <f>IF($F867=1,INDEX({10,12,13,14,15,16,17,18,19,20,21,23,24,25,26,27,28,29,30,31,32,34,35,36,37,38},1,FIND(MID($B867,4,1),"ABCDEFGHIJKLMNOPQRSTUVWXYZ")),"")</f>
        <v/>
      </c>
      <c r="K867">
        <f>IF($F867=1,FIND(MID($B867,5,1),"0123456789")-1,"")</f>
        <v/>
      </c>
      <c r="L867">
        <f>IF($F867=1,FIND(MID($B867,6,1),"0123456789")-1,"")</f>
        <v/>
      </c>
      <c r="M867">
        <f>IF($F867=1,FIND(MID($B867,7,1),"0123456789")-1,"")</f>
        <v/>
      </c>
      <c r="N867">
        <f>IF($F867=1,FIND(MID($B867,8,1),"0123456789")-1,"")</f>
        <v/>
      </c>
      <c r="O867">
        <f>IF($F867=1,FIND(MID($B867,9,1),"0123456789")-1,"")</f>
        <v/>
      </c>
      <c r="P867">
        <f>IF($F867=1,FIND(MID($B867,10,1),"0123456789")-1,"")</f>
        <v/>
      </c>
      <c r="Q867">
        <f>IF($F867=1,SUMPRODUCT($G867:$P867,{1,2,4,8,16,32,64,128,256,512}),"")</f>
        <v/>
      </c>
      <c r="R867">
        <f>IF($F867=1,MOD(MOD($Q867,11),10),"")</f>
        <v/>
      </c>
    </row>
    <row r="868">
      <c r="A868" s="6" t="n"/>
      <c r="B868" s="7">
        <f>IF($A868="","",UPPER(SUBSTITUTE(SUBSTITUTE(SUBSTITUTE(SUBSTITUTE(SUBSTITUTE(SUBSTITUTE($A868," ",""),"-",""),".",""),"/",""),"i","I"),"ı","?")))</f>
        <v/>
      </c>
      <c r="C868" s="8">
        <f>IF($F868=1,$R868,"")</f>
        <v/>
      </c>
      <c r="D868" s="7">
        <f>IF($A868="","",IF($F868=0,"Biçim hatalı",IF(FIND(MID($B868,11,1),"0123456789")-1=$R868,"Geçerli","Kontrol hanesi hatalı (doğrusu: "&amp;$R868&amp;")")))</f>
        <v/>
      </c>
      <c r="F868">
        <f>IF($A868="","",IF(AND(LEN($B868)=11,SUMPRODUCT(--ISNUMBER(FIND(MID($B868,{1,2,3},1),"ABCDEFGHIJKLMNOPQRSTUVWXYZ")))=3,ISNUMBER(FIND(MID($B868,4,1),"UJZ")),SUMPRODUCT(--ISNUMBER(FIND(MID($B868,{5,6,7,8,9,10,11},1),"0123456789")))=7),1,0))</f>
        <v/>
      </c>
      <c r="G868">
        <f>IF($F868=1,INDEX({10,12,13,14,15,16,17,18,19,20,21,23,24,25,26,27,28,29,30,31,32,34,35,36,37,38},1,FIND(MID($B868,1,1),"ABCDEFGHIJKLMNOPQRSTUVWXYZ")),"")</f>
        <v/>
      </c>
      <c r="H868">
        <f>IF($F868=1,INDEX({10,12,13,14,15,16,17,18,19,20,21,23,24,25,26,27,28,29,30,31,32,34,35,36,37,38},1,FIND(MID($B868,2,1),"ABCDEFGHIJKLMNOPQRSTUVWXYZ")),"")</f>
        <v/>
      </c>
      <c r="I868">
        <f>IF($F868=1,INDEX({10,12,13,14,15,16,17,18,19,20,21,23,24,25,26,27,28,29,30,31,32,34,35,36,37,38},1,FIND(MID($B868,3,1),"ABCDEFGHIJKLMNOPQRSTUVWXYZ")),"")</f>
        <v/>
      </c>
      <c r="J868">
        <f>IF($F868=1,INDEX({10,12,13,14,15,16,17,18,19,20,21,23,24,25,26,27,28,29,30,31,32,34,35,36,37,38},1,FIND(MID($B868,4,1),"ABCDEFGHIJKLMNOPQRSTUVWXYZ")),"")</f>
        <v/>
      </c>
      <c r="K868">
        <f>IF($F868=1,FIND(MID($B868,5,1),"0123456789")-1,"")</f>
        <v/>
      </c>
      <c r="L868">
        <f>IF($F868=1,FIND(MID($B868,6,1),"0123456789")-1,"")</f>
        <v/>
      </c>
      <c r="M868">
        <f>IF($F868=1,FIND(MID($B868,7,1),"0123456789")-1,"")</f>
        <v/>
      </c>
      <c r="N868">
        <f>IF($F868=1,FIND(MID($B868,8,1),"0123456789")-1,"")</f>
        <v/>
      </c>
      <c r="O868">
        <f>IF($F868=1,FIND(MID($B868,9,1),"0123456789")-1,"")</f>
        <v/>
      </c>
      <c r="P868">
        <f>IF($F868=1,FIND(MID($B868,10,1),"0123456789")-1,"")</f>
        <v/>
      </c>
      <c r="Q868">
        <f>IF($F868=1,SUMPRODUCT($G868:$P868,{1,2,4,8,16,32,64,128,256,512}),"")</f>
        <v/>
      </c>
      <c r="R868">
        <f>IF($F868=1,MOD(MOD($Q868,11),10),"")</f>
        <v/>
      </c>
    </row>
    <row r="869">
      <c r="A869" s="6" t="n"/>
      <c r="B869" s="7">
        <f>IF($A869="","",UPPER(SUBSTITUTE(SUBSTITUTE(SUBSTITUTE(SUBSTITUTE(SUBSTITUTE(SUBSTITUTE($A869," ",""),"-",""),".",""),"/",""),"i","I"),"ı","?")))</f>
        <v/>
      </c>
      <c r="C869" s="8">
        <f>IF($F869=1,$R869,"")</f>
        <v/>
      </c>
      <c r="D869" s="7">
        <f>IF($A869="","",IF($F869=0,"Biçim hatalı",IF(FIND(MID($B869,11,1),"0123456789")-1=$R869,"Geçerli","Kontrol hanesi hatalı (doğrusu: "&amp;$R869&amp;")")))</f>
        <v/>
      </c>
      <c r="F869">
        <f>IF($A869="","",IF(AND(LEN($B869)=11,SUMPRODUCT(--ISNUMBER(FIND(MID($B869,{1,2,3},1),"ABCDEFGHIJKLMNOPQRSTUVWXYZ")))=3,ISNUMBER(FIND(MID($B869,4,1),"UJZ")),SUMPRODUCT(--ISNUMBER(FIND(MID($B869,{5,6,7,8,9,10,11},1),"0123456789")))=7),1,0))</f>
        <v/>
      </c>
      <c r="G869">
        <f>IF($F869=1,INDEX({10,12,13,14,15,16,17,18,19,20,21,23,24,25,26,27,28,29,30,31,32,34,35,36,37,38},1,FIND(MID($B869,1,1),"ABCDEFGHIJKLMNOPQRSTUVWXYZ")),"")</f>
        <v/>
      </c>
      <c r="H869">
        <f>IF($F869=1,INDEX({10,12,13,14,15,16,17,18,19,20,21,23,24,25,26,27,28,29,30,31,32,34,35,36,37,38},1,FIND(MID($B869,2,1),"ABCDEFGHIJKLMNOPQRSTUVWXYZ")),"")</f>
        <v/>
      </c>
      <c r="I869">
        <f>IF($F869=1,INDEX({10,12,13,14,15,16,17,18,19,20,21,23,24,25,26,27,28,29,30,31,32,34,35,36,37,38},1,FIND(MID($B869,3,1),"ABCDEFGHIJKLMNOPQRSTUVWXYZ")),"")</f>
        <v/>
      </c>
      <c r="J869">
        <f>IF($F869=1,INDEX({10,12,13,14,15,16,17,18,19,20,21,23,24,25,26,27,28,29,30,31,32,34,35,36,37,38},1,FIND(MID($B869,4,1),"ABCDEFGHIJKLMNOPQRSTUVWXYZ")),"")</f>
        <v/>
      </c>
      <c r="K869">
        <f>IF($F869=1,FIND(MID($B869,5,1),"0123456789")-1,"")</f>
        <v/>
      </c>
      <c r="L869">
        <f>IF($F869=1,FIND(MID($B869,6,1),"0123456789")-1,"")</f>
        <v/>
      </c>
      <c r="M869">
        <f>IF($F869=1,FIND(MID($B869,7,1),"0123456789")-1,"")</f>
        <v/>
      </c>
      <c r="N869">
        <f>IF($F869=1,FIND(MID($B869,8,1),"0123456789")-1,"")</f>
        <v/>
      </c>
      <c r="O869">
        <f>IF($F869=1,FIND(MID($B869,9,1),"0123456789")-1,"")</f>
        <v/>
      </c>
      <c r="P869">
        <f>IF($F869=1,FIND(MID($B869,10,1),"0123456789")-1,"")</f>
        <v/>
      </c>
      <c r="Q869">
        <f>IF($F869=1,SUMPRODUCT($G869:$P869,{1,2,4,8,16,32,64,128,256,512}),"")</f>
        <v/>
      </c>
      <c r="R869">
        <f>IF($F869=1,MOD(MOD($Q869,11),10),"")</f>
        <v/>
      </c>
    </row>
    <row r="870">
      <c r="A870" s="6" t="n"/>
      <c r="B870" s="7">
        <f>IF($A870="","",UPPER(SUBSTITUTE(SUBSTITUTE(SUBSTITUTE(SUBSTITUTE(SUBSTITUTE(SUBSTITUTE($A870," ",""),"-",""),".",""),"/",""),"i","I"),"ı","?")))</f>
        <v/>
      </c>
      <c r="C870" s="8">
        <f>IF($F870=1,$R870,"")</f>
        <v/>
      </c>
      <c r="D870" s="7">
        <f>IF($A870="","",IF($F870=0,"Biçim hatalı",IF(FIND(MID($B870,11,1),"0123456789")-1=$R870,"Geçerli","Kontrol hanesi hatalı (doğrusu: "&amp;$R870&amp;")")))</f>
        <v/>
      </c>
      <c r="F870">
        <f>IF($A870="","",IF(AND(LEN($B870)=11,SUMPRODUCT(--ISNUMBER(FIND(MID($B870,{1,2,3},1),"ABCDEFGHIJKLMNOPQRSTUVWXYZ")))=3,ISNUMBER(FIND(MID($B870,4,1),"UJZ")),SUMPRODUCT(--ISNUMBER(FIND(MID($B870,{5,6,7,8,9,10,11},1),"0123456789")))=7),1,0))</f>
        <v/>
      </c>
      <c r="G870">
        <f>IF($F870=1,INDEX({10,12,13,14,15,16,17,18,19,20,21,23,24,25,26,27,28,29,30,31,32,34,35,36,37,38},1,FIND(MID($B870,1,1),"ABCDEFGHIJKLMNOPQRSTUVWXYZ")),"")</f>
        <v/>
      </c>
      <c r="H870">
        <f>IF($F870=1,INDEX({10,12,13,14,15,16,17,18,19,20,21,23,24,25,26,27,28,29,30,31,32,34,35,36,37,38},1,FIND(MID($B870,2,1),"ABCDEFGHIJKLMNOPQRSTUVWXYZ")),"")</f>
        <v/>
      </c>
      <c r="I870">
        <f>IF($F870=1,INDEX({10,12,13,14,15,16,17,18,19,20,21,23,24,25,26,27,28,29,30,31,32,34,35,36,37,38},1,FIND(MID($B870,3,1),"ABCDEFGHIJKLMNOPQRSTUVWXYZ")),"")</f>
        <v/>
      </c>
      <c r="J870">
        <f>IF($F870=1,INDEX({10,12,13,14,15,16,17,18,19,20,21,23,24,25,26,27,28,29,30,31,32,34,35,36,37,38},1,FIND(MID($B870,4,1),"ABCDEFGHIJKLMNOPQRSTUVWXYZ")),"")</f>
        <v/>
      </c>
      <c r="K870">
        <f>IF($F870=1,FIND(MID($B870,5,1),"0123456789")-1,"")</f>
        <v/>
      </c>
      <c r="L870">
        <f>IF($F870=1,FIND(MID($B870,6,1),"0123456789")-1,"")</f>
        <v/>
      </c>
      <c r="M870">
        <f>IF($F870=1,FIND(MID($B870,7,1),"0123456789")-1,"")</f>
        <v/>
      </c>
      <c r="N870">
        <f>IF($F870=1,FIND(MID($B870,8,1),"0123456789")-1,"")</f>
        <v/>
      </c>
      <c r="O870">
        <f>IF($F870=1,FIND(MID($B870,9,1),"0123456789")-1,"")</f>
        <v/>
      </c>
      <c r="P870">
        <f>IF($F870=1,FIND(MID($B870,10,1),"0123456789")-1,"")</f>
        <v/>
      </c>
      <c r="Q870">
        <f>IF($F870=1,SUMPRODUCT($G870:$P870,{1,2,4,8,16,32,64,128,256,512}),"")</f>
        <v/>
      </c>
      <c r="R870">
        <f>IF($F870=1,MOD(MOD($Q870,11),10),"")</f>
        <v/>
      </c>
    </row>
    <row r="871">
      <c r="A871" s="6" t="n"/>
      <c r="B871" s="7">
        <f>IF($A871="","",UPPER(SUBSTITUTE(SUBSTITUTE(SUBSTITUTE(SUBSTITUTE(SUBSTITUTE(SUBSTITUTE($A871," ",""),"-",""),".",""),"/",""),"i","I"),"ı","?")))</f>
        <v/>
      </c>
      <c r="C871" s="8">
        <f>IF($F871=1,$R871,"")</f>
        <v/>
      </c>
      <c r="D871" s="7">
        <f>IF($A871="","",IF($F871=0,"Biçim hatalı",IF(FIND(MID($B871,11,1),"0123456789")-1=$R871,"Geçerli","Kontrol hanesi hatalı (doğrusu: "&amp;$R871&amp;")")))</f>
        <v/>
      </c>
      <c r="F871">
        <f>IF($A871="","",IF(AND(LEN($B871)=11,SUMPRODUCT(--ISNUMBER(FIND(MID($B871,{1,2,3},1),"ABCDEFGHIJKLMNOPQRSTUVWXYZ")))=3,ISNUMBER(FIND(MID($B871,4,1),"UJZ")),SUMPRODUCT(--ISNUMBER(FIND(MID($B871,{5,6,7,8,9,10,11},1),"0123456789")))=7),1,0))</f>
        <v/>
      </c>
      <c r="G871">
        <f>IF($F871=1,INDEX({10,12,13,14,15,16,17,18,19,20,21,23,24,25,26,27,28,29,30,31,32,34,35,36,37,38},1,FIND(MID($B871,1,1),"ABCDEFGHIJKLMNOPQRSTUVWXYZ")),"")</f>
        <v/>
      </c>
      <c r="H871">
        <f>IF($F871=1,INDEX({10,12,13,14,15,16,17,18,19,20,21,23,24,25,26,27,28,29,30,31,32,34,35,36,37,38},1,FIND(MID($B871,2,1),"ABCDEFGHIJKLMNOPQRSTUVWXYZ")),"")</f>
        <v/>
      </c>
      <c r="I871">
        <f>IF($F871=1,INDEX({10,12,13,14,15,16,17,18,19,20,21,23,24,25,26,27,28,29,30,31,32,34,35,36,37,38},1,FIND(MID($B871,3,1),"ABCDEFGHIJKLMNOPQRSTUVWXYZ")),"")</f>
        <v/>
      </c>
      <c r="J871">
        <f>IF($F871=1,INDEX({10,12,13,14,15,16,17,18,19,20,21,23,24,25,26,27,28,29,30,31,32,34,35,36,37,38},1,FIND(MID($B871,4,1),"ABCDEFGHIJKLMNOPQRSTUVWXYZ")),"")</f>
        <v/>
      </c>
      <c r="K871">
        <f>IF($F871=1,FIND(MID($B871,5,1),"0123456789")-1,"")</f>
        <v/>
      </c>
      <c r="L871">
        <f>IF($F871=1,FIND(MID($B871,6,1),"0123456789")-1,"")</f>
        <v/>
      </c>
      <c r="M871">
        <f>IF($F871=1,FIND(MID($B871,7,1),"0123456789")-1,"")</f>
        <v/>
      </c>
      <c r="N871">
        <f>IF($F871=1,FIND(MID($B871,8,1),"0123456789")-1,"")</f>
        <v/>
      </c>
      <c r="O871">
        <f>IF($F871=1,FIND(MID($B871,9,1),"0123456789")-1,"")</f>
        <v/>
      </c>
      <c r="P871">
        <f>IF($F871=1,FIND(MID($B871,10,1),"0123456789")-1,"")</f>
        <v/>
      </c>
      <c r="Q871">
        <f>IF($F871=1,SUMPRODUCT($G871:$P871,{1,2,4,8,16,32,64,128,256,512}),"")</f>
        <v/>
      </c>
      <c r="R871">
        <f>IF($F871=1,MOD(MOD($Q871,11),10),"")</f>
        <v/>
      </c>
    </row>
    <row r="872">
      <c r="A872" s="6" t="n"/>
      <c r="B872" s="7">
        <f>IF($A872="","",UPPER(SUBSTITUTE(SUBSTITUTE(SUBSTITUTE(SUBSTITUTE(SUBSTITUTE(SUBSTITUTE($A872," ",""),"-",""),".",""),"/",""),"i","I"),"ı","?")))</f>
        <v/>
      </c>
      <c r="C872" s="8">
        <f>IF($F872=1,$R872,"")</f>
        <v/>
      </c>
      <c r="D872" s="7">
        <f>IF($A872="","",IF($F872=0,"Biçim hatalı",IF(FIND(MID($B872,11,1),"0123456789")-1=$R872,"Geçerli","Kontrol hanesi hatalı (doğrusu: "&amp;$R872&amp;")")))</f>
        <v/>
      </c>
      <c r="F872">
        <f>IF($A872="","",IF(AND(LEN($B872)=11,SUMPRODUCT(--ISNUMBER(FIND(MID($B872,{1,2,3},1),"ABCDEFGHIJKLMNOPQRSTUVWXYZ")))=3,ISNUMBER(FIND(MID($B872,4,1),"UJZ")),SUMPRODUCT(--ISNUMBER(FIND(MID($B872,{5,6,7,8,9,10,11},1),"0123456789")))=7),1,0))</f>
        <v/>
      </c>
      <c r="G872">
        <f>IF($F872=1,INDEX({10,12,13,14,15,16,17,18,19,20,21,23,24,25,26,27,28,29,30,31,32,34,35,36,37,38},1,FIND(MID($B872,1,1),"ABCDEFGHIJKLMNOPQRSTUVWXYZ")),"")</f>
        <v/>
      </c>
      <c r="H872">
        <f>IF($F872=1,INDEX({10,12,13,14,15,16,17,18,19,20,21,23,24,25,26,27,28,29,30,31,32,34,35,36,37,38},1,FIND(MID($B872,2,1),"ABCDEFGHIJKLMNOPQRSTUVWXYZ")),"")</f>
        <v/>
      </c>
      <c r="I872">
        <f>IF($F872=1,INDEX({10,12,13,14,15,16,17,18,19,20,21,23,24,25,26,27,28,29,30,31,32,34,35,36,37,38},1,FIND(MID($B872,3,1),"ABCDEFGHIJKLMNOPQRSTUVWXYZ")),"")</f>
        <v/>
      </c>
      <c r="J872">
        <f>IF($F872=1,INDEX({10,12,13,14,15,16,17,18,19,20,21,23,24,25,26,27,28,29,30,31,32,34,35,36,37,38},1,FIND(MID($B872,4,1),"ABCDEFGHIJKLMNOPQRSTUVWXYZ")),"")</f>
        <v/>
      </c>
      <c r="K872">
        <f>IF($F872=1,FIND(MID($B872,5,1),"0123456789")-1,"")</f>
        <v/>
      </c>
      <c r="L872">
        <f>IF($F872=1,FIND(MID($B872,6,1),"0123456789")-1,"")</f>
        <v/>
      </c>
      <c r="M872">
        <f>IF($F872=1,FIND(MID($B872,7,1),"0123456789")-1,"")</f>
        <v/>
      </c>
      <c r="N872">
        <f>IF($F872=1,FIND(MID($B872,8,1),"0123456789")-1,"")</f>
        <v/>
      </c>
      <c r="O872">
        <f>IF($F872=1,FIND(MID($B872,9,1),"0123456789")-1,"")</f>
        <v/>
      </c>
      <c r="P872">
        <f>IF($F872=1,FIND(MID($B872,10,1),"0123456789")-1,"")</f>
        <v/>
      </c>
      <c r="Q872">
        <f>IF($F872=1,SUMPRODUCT($G872:$P872,{1,2,4,8,16,32,64,128,256,512}),"")</f>
        <v/>
      </c>
      <c r="R872">
        <f>IF($F872=1,MOD(MOD($Q872,11),10),"")</f>
        <v/>
      </c>
    </row>
    <row r="873">
      <c r="A873" s="6" t="n"/>
      <c r="B873" s="7">
        <f>IF($A873="","",UPPER(SUBSTITUTE(SUBSTITUTE(SUBSTITUTE(SUBSTITUTE(SUBSTITUTE(SUBSTITUTE($A873," ",""),"-",""),".",""),"/",""),"i","I"),"ı","?")))</f>
        <v/>
      </c>
      <c r="C873" s="8">
        <f>IF($F873=1,$R873,"")</f>
        <v/>
      </c>
      <c r="D873" s="7">
        <f>IF($A873="","",IF($F873=0,"Biçim hatalı",IF(FIND(MID($B873,11,1),"0123456789")-1=$R873,"Geçerli","Kontrol hanesi hatalı (doğrusu: "&amp;$R873&amp;")")))</f>
        <v/>
      </c>
      <c r="F873">
        <f>IF($A873="","",IF(AND(LEN($B873)=11,SUMPRODUCT(--ISNUMBER(FIND(MID($B873,{1,2,3},1),"ABCDEFGHIJKLMNOPQRSTUVWXYZ")))=3,ISNUMBER(FIND(MID($B873,4,1),"UJZ")),SUMPRODUCT(--ISNUMBER(FIND(MID($B873,{5,6,7,8,9,10,11},1),"0123456789")))=7),1,0))</f>
        <v/>
      </c>
      <c r="G873">
        <f>IF($F873=1,INDEX({10,12,13,14,15,16,17,18,19,20,21,23,24,25,26,27,28,29,30,31,32,34,35,36,37,38},1,FIND(MID($B873,1,1),"ABCDEFGHIJKLMNOPQRSTUVWXYZ")),"")</f>
        <v/>
      </c>
      <c r="H873">
        <f>IF($F873=1,INDEX({10,12,13,14,15,16,17,18,19,20,21,23,24,25,26,27,28,29,30,31,32,34,35,36,37,38},1,FIND(MID($B873,2,1),"ABCDEFGHIJKLMNOPQRSTUVWXYZ")),"")</f>
        <v/>
      </c>
      <c r="I873">
        <f>IF($F873=1,INDEX({10,12,13,14,15,16,17,18,19,20,21,23,24,25,26,27,28,29,30,31,32,34,35,36,37,38},1,FIND(MID($B873,3,1),"ABCDEFGHIJKLMNOPQRSTUVWXYZ")),"")</f>
        <v/>
      </c>
      <c r="J873">
        <f>IF($F873=1,INDEX({10,12,13,14,15,16,17,18,19,20,21,23,24,25,26,27,28,29,30,31,32,34,35,36,37,38},1,FIND(MID($B873,4,1),"ABCDEFGHIJKLMNOPQRSTUVWXYZ")),"")</f>
        <v/>
      </c>
      <c r="K873">
        <f>IF($F873=1,FIND(MID($B873,5,1),"0123456789")-1,"")</f>
        <v/>
      </c>
      <c r="L873">
        <f>IF($F873=1,FIND(MID($B873,6,1),"0123456789")-1,"")</f>
        <v/>
      </c>
      <c r="M873">
        <f>IF($F873=1,FIND(MID($B873,7,1),"0123456789")-1,"")</f>
        <v/>
      </c>
      <c r="N873">
        <f>IF($F873=1,FIND(MID($B873,8,1),"0123456789")-1,"")</f>
        <v/>
      </c>
      <c r="O873">
        <f>IF($F873=1,FIND(MID($B873,9,1),"0123456789")-1,"")</f>
        <v/>
      </c>
      <c r="P873">
        <f>IF($F873=1,FIND(MID($B873,10,1),"0123456789")-1,"")</f>
        <v/>
      </c>
      <c r="Q873">
        <f>IF($F873=1,SUMPRODUCT($G873:$P873,{1,2,4,8,16,32,64,128,256,512}),"")</f>
        <v/>
      </c>
      <c r="R873">
        <f>IF($F873=1,MOD(MOD($Q873,11),10),"")</f>
        <v/>
      </c>
    </row>
    <row r="874">
      <c r="A874" s="6" t="n"/>
      <c r="B874" s="7">
        <f>IF($A874="","",UPPER(SUBSTITUTE(SUBSTITUTE(SUBSTITUTE(SUBSTITUTE(SUBSTITUTE(SUBSTITUTE($A874," ",""),"-",""),".",""),"/",""),"i","I"),"ı","?")))</f>
        <v/>
      </c>
      <c r="C874" s="8">
        <f>IF($F874=1,$R874,"")</f>
        <v/>
      </c>
      <c r="D874" s="7">
        <f>IF($A874="","",IF($F874=0,"Biçim hatalı",IF(FIND(MID($B874,11,1),"0123456789")-1=$R874,"Geçerli","Kontrol hanesi hatalı (doğrusu: "&amp;$R874&amp;")")))</f>
        <v/>
      </c>
      <c r="F874">
        <f>IF($A874="","",IF(AND(LEN($B874)=11,SUMPRODUCT(--ISNUMBER(FIND(MID($B874,{1,2,3},1),"ABCDEFGHIJKLMNOPQRSTUVWXYZ")))=3,ISNUMBER(FIND(MID($B874,4,1),"UJZ")),SUMPRODUCT(--ISNUMBER(FIND(MID($B874,{5,6,7,8,9,10,11},1),"0123456789")))=7),1,0))</f>
        <v/>
      </c>
      <c r="G874">
        <f>IF($F874=1,INDEX({10,12,13,14,15,16,17,18,19,20,21,23,24,25,26,27,28,29,30,31,32,34,35,36,37,38},1,FIND(MID($B874,1,1),"ABCDEFGHIJKLMNOPQRSTUVWXYZ")),"")</f>
        <v/>
      </c>
      <c r="H874">
        <f>IF($F874=1,INDEX({10,12,13,14,15,16,17,18,19,20,21,23,24,25,26,27,28,29,30,31,32,34,35,36,37,38},1,FIND(MID($B874,2,1),"ABCDEFGHIJKLMNOPQRSTUVWXYZ")),"")</f>
        <v/>
      </c>
      <c r="I874">
        <f>IF($F874=1,INDEX({10,12,13,14,15,16,17,18,19,20,21,23,24,25,26,27,28,29,30,31,32,34,35,36,37,38},1,FIND(MID($B874,3,1),"ABCDEFGHIJKLMNOPQRSTUVWXYZ")),"")</f>
        <v/>
      </c>
      <c r="J874">
        <f>IF($F874=1,INDEX({10,12,13,14,15,16,17,18,19,20,21,23,24,25,26,27,28,29,30,31,32,34,35,36,37,38},1,FIND(MID($B874,4,1),"ABCDEFGHIJKLMNOPQRSTUVWXYZ")),"")</f>
        <v/>
      </c>
      <c r="K874">
        <f>IF($F874=1,FIND(MID($B874,5,1),"0123456789")-1,"")</f>
        <v/>
      </c>
      <c r="L874">
        <f>IF($F874=1,FIND(MID($B874,6,1),"0123456789")-1,"")</f>
        <v/>
      </c>
      <c r="M874">
        <f>IF($F874=1,FIND(MID($B874,7,1),"0123456789")-1,"")</f>
        <v/>
      </c>
      <c r="N874">
        <f>IF($F874=1,FIND(MID($B874,8,1),"0123456789")-1,"")</f>
        <v/>
      </c>
      <c r="O874">
        <f>IF($F874=1,FIND(MID($B874,9,1),"0123456789")-1,"")</f>
        <v/>
      </c>
      <c r="P874">
        <f>IF($F874=1,FIND(MID($B874,10,1),"0123456789")-1,"")</f>
        <v/>
      </c>
      <c r="Q874">
        <f>IF($F874=1,SUMPRODUCT($G874:$P874,{1,2,4,8,16,32,64,128,256,512}),"")</f>
        <v/>
      </c>
      <c r="R874">
        <f>IF($F874=1,MOD(MOD($Q874,11),10),"")</f>
        <v/>
      </c>
    </row>
    <row r="875">
      <c r="A875" s="6" t="n"/>
      <c r="B875" s="7">
        <f>IF($A875="","",UPPER(SUBSTITUTE(SUBSTITUTE(SUBSTITUTE(SUBSTITUTE(SUBSTITUTE(SUBSTITUTE($A875," ",""),"-",""),".",""),"/",""),"i","I"),"ı","?")))</f>
        <v/>
      </c>
      <c r="C875" s="8">
        <f>IF($F875=1,$R875,"")</f>
        <v/>
      </c>
      <c r="D875" s="7">
        <f>IF($A875="","",IF($F875=0,"Biçim hatalı",IF(FIND(MID($B875,11,1),"0123456789")-1=$R875,"Geçerli","Kontrol hanesi hatalı (doğrusu: "&amp;$R875&amp;")")))</f>
        <v/>
      </c>
      <c r="F875">
        <f>IF($A875="","",IF(AND(LEN($B875)=11,SUMPRODUCT(--ISNUMBER(FIND(MID($B875,{1,2,3},1),"ABCDEFGHIJKLMNOPQRSTUVWXYZ")))=3,ISNUMBER(FIND(MID($B875,4,1),"UJZ")),SUMPRODUCT(--ISNUMBER(FIND(MID($B875,{5,6,7,8,9,10,11},1),"0123456789")))=7),1,0))</f>
        <v/>
      </c>
      <c r="G875">
        <f>IF($F875=1,INDEX({10,12,13,14,15,16,17,18,19,20,21,23,24,25,26,27,28,29,30,31,32,34,35,36,37,38},1,FIND(MID($B875,1,1),"ABCDEFGHIJKLMNOPQRSTUVWXYZ")),"")</f>
        <v/>
      </c>
      <c r="H875">
        <f>IF($F875=1,INDEX({10,12,13,14,15,16,17,18,19,20,21,23,24,25,26,27,28,29,30,31,32,34,35,36,37,38},1,FIND(MID($B875,2,1),"ABCDEFGHIJKLMNOPQRSTUVWXYZ")),"")</f>
        <v/>
      </c>
      <c r="I875">
        <f>IF($F875=1,INDEX({10,12,13,14,15,16,17,18,19,20,21,23,24,25,26,27,28,29,30,31,32,34,35,36,37,38},1,FIND(MID($B875,3,1),"ABCDEFGHIJKLMNOPQRSTUVWXYZ")),"")</f>
        <v/>
      </c>
      <c r="J875">
        <f>IF($F875=1,INDEX({10,12,13,14,15,16,17,18,19,20,21,23,24,25,26,27,28,29,30,31,32,34,35,36,37,38},1,FIND(MID($B875,4,1),"ABCDEFGHIJKLMNOPQRSTUVWXYZ")),"")</f>
        <v/>
      </c>
      <c r="K875">
        <f>IF($F875=1,FIND(MID($B875,5,1),"0123456789")-1,"")</f>
        <v/>
      </c>
      <c r="L875">
        <f>IF($F875=1,FIND(MID($B875,6,1),"0123456789")-1,"")</f>
        <v/>
      </c>
      <c r="M875">
        <f>IF($F875=1,FIND(MID($B875,7,1),"0123456789")-1,"")</f>
        <v/>
      </c>
      <c r="N875">
        <f>IF($F875=1,FIND(MID($B875,8,1),"0123456789")-1,"")</f>
        <v/>
      </c>
      <c r="O875">
        <f>IF($F875=1,FIND(MID($B875,9,1),"0123456789")-1,"")</f>
        <v/>
      </c>
      <c r="P875">
        <f>IF($F875=1,FIND(MID($B875,10,1),"0123456789")-1,"")</f>
        <v/>
      </c>
      <c r="Q875">
        <f>IF($F875=1,SUMPRODUCT($G875:$P875,{1,2,4,8,16,32,64,128,256,512}),"")</f>
        <v/>
      </c>
      <c r="R875">
        <f>IF($F875=1,MOD(MOD($Q875,11),10),"")</f>
        <v/>
      </c>
    </row>
    <row r="876">
      <c r="A876" s="6" t="n"/>
      <c r="B876" s="7">
        <f>IF($A876="","",UPPER(SUBSTITUTE(SUBSTITUTE(SUBSTITUTE(SUBSTITUTE(SUBSTITUTE(SUBSTITUTE($A876," ",""),"-",""),".",""),"/",""),"i","I"),"ı","?")))</f>
        <v/>
      </c>
      <c r="C876" s="8">
        <f>IF($F876=1,$R876,"")</f>
        <v/>
      </c>
      <c r="D876" s="7">
        <f>IF($A876="","",IF($F876=0,"Biçim hatalı",IF(FIND(MID($B876,11,1),"0123456789")-1=$R876,"Geçerli","Kontrol hanesi hatalı (doğrusu: "&amp;$R876&amp;")")))</f>
        <v/>
      </c>
      <c r="F876">
        <f>IF($A876="","",IF(AND(LEN($B876)=11,SUMPRODUCT(--ISNUMBER(FIND(MID($B876,{1,2,3},1),"ABCDEFGHIJKLMNOPQRSTUVWXYZ")))=3,ISNUMBER(FIND(MID($B876,4,1),"UJZ")),SUMPRODUCT(--ISNUMBER(FIND(MID($B876,{5,6,7,8,9,10,11},1),"0123456789")))=7),1,0))</f>
        <v/>
      </c>
      <c r="G876">
        <f>IF($F876=1,INDEX({10,12,13,14,15,16,17,18,19,20,21,23,24,25,26,27,28,29,30,31,32,34,35,36,37,38},1,FIND(MID($B876,1,1),"ABCDEFGHIJKLMNOPQRSTUVWXYZ")),"")</f>
        <v/>
      </c>
      <c r="H876">
        <f>IF($F876=1,INDEX({10,12,13,14,15,16,17,18,19,20,21,23,24,25,26,27,28,29,30,31,32,34,35,36,37,38},1,FIND(MID($B876,2,1),"ABCDEFGHIJKLMNOPQRSTUVWXYZ")),"")</f>
        <v/>
      </c>
      <c r="I876">
        <f>IF($F876=1,INDEX({10,12,13,14,15,16,17,18,19,20,21,23,24,25,26,27,28,29,30,31,32,34,35,36,37,38},1,FIND(MID($B876,3,1),"ABCDEFGHIJKLMNOPQRSTUVWXYZ")),"")</f>
        <v/>
      </c>
      <c r="J876">
        <f>IF($F876=1,INDEX({10,12,13,14,15,16,17,18,19,20,21,23,24,25,26,27,28,29,30,31,32,34,35,36,37,38},1,FIND(MID($B876,4,1),"ABCDEFGHIJKLMNOPQRSTUVWXYZ")),"")</f>
        <v/>
      </c>
      <c r="K876">
        <f>IF($F876=1,FIND(MID($B876,5,1),"0123456789")-1,"")</f>
        <v/>
      </c>
      <c r="L876">
        <f>IF($F876=1,FIND(MID($B876,6,1),"0123456789")-1,"")</f>
        <v/>
      </c>
      <c r="M876">
        <f>IF($F876=1,FIND(MID($B876,7,1),"0123456789")-1,"")</f>
        <v/>
      </c>
      <c r="N876">
        <f>IF($F876=1,FIND(MID($B876,8,1),"0123456789")-1,"")</f>
        <v/>
      </c>
      <c r="O876">
        <f>IF($F876=1,FIND(MID($B876,9,1),"0123456789")-1,"")</f>
        <v/>
      </c>
      <c r="P876">
        <f>IF($F876=1,FIND(MID($B876,10,1),"0123456789")-1,"")</f>
        <v/>
      </c>
      <c r="Q876">
        <f>IF($F876=1,SUMPRODUCT($G876:$P876,{1,2,4,8,16,32,64,128,256,512}),"")</f>
        <v/>
      </c>
      <c r="R876">
        <f>IF($F876=1,MOD(MOD($Q876,11),10),"")</f>
        <v/>
      </c>
    </row>
    <row r="877">
      <c r="A877" s="6" t="n"/>
      <c r="B877" s="7">
        <f>IF($A877="","",UPPER(SUBSTITUTE(SUBSTITUTE(SUBSTITUTE(SUBSTITUTE(SUBSTITUTE(SUBSTITUTE($A877," ",""),"-",""),".",""),"/",""),"i","I"),"ı","?")))</f>
        <v/>
      </c>
      <c r="C877" s="8">
        <f>IF($F877=1,$R877,"")</f>
        <v/>
      </c>
      <c r="D877" s="7">
        <f>IF($A877="","",IF($F877=0,"Biçim hatalı",IF(FIND(MID($B877,11,1),"0123456789")-1=$R877,"Geçerli","Kontrol hanesi hatalı (doğrusu: "&amp;$R877&amp;")")))</f>
        <v/>
      </c>
      <c r="F877">
        <f>IF($A877="","",IF(AND(LEN($B877)=11,SUMPRODUCT(--ISNUMBER(FIND(MID($B877,{1,2,3},1),"ABCDEFGHIJKLMNOPQRSTUVWXYZ")))=3,ISNUMBER(FIND(MID($B877,4,1),"UJZ")),SUMPRODUCT(--ISNUMBER(FIND(MID($B877,{5,6,7,8,9,10,11},1),"0123456789")))=7),1,0))</f>
        <v/>
      </c>
      <c r="G877">
        <f>IF($F877=1,INDEX({10,12,13,14,15,16,17,18,19,20,21,23,24,25,26,27,28,29,30,31,32,34,35,36,37,38},1,FIND(MID($B877,1,1),"ABCDEFGHIJKLMNOPQRSTUVWXYZ")),"")</f>
        <v/>
      </c>
      <c r="H877">
        <f>IF($F877=1,INDEX({10,12,13,14,15,16,17,18,19,20,21,23,24,25,26,27,28,29,30,31,32,34,35,36,37,38},1,FIND(MID($B877,2,1),"ABCDEFGHIJKLMNOPQRSTUVWXYZ")),"")</f>
        <v/>
      </c>
      <c r="I877">
        <f>IF($F877=1,INDEX({10,12,13,14,15,16,17,18,19,20,21,23,24,25,26,27,28,29,30,31,32,34,35,36,37,38},1,FIND(MID($B877,3,1),"ABCDEFGHIJKLMNOPQRSTUVWXYZ")),"")</f>
        <v/>
      </c>
      <c r="J877">
        <f>IF($F877=1,INDEX({10,12,13,14,15,16,17,18,19,20,21,23,24,25,26,27,28,29,30,31,32,34,35,36,37,38},1,FIND(MID($B877,4,1),"ABCDEFGHIJKLMNOPQRSTUVWXYZ")),"")</f>
        <v/>
      </c>
      <c r="K877">
        <f>IF($F877=1,FIND(MID($B877,5,1),"0123456789")-1,"")</f>
        <v/>
      </c>
      <c r="L877">
        <f>IF($F877=1,FIND(MID($B877,6,1),"0123456789")-1,"")</f>
        <v/>
      </c>
      <c r="M877">
        <f>IF($F877=1,FIND(MID($B877,7,1),"0123456789")-1,"")</f>
        <v/>
      </c>
      <c r="N877">
        <f>IF($F877=1,FIND(MID($B877,8,1),"0123456789")-1,"")</f>
        <v/>
      </c>
      <c r="O877">
        <f>IF($F877=1,FIND(MID($B877,9,1),"0123456789")-1,"")</f>
        <v/>
      </c>
      <c r="P877">
        <f>IF($F877=1,FIND(MID($B877,10,1),"0123456789")-1,"")</f>
        <v/>
      </c>
      <c r="Q877">
        <f>IF($F877=1,SUMPRODUCT($G877:$P877,{1,2,4,8,16,32,64,128,256,512}),"")</f>
        <v/>
      </c>
      <c r="R877">
        <f>IF($F877=1,MOD(MOD($Q877,11),10),"")</f>
        <v/>
      </c>
    </row>
    <row r="878">
      <c r="A878" s="6" t="n"/>
      <c r="B878" s="7">
        <f>IF($A878="","",UPPER(SUBSTITUTE(SUBSTITUTE(SUBSTITUTE(SUBSTITUTE(SUBSTITUTE(SUBSTITUTE($A878," ",""),"-",""),".",""),"/",""),"i","I"),"ı","?")))</f>
        <v/>
      </c>
      <c r="C878" s="8">
        <f>IF($F878=1,$R878,"")</f>
        <v/>
      </c>
      <c r="D878" s="7">
        <f>IF($A878="","",IF($F878=0,"Biçim hatalı",IF(FIND(MID($B878,11,1),"0123456789")-1=$R878,"Geçerli","Kontrol hanesi hatalı (doğrusu: "&amp;$R878&amp;")")))</f>
        <v/>
      </c>
      <c r="F878">
        <f>IF($A878="","",IF(AND(LEN($B878)=11,SUMPRODUCT(--ISNUMBER(FIND(MID($B878,{1,2,3},1),"ABCDEFGHIJKLMNOPQRSTUVWXYZ")))=3,ISNUMBER(FIND(MID($B878,4,1),"UJZ")),SUMPRODUCT(--ISNUMBER(FIND(MID($B878,{5,6,7,8,9,10,11},1),"0123456789")))=7),1,0))</f>
        <v/>
      </c>
      <c r="G878">
        <f>IF($F878=1,INDEX({10,12,13,14,15,16,17,18,19,20,21,23,24,25,26,27,28,29,30,31,32,34,35,36,37,38},1,FIND(MID($B878,1,1),"ABCDEFGHIJKLMNOPQRSTUVWXYZ")),"")</f>
        <v/>
      </c>
      <c r="H878">
        <f>IF($F878=1,INDEX({10,12,13,14,15,16,17,18,19,20,21,23,24,25,26,27,28,29,30,31,32,34,35,36,37,38},1,FIND(MID($B878,2,1),"ABCDEFGHIJKLMNOPQRSTUVWXYZ")),"")</f>
        <v/>
      </c>
      <c r="I878">
        <f>IF($F878=1,INDEX({10,12,13,14,15,16,17,18,19,20,21,23,24,25,26,27,28,29,30,31,32,34,35,36,37,38},1,FIND(MID($B878,3,1),"ABCDEFGHIJKLMNOPQRSTUVWXYZ")),"")</f>
        <v/>
      </c>
      <c r="J878">
        <f>IF($F878=1,INDEX({10,12,13,14,15,16,17,18,19,20,21,23,24,25,26,27,28,29,30,31,32,34,35,36,37,38},1,FIND(MID($B878,4,1),"ABCDEFGHIJKLMNOPQRSTUVWXYZ")),"")</f>
        <v/>
      </c>
      <c r="K878">
        <f>IF($F878=1,FIND(MID($B878,5,1),"0123456789")-1,"")</f>
        <v/>
      </c>
      <c r="L878">
        <f>IF($F878=1,FIND(MID($B878,6,1),"0123456789")-1,"")</f>
        <v/>
      </c>
      <c r="M878">
        <f>IF($F878=1,FIND(MID($B878,7,1),"0123456789")-1,"")</f>
        <v/>
      </c>
      <c r="N878">
        <f>IF($F878=1,FIND(MID($B878,8,1),"0123456789")-1,"")</f>
        <v/>
      </c>
      <c r="O878">
        <f>IF($F878=1,FIND(MID($B878,9,1),"0123456789")-1,"")</f>
        <v/>
      </c>
      <c r="P878">
        <f>IF($F878=1,FIND(MID($B878,10,1),"0123456789")-1,"")</f>
        <v/>
      </c>
      <c r="Q878">
        <f>IF($F878=1,SUMPRODUCT($G878:$P878,{1,2,4,8,16,32,64,128,256,512}),"")</f>
        <v/>
      </c>
      <c r="R878">
        <f>IF($F878=1,MOD(MOD($Q878,11),10),"")</f>
        <v/>
      </c>
    </row>
    <row r="879">
      <c r="A879" s="6" t="n"/>
      <c r="B879" s="7">
        <f>IF($A879="","",UPPER(SUBSTITUTE(SUBSTITUTE(SUBSTITUTE(SUBSTITUTE(SUBSTITUTE(SUBSTITUTE($A879," ",""),"-",""),".",""),"/",""),"i","I"),"ı","?")))</f>
        <v/>
      </c>
      <c r="C879" s="8">
        <f>IF($F879=1,$R879,"")</f>
        <v/>
      </c>
      <c r="D879" s="7">
        <f>IF($A879="","",IF($F879=0,"Biçim hatalı",IF(FIND(MID($B879,11,1),"0123456789")-1=$R879,"Geçerli","Kontrol hanesi hatalı (doğrusu: "&amp;$R879&amp;")")))</f>
        <v/>
      </c>
      <c r="F879">
        <f>IF($A879="","",IF(AND(LEN($B879)=11,SUMPRODUCT(--ISNUMBER(FIND(MID($B879,{1,2,3},1),"ABCDEFGHIJKLMNOPQRSTUVWXYZ")))=3,ISNUMBER(FIND(MID($B879,4,1),"UJZ")),SUMPRODUCT(--ISNUMBER(FIND(MID($B879,{5,6,7,8,9,10,11},1),"0123456789")))=7),1,0))</f>
        <v/>
      </c>
      <c r="G879">
        <f>IF($F879=1,INDEX({10,12,13,14,15,16,17,18,19,20,21,23,24,25,26,27,28,29,30,31,32,34,35,36,37,38},1,FIND(MID($B879,1,1),"ABCDEFGHIJKLMNOPQRSTUVWXYZ")),"")</f>
        <v/>
      </c>
      <c r="H879">
        <f>IF($F879=1,INDEX({10,12,13,14,15,16,17,18,19,20,21,23,24,25,26,27,28,29,30,31,32,34,35,36,37,38},1,FIND(MID($B879,2,1),"ABCDEFGHIJKLMNOPQRSTUVWXYZ")),"")</f>
        <v/>
      </c>
      <c r="I879">
        <f>IF($F879=1,INDEX({10,12,13,14,15,16,17,18,19,20,21,23,24,25,26,27,28,29,30,31,32,34,35,36,37,38},1,FIND(MID($B879,3,1),"ABCDEFGHIJKLMNOPQRSTUVWXYZ")),"")</f>
        <v/>
      </c>
      <c r="J879">
        <f>IF($F879=1,INDEX({10,12,13,14,15,16,17,18,19,20,21,23,24,25,26,27,28,29,30,31,32,34,35,36,37,38},1,FIND(MID($B879,4,1),"ABCDEFGHIJKLMNOPQRSTUVWXYZ")),"")</f>
        <v/>
      </c>
      <c r="K879">
        <f>IF($F879=1,FIND(MID($B879,5,1),"0123456789")-1,"")</f>
        <v/>
      </c>
      <c r="L879">
        <f>IF($F879=1,FIND(MID($B879,6,1),"0123456789")-1,"")</f>
        <v/>
      </c>
      <c r="M879">
        <f>IF($F879=1,FIND(MID($B879,7,1),"0123456789")-1,"")</f>
        <v/>
      </c>
      <c r="N879">
        <f>IF($F879=1,FIND(MID($B879,8,1),"0123456789")-1,"")</f>
        <v/>
      </c>
      <c r="O879">
        <f>IF($F879=1,FIND(MID($B879,9,1),"0123456789")-1,"")</f>
        <v/>
      </c>
      <c r="P879">
        <f>IF($F879=1,FIND(MID($B879,10,1),"0123456789")-1,"")</f>
        <v/>
      </c>
      <c r="Q879">
        <f>IF($F879=1,SUMPRODUCT($G879:$P879,{1,2,4,8,16,32,64,128,256,512}),"")</f>
        <v/>
      </c>
      <c r="R879">
        <f>IF($F879=1,MOD(MOD($Q879,11),10),"")</f>
        <v/>
      </c>
    </row>
    <row r="880">
      <c r="A880" s="6" t="n"/>
      <c r="B880" s="7">
        <f>IF($A880="","",UPPER(SUBSTITUTE(SUBSTITUTE(SUBSTITUTE(SUBSTITUTE(SUBSTITUTE(SUBSTITUTE($A880," ",""),"-",""),".",""),"/",""),"i","I"),"ı","?")))</f>
        <v/>
      </c>
      <c r="C880" s="8">
        <f>IF($F880=1,$R880,"")</f>
        <v/>
      </c>
      <c r="D880" s="7">
        <f>IF($A880="","",IF($F880=0,"Biçim hatalı",IF(FIND(MID($B880,11,1),"0123456789")-1=$R880,"Geçerli","Kontrol hanesi hatalı (doğrusu: "&amp;$R880&amp;")")))</f>
        <v/>
      </c>
      <c r="F880">
        <f>IF($A880="","",IF(AND(LEN($B880)=11,SUMPRODUCT(--ISNUMBER(FIND(MID($B880,{1,2,3},1),"ABCDEFGHIJKLMNOPQRSTUVWXYZ")))=3,ISNUMBER(FIND(MID($B880,4,1),"UJZ")),SUMPRODUCT(--ISNUMBER(FIND(MID($B880,{5,6,7,8,9,10,11},1),"0123456789")))=7),1,0))</f>
        <v/>
      </c>
      <c r="G880">
        <f>IF($F880=1,INDEX({10,12,13,14,15,16,17,18,19,20,21,23,24,25,26,27,28,29,30,31,32,34,35,36,37,38},1,FIND(MID($B880,1,1),"ABCDEFGHIJKLMNOPQRSTUVWXYZ")),"")</f>
        <v/>
      </c>
      <c r="H880">
        <f>IF($F880=1,INDEX({10,12,13,14,15,16,17,18,19,20,21,23,24,25,26,27,28,29,30,31,32,34,35,36,37,38},1,FIND(MID($B880,2,1),"ABCDEFGHIJKLMNOPQRSTUVWXYZ")),"")</f>
        <v/>
      </c>
      <c r="I880">
        <f>IF($F880=1,INDEX({10,12,13,14,15,16,17,18,19,20,21,23,24,25,26,27,28,29,30,31,32,34,35,36,37,38},1,FIND(MID($B880,3,1),"ABCDEFGHIJKLMNOPQRSTUVWXYZ")),"")</f>
        <v/>
      </c>
      <c r="J880">
        <f>IF($F880=1,INDEX({10,12,13,14,15,16,17,18,19,20,21,23,24,25,26,27,28,29,30,31,32,34,35,36,37,38},1,FIND(MID($B880,4,1),"ABCDEFGHIJKLMNOPQRSTUVWXYZ")),"")</f>
        <v/>
      </c>
      <c r="K880">
        <f>IF($F880=1,FIND(MID($B880,5,1),"0123456789")-1,"")</f>
        <v/>
      </c>
      <c r="L880">
        <f>IF($F880=1,FIND(MID($B880,6,1),"0123456789")-1,"")</f>
        <v/>
      </c>
      <c r="M880">
        <f>IF($F880=1,FIND(MID($B880,7,1),"0123456789")-1,"")</f>
        <v/>
      </c>
      <c r="N880">
        <f>IF($F880=1,FIND(MID($B880,8,1),"0123456789")-1,"")</f>
        <v/>
      </c>
      <c r="O880">
        <f>IF($F880=1,FIND(MID($B880,9,1),"0123456789")-1,"")</f>
        <v/>
      </c>
      <c r="P880">
        <f>IF($F880=1,FIND(MID($B880,10,1),"0123456789")-1,"")</f>
        <v/>
      </c>
      <c r="Q880">
        <f>IF($F880=1,SUMPRODUCT($G880:$P880,{1,2,4,8,16,32,64,128,256,512}),"")</f>
        <v/>
      </c>
      <c r="R880">
        <f>IF($F880=1,MOD(MOD($Q880,11),10),"")</f>
        <v/>
      </c>
    </row>
    <row r="881">
      <c r="A881" s="6" t="n"/>
      <c r="B881" s="7">
        <f>IF($A881="","",UPPER(SUBSTITUTE(SUBSTITUTE(SUBSTITUTE(SUBSTITUTE(SUBSTITUTE(SUBSTITUTE($A881," ",""),"-",""),".",""),"/",""),"i","I"),"ı","?")))</f>
        <v/>
      </c>
      <c r="C881" s="8">
        <f>IF($F881=1,$R881,"")</f>
        <v/>
      </c>
      <c r="D881" s="7">
        <f>IF($A881="","",IF($F881=0,"Biçim hatalı",IF(FIND(MID($B881,11,1),"0123456789")-1=$R881,"Geçerli","Kontrol hanesi hatalı (doğrusu: "&amp;$R881&amp;")")))</f>
        <v/>
      </c>
      <c r="F881">
        <f>IF($A881="","",IF(AND(LEN($B881)=11,SUMPRODUCT(--ISNUMBER(FIND(MID($B881,{1,2,3},1),"ABCDEFGHIJKLMNOPQRSTUVWXYZ")))=3,ISNUMBER(FIND(MID($B881,4,1),"UJZ")),SUMPRODUCT(--ISNUMBER(FIND(MID($B881,{5,6,7,8,9,10,11},1),"0123456789")))=7),1,0))</f>
        <v/>
      </c>
      <c r="G881">
        <f>IF($F881=1,INDEX({10,12,13,14,15,16,17,18,19,20,21,23,24,25,26,27,28,29,30,31,32,34,35,36,37,38},1,FIND(MID($B881,1,1),"ABCDEFGHIJKLMNOPQRSTUVWXYZ")),"")</f>
        <v/>
      </c>
      <c r="H881">
        <f>IF($F881=1,INDEX({10,12,13,14,15,16,17,18,19,20,21,23,24,25,26,27,28,29,30,31,32,34,35,36,37,38},1,FIND(MID($B881,2,1),"ABCDEFGHIJKLMNOPQRSTUVWXYZ")),"")</f>
        <v/>
      </c>
      <c r="I881">
        <f>IF($F881=1,INDEX({10,12,13,14,15,16,17,18,19,20,21,23,24,25,26,27,28,29,30,31,32,34,35,36,37,38},1,FIND(MID($B881,3,1),"ABCDEFGHIJKLMNOPQRSTUVWXYZ")),"")</f>
        <v/>
      </c>
      <c r="J881">
        <f>IF($F881=1,INDEX({10,12,13,14,15,16,17,18,19,20,21,23,24,25,26,27,28,29,30,31,32,34,35,36,37,38},1,FIND(MID($B881,4,1),"ABCDEFGHIJKLMNOPQRSTUVWXYZ")),"")</f>
        <v/>
      </c>
      <c r="K881">
        <f>IF($F881=1,FIND(MID($B881,5,1),"0123456789")-1,"")</f>
        <v/>
      </c>
      <c r="L881">
        <f>IF($F881=1,FIND(MID($B881,6,1),"0123456789")-1,"")</f>
        <v/>
      </c>
      <c r="M881">
        <f>IF($F881=1,FIND(MID($B881,7,1),"0123456789")-1,"")</f>
        <v/>
      </c>
      <c r="N881">
        <f>IF($F881=1,FIND(MID($B881,8,1),"0123456789")-1,"")</f>
        <v/>
      </c>
      <c r="O881">
        <f>IF($F881=1,FIND(MID($B881,9,1),"0123456789")-1,"")</f>
        <v/>
      </c>
      <c r="P881">
        <f>IF($F881=1,FIND(MID($B881,10,1),"0123456789")-1,"")</f>
        <v/>
      </c>
      <c r="Q881">
        <f>IF($F881=1,SUMPRODUCT($G881:$P881,{1,2,4,8,16,32,64,128,256,512}),"")</f>
        <v/>
      </c>
      <c r="R881">
        <f>IF($F881=1,MOD(MOD($Q881,11),10),"")</f>
        <v/>
      </c>
    </row>
    <row r="882">
      <c r="A882" s="6" t="n"/>
      <c r="B882" s="7">
        <f>IF($A882="","",UPPER(SUBSTITUTE(SUBSTITUTE(SUBSTITUTE(SUBSTITUTE(SUBSTITUTE(SUBSTITUTE($A882," ",""),"-",""),".",""),"/",""),"i","I"),"ı","?")))</f>
        <v/>
      </c>
      <c r="C882" s="8">
        <f>IF($F882=1,$R882,"")</f>
        <v/>
      </c>
      <c r="D882" s="7">
        <f>IF($A882="","",IF($F882=0,"Biçim hatalı",IF(FIND(MID($B882,11,1),"0123456789")-1=$R882,"Geçerli","Kontrol hanesi hatalı (doğrusu: "&amp;$R882&amp;")")))</f>
        <v/>
      </c>
      <c r="F882">
        <f>IF($A882="","",IF(AND(LEN($B882)=11,SUMPRODUCT(--ISNUMBER(FIND(MID($B882,{1,2,3},1),"ABCDEFGHIJKLMNOPQRSTUVWXYZ")))=3,ISNUMBER(FIND(MID($B882,4,1),"UJZ")),SUMPRODUCT(--ISNUMBER(FIND(MID($B882,{5,6,7,8,9,10,11},1),"0123456789")))=7),1,0))</f>
        <v/>
      </c>
      <c r="G882">
        <f>IF($F882=1,INDEX({10,12,13,14,15,16,17,18,19,20,21,23,24,25,26,27,28,29,30,31,32,34,35,36,37,38},1,FIND(MID($B882,1,1),"ABCDEFGHIJKLMNOPQRSTUVWXYZ")),"")</f>
        <v/>
      </c>
      <c r="H882">
        <f>IF($F882=1,INDEX({10,12,13,14,15,16,17,18,19,20,21,23,24,25,26,27,28,29,30,31,32,34,35,36,37,38},1,FIND(MID($B882,2,1),"ABCDEFGHIJKLMNOPQRSTUVWXYZ")),"")</f>
        <v/>
      </c>
      <c r="I882">
        <f>IF($F882=1,INDEX({10,12,13,14,15,16,17,18,19,20,21,23,24,25,26,27,28,29,30,31,32,34,35,36,37,38},1,FIND(MID($B882,3,1),"ABCDEFGHIJKLMNOPQRSTUVWXYZ")),"")</f>
        <v/>
      </c>
      <c r="J882">
        <f>IF($F882=1,INDEX({10,12,13,14,15,16,17,18,19,20,21,23,24,25,26,27,28,29,30,31,32,34,35,36,37,38},1,FIND(MID($B882,4,1),"ABCDEFGHIJKLMNOPQRSTUVWXYZ")),"")</f>
        <v/>
      </c>
      <c r="K882">
        <f>IF($F882=1,FIND(MID($B882,5,1),"0123456789")-1,"")</f>
        <v/>
      </c>
      <c r="L882">
        <f>IF($F882=1,FIND(MID($B882,6,1),"0123456789")-1,"")</f>
        <v/>
      </c>
      <c r="M882">
        <f>IF($F882=1,FIND(MID($B882,7,1),"0123456789")-1,"")</f>
        <v/>
      </c>
      <c r="N882">
        <f>IF($F882=1,FIND(MID($B882,8,1),"0123456789")-1,"")</f>
        <v/>
      </c>
      <c r="O882">
        <f>IF($F882=1,FIND(MID($B882,9,1),"0123456789")-1,"")</f>
        <v/>
      </c>
      <c r="P882">
        <f>IF($F882=1,FIND(MID($B882,10,1),"0123456789")-1,"")</f>
        <v/>
      </c>
      <c r="Q882">
        <f>IF($F882=1,SUMPRODUCT($G882:$P882,{1,2,4,8,16,32,64,128,256,512}),"")</f>
        <v/>
      </c>
      <c r="R882">
        <f>IF($F882=1,MOD(MOD($Q882,11),10),"")</f>
        <v/>
      </c>
    </row>
    <row r="883">
      <c r="A883" s="6" t="n"/>
      <c r="B883" s="7">
        <f>IF($A883="","",UPPER(SUBSTITUTE(SUBSTITUTE(SUBSTITUTE(SUBSTITUTE(SUBSTITUTE(SUBSTITUTE($A883," ",""),"-",""),".",""),"/",""),"i","I"),"ı","?")))</f>
        <v/>
      </c>
      <c r="C883" s="8">
        <f>IF($F883=1,$R883,"")</f>
        <v/>
      </c>
      <c r="D883" s="7">
        <f>IF($A883="","",IF($F883=0,"Biçim hatalı",IF(FIND(MID($B883,11,1),"0123456789")-1=$R883,"Geçerli","Kontrol hanesi hatalı (doğrusu: "&amp;$R883&amp;")")))</f>
        <v/>
      </c>
      <c r="F883">
        <f>IF($A883="","",IF(AND(LEN($B883)=11,SUMPRODUCT(--ISNUMBER(FIND(MID($B883,{1,2,3},1),"ABCDEFGHIJKLMNOPQRSTUVWXYZ")))=3,ISNUMBER(FIND(MID($B883,4,1),"UJZ")),SUMPRODUCT(--ISNUMBER(FIND(MID($B883,{5,6,7,8,9,10,11},1),"0123456789")))=7),1,0))</f>
        <v/>
      </c>
      <c r="G883">
        <f>IF($F883=1,INDEX({10,12,13,14,15,16,17,18,19,20,21,23,24,25,26,27,28,29,30,31,32,34,35,36,37,38},1,FIND(MID($B883,1,1),"ABCDEFGHIJKLMNOPQRSTUVWXYZ")),"")</f>
        <v/>
      </c>
      <c r="H883">
        <f>IF($F883=1,INDEX({10,12,13,14,15,16,17,18,19,20,21,23,24,25,26,27,28,29,30,31,32,34,35,36,37,38},1,FIND(MID($B883,2,1),"ABCDEFGHIJKLMNOPQRSTUVWXYZ")),"")</f>
        <v/>
      </c>
      <c r="I883">
        <f>IF($F883=1,INDEX({10,12,13,14,15,16,17,18,19,20,21,23,24,25,26,27,28,29,30,31,32,34,35,36,37,38},1,FIND(MID($B883,3,1),"ABCDEFGHIJKLMNOPQRSTUVWXYZ")),"")</f>
        <v/>
      </c>
      <c r="J883">
        <f>IF($F883=1,INDEX({10,12,13,14,15,16,17,18,19,20,21,23,24,25,26,27,28,29,30,31,32,34,35,36,37,38},1,FIND(MID($B883,4,1),"ABCDEFGHIJKLMNOPQRSTUVWXYZ")),"")</f>
        <v/>
      </c>
      <c r="K883">
        <f>IF($F883=1,FIND(MID($B883,5,1),"0123456789")-1,"")</f>
        <v/>
      </c>
      <c r="L883">
        <f>IF($F883=1,FIND(MID($B883,6,1),"0123456789")-1,"")</f>
        <v/>
      </c>
      <c r="M883">
        <f>IF($F883=1,FIND(MID($B883,7,1),"0123456789")-1,"")</f>
        <v/>
      </c>
      <c r="N883">
        <f>IF($F883=1,FIND(MID($B883,8,1),"0123456789")-1,"")</f>
        <v/>
      </c>
      <c r="O883">
        <f>IF($F883=1,FIND(MID($B883,9,1),"0123456789")-1,"")</f>
        <v/>
      </c>
      <c r="P883">
        <f>IF($F883=1,FIND(MID($B883,10,1),"0123456789")-1,"")</f>
        <v/>
      </c>
      <c r="Q883">
        <f>IF($F883=1,SUMPRODUCT($G883:$P883,{1,2,4,8,16,32,64,128,256,512}),"")</f>
        <v/>
      </c>
      <c r="R883">
        <f>IF($F883=1,MOD(MOD($Q883,11),10),"")</f>
        <v/>
      </c>
    </row>
    <row r="884">
      <c r="A884" s="6" t="n"/>
      <c r="B884" s="7">
        <f>IF($A884="","",UPPER(SUBSTITUTE(SUBSTITUTE(SUBSTITUTE(SUBSTITUTE(SUBSTITUTE(SUBSTITUTE($A884," ",""),"-",""),".",""),"/",""),"i","I"),"ı","?")))</f>
        <v/>
      </c>
      <c r="C884" s="8">
        <f>IF($F884=1,$R884,"")</f>
        <v/>
      </c>
      <c r="D884" s="7">
        <f>IF($A884="","",IF($F884=0,"Biçim hatalı",IF(FIND(MID($B884,11,1),"0123456789")-1=$R884,"Geçerli","Kontrol hanesi hatalı (doğrusu: "&amp;$R884&amp;")")))</f>
        <v/>
      </c>
      <c r="F884">
        <f>IF($A884="","",IF(AND(LEN($B884)=11,SUMPRODUCT(--ISNUMBER(FIND(MID($B884,{1,2,3},1),"ABCDEFGHIJKLMNOPQRSTUVWXYZ")))=3,ISNUMBER(FIND(MID($B884,4,1),"UJZ")),SUMPRODUCT(--ISNUMBER(FIND(MID($B884,{5,6,7,8,9,10,11},1),"0123456789")))=7),1,0))</f>
        <v/>
      </c>
      <c r="G884">
        <f>IF($F884=1,INDEX({10,12,13,14,15,16,17,18,19,20,21,23,24,25,26,27,28,29,30,31,32,34,35,36,37,38},1,FIND(MID($B884,1,1),"ABCDEFGHIJKLMNOPQRSTUVWXYZ")),"")</f>
        <v/>
      </c>
      <c r="H884">
        <f>IF($F884=1,INDEX({10,12,13,14,15,16,17,18,19,20,21,23,24,25,26,27,28,29,30,31,32,34,35,36,37,38},1,FIND(MID($B884,2,1),"ABCDEFGHIJKLMNOPQRSTUVWXYZ")),"")</f>
        <v/>
      </c>
      <c r="I884">
        <f>IF($F884=1,INDEX({10,12,13,14,15,16,17,18,19,20,21,23,24,25,26,27,28,29,30,31,32,34,35,36,37,38},1,FIND(MID($B884,3,1),"ABCDEFGHIJKLMNOPQRSTUVWXYZ")),"")</f>
        <v/>
      </c>
      <c r="J884">
        <f>IF($F884=1,INDEX({10,12,13,14,15,16,17,18,19,20,21,23,24,25,26,27,28,29,30,31,32,34,35,36,37,38},1,FIND(MID($B884,4,1),"ABCDEFGHIJKLMNOPQRSTUVWXYZ")),"")</f>
        <v/>
      </c>
      <c r="K884">
        <f>IF($F884=1,FIND(MID($B884,5,1),"0123456789")-1,"")</f>
        <v/>
      </c>
      <c r="L884">
        <f>IF($F884=1,FIND(MID($B884,6,1),"0123456789")-1,"")</f>
        <v/>
      </c>
      <c r="M884">
        <f>IF($F884=1,FIND(MID($B884,7,1),"0123456789")-1,"")</f>
        <v/>
      </c>
      <c r="N884">
        <f>IF($F884=1,FIND(MID($B884,8,1),"0123456789")-1,"")</f>
        <v/>
      </c>
      <c r="O884">
        <f>IF($F884=1,FIND(MID($B884,9,1),"0123456789")-1,"")</f>
        <v/>
      </c>
      <c r="P884">
        <f>IF($F884=1,FIND(MID($B884,10,1),"0123456789")-1,"")</f>
        <v/>
      </c>
      <c r="Q884">
        <f>IF($F884=1,SUMPRODUCT($G884:$P884,{1,2,4,8,16,32,64,128,256,512}),"")</f>
        <v/>
      </c>
      <c r="R884">
        <f>IF($F884=1,MOD(MOD($Q884,11),10),"")</f>
        <v/>
      </c>
    </row>
    <row r="885">
      <c r="A885" s="6" t="n"/>
      <c r="B885" s="7">
        <f>IF($A885="","",UPPER(SUBSTITUTE(SUBSTITUTE(SUBSTITUTE(SUBSTITUTE(SUBSTITUTE(SUBSTITUTE($A885," ",""),"-",""),".",""),"/",""),"i","I"),"ı","?")))</f>
        <v/>
      </c>
      <c r="C885" s="8">
        <f>IF($F885=1,$R885,"")</f>
        <v/>
      </c>
      <c r="D885" s="7">
        <f>IF($A885="","",IF($F885=0,"Biçim hatalı",IF(FIND(MID($B885,11,1),"0123456789")-1=$R885,"Geçerli","Kontrol hanesi hatalı (doğrusu: "&amp;$R885&amp;")")))</f>
        <v/>
      </c>
      <c r="F885">
        <f>IF($A885="","",IF(AND(LEN($B885)=11,SUMPRODUCT(--ISNUMBER(FIND(MID($B885,{1,2,3},1),"ABCDEFGHIJKLMNOPQRSTUVWXYZ")))=3,ISNUMBER(FIND(MID($B885,4,1),"UJZ")),SUMPRODUCT(--ISNUMBER(FIND(MID($B885,{5,6,7,8,9,10,11},1),"0123456789")))=7),1,0))</f>
        <v/>
      </c>
      <c r="G885">
        <f>IF($F885=1,INDEX({10,12,13,14,15,16,17,18,19,20,21,23,24,25,26,27,28,29,30,31,32,34,35,36,37,38},1,FIND(MID($B885,1,1),"ABCDEFGHIJKLMNOPQRSTUVWXYZ")),"")</f>
        <v/>
      </c>
      <c r="H885">
        <f>IF($F885=1,INDEX({10,12,13,14,15,16,17,18,19,20,21,23,24,25,26,27,28,29,30,31,32,34,35,36,37,38},1,FIND(MID($B885,2,1),"ABCDEFGHIJKLMNOPQRSTUVWXYZ")),"")</f>
        <v/>
      </c>
      <c r="I885">
        <f>IF($F885=1,INDEX({10,12,13,14,15,16,17,18,19,20,21,23,24,25,26,27,28,29,30,31,32,34,35,36,37,38},1,FIND(MID($B885,3,1),"ABCDEFGHIJKLMNOPQRSTUVWXYZ")),"")</f>
        <v/>
      </c>
      <c r="J885">
        <f>IF($F885=1,INDEX({10,12,13,14,15,16,17,18,19,20,21,23,24,25,26,27,28,29,30,31,32,34,35,36,37,38},1,FIND(MID($B885,4,1),"ABCDEFGHIJKLMNOPQRSTUVWXYZ")),"")</f>
        <v/>
      </c>
      <c r="K885">
        <f>IF($F885=1,FIND(MID($B885,5,1),"0123456789")-1,"")</f>
        <v/>
      </c>
      <c r="L885">
        <f>IF($F885=1,FIND(MID($B885,6,1),"0123456789")-1,"")</f>
        <v/>
      </c>
      <c r="M885">
        <f>IF($F885=1,FIND(MID($B885,7,1),"0123456789")-1,"")</f>
        <v/>
      </c>
      <c r="N885">
        <f>IF($F885=1,FIND(MID($B885,8,1),"0123456789")-1,"")</f>
        <v/>
      </c>
      <c r="O885">
        <f>IF($F885=1,FIND(MID($B885,9,1),"0123456789")-1,"")</f>
        <v/>
      </c>
      <c r="P885">
        <f>IF($F885=1,FIND(MID($B885,10,1),"0123456789")-1,"")</f>
        <v/>
      </c>
      <c r="Q885">
        <f>IF($F885=1,SUMPRODUCT($G885:$P885,{1,2,4,8,16,32,64,128,256,512}),"")</f>
        <v/>
      </c>
      <c r="R885">
        <f>IF($F885=1,MOD(MOD($Q885,11),10),"")</f>
        <v/>
      </c>
    </row>
    <row r="886">
      <c r="A886" s="6" t="n"/>
      <c r="B886" s="7">
        <f>IF($A886="","",UPPER(SUBSTITUTE(SUBSTITUTE(SUBSTITUTE(SUBSTITUTE(SUBSTITUTE(SUBSTITUTE($A886," ",""),"-",""),".",""),"/",""),"i","I"),"ı","?")))</f>
        <v/>
      </c>
      <c r="C886" s="8">
        <f>IF($F886=1,$R886,"")</f>
        <v/>
      </c>
      <c r="D886" s="7">
        <f>IF($A886="","",IF($F886=0,"Biçim hatalı",IF(FIND(MID($B886,11,1),"0123456789")-1=$R886,"Geçerli","Kontrol hanesi hatalı (doğrusu: "&amp;$R886&amp;")")))</f>
        <v/>
      </c>
      <c r="F886">
        <f>IF($A886="","",IF(AND(LEN($B886)=11,SUMPRODUCT(--ISNUMBER(FIND(MID($B886,{1,2,3},1),"ABCDEFGHIJKLMNOPQRSTUVWXYZ")))=3,ISNUMBER(FIND(MID($B886,4,1),"UJZ")),SUMPRODUCT(--ISNUMBER(FIND(MID($B886,{5,6,7,8,9,10,11},1),"0123456789")))=7),1,0))</f>
        <v/>
      </c>
      <c r="G886">
        <f>IF($F886=1,INDEX({10,12,13,14,15,16,17,18,19,20,21,23,24,25,26,27,28,29,30,31,32,34,35,36,37,38},1,FIND(MID($B886,1,1),"ABCDEFGHIJKLMNOPQRSTUVWXYZ")),"")</f>
        <v/>
      </c>
      <c r="H886">
        <f>IF($F886=1,INDEX({10,12,13,14,15,16,17,18,19,20,21,23,24,25,26,27,28,29,30,31,32,34,35,36,37,38},1,FIND(MID($B886,2,1),"ABCDEFGHIJKLMNOPQRSTUVWXYZ")),"")</f>
        <v/>
      </c>
      <c r="I886">
        <f>IF($F886=1,INDEX({10,12,13,14,15,16,17,18,19,20,21,23,24,25,26,27,28,29,30,31,32,34,35,36,37,38},1,FIND(MID($B886,3,1),"ABCDEFGHIJKLMNOPQRSTUVWXYZ")),"")</f>
        <v/>
      </c>
      <c r="J886">
        <f>IF($F886=1,INDEX({10,12,13,14,15,16,17,18,19,20,21,23,24,25,26,27,28,29,30,31,32,34,35,36,37,38},1,FIND(MID($B886,4,1),"ABCDEFGHIJKLMNOPQRSTUVWXYZ")),"")</f>
        <v/>
      </c>
      <c r="K886">
        <f>IF($F886=1,FIND(MID($B886,5,1),"0123456789")-1,"")</f>
        <v/>
      </c>
      <c r="L886">
        <f>IF($F886=1,FIND(MID($B886,6,1),"0123456789")-1,"")</f>
        <v/>
      </c>
      <c r="M886">
        <f>IF($F886=1,FIND(MID($B886,7,1),"0123456789")-1,"")</f>
        <v/>
      </c>
      <c r="N886">
        <f>IF($F886=1,FIND(MID($B886,8,1),"0123456789")-1,"")</f>
        <v/>
      </c>
      <c r="O886">
        <f>IF($F886=1,FIND(MID($B886,9,1),"0123456789")-1,"")</f>
        <v/>
      </c>
      <c r="P886">
        <f>IF($F886=1,FIND(MID($B886,10,1),"0123456789")-1,"")</f>
        <v/>
      </c>
      <c r="Q886">
        <f>IF($F886=1,SUMPRODUCT($G886:$P886,{1,2,4,8,16,32,64,128,256,512}),"")</f>
        <v/>
      </c>
      <c r="R886">
        <f>IF($F886=1,MOD(MOD($Q886,11),10),"")</f>
        <v/>
      </c>
    </row>
    <row r="887">
      <c r="A887" s="6" t="n"/>
      <c r="B887" s="7">
        <f>IF($A887="","",UPPER(SUBSTITUTE(SUBSTITUTE(SUBSTITUTE(SUBSTITUTE(SUBSTITUTE(SUBSTITUTE($A887," ",""),"-",""),".",""),"/",""),"i","I"),"ı","?")))</f>
        <v/>
      </c>
      <c r="C887" s="8">
        <f>IF($F887=1,$R887,"")</f>
        <v/>
      </c>
      <c r="D887" s="7">
        <f>IF($A887="","",IF($F887=0,"Biçim hatalı",IF(FIND(MID($B887,11,1),"0123456789")-1=$R887,"Geçerli","Kontrol hanesi hatalı (doğrusu: "&amp;$R887&amp;")")))</f>
        <v/>
      </c>
      <c r="F887">
        <f>IF($A887="","",IF(AND(LEN($B887)=11,SUMPRODUCT(--ISNUMBER(FIND(MID($B887,{1,2,3},1),"ABCDEFGHIJKLMNOPQRSTUVWXYZ")))=3,ISNUMBER(FIND(MID($B887,4,1),"UJZ")),SUMPRODUCT(--ISNUMBER(FIND(MID($B887,{5,6,7,8,9,10,11},1),"0123456789")))=7),1,0))</f>
        <v/>
      </c>
      <c r="G887">
        <f>IF($F887=1,INDEX({10,12,13,14,15,16,17,18,19,20,21,23,24,25,26,27,28,29,30,31,32,34,35,36,37,38},1,FIND(MID($B887,1,1),"ABCDEFGHIJKLMNOPQRSTUVWXYZ")),"")</f>
        <v/>
      </c>
      <c r="H887">
        <f>IF($F887=1,INDEX({10,12,13,14,15,16,17,18,19,20,21,23,24,25,26,27,28,29,30,31,32,34,35,36,37,38},1,FIND(MID($B887,2,1),"ABCDEFGHIJKLMNOPQRSTUVWXYZ")),"")</f>
        <v/>
      </c>
      <c r="I887">
        <f>IF($F887=1,INDEX({10,12,13,14,15,16,17,18,19,20,21,23,24,25,26,27,28,29,30,31,32,34,35,36,37,38},1,FIND(MID($B887,3,1),"ABCDEFGHIJKLMNOPQRSTUVWXYZ")),"")</f>
        <v/>
      </c>
      <c r="J887">
        <f>IF($F887=1,INDEX({10,12,13,14,15,16,17,18,19,20,21,23,24,25,26,27,28,29,30,31,32,34,35,36,37,38},1,FIND(MID($B887,4,1),"ABCDEFGHIJKLMNOPQRSTUVWXYZ")),"")</f>
        <v/>
      </c>
      <c r="K887">
        <f>IF($F887=1,FIND(MID($B887,5,1),"0123456789")-1,"")</f>
        <v/>
      </c>
      <c r="L887">
        <f>IF($F887=1,FIND(MID($B887,6,1),"0123456789")-1,"")</f>
        <v/>
      </c>
      <c r="M887">
        <f>IF($F887=1,FIND(MID($B887,7,1),"0123456789")-1,"")</f>
        <v/>
      </c>
      <c r="N887">
        <f>IF($F887=1,FIND(MID($B887,8,1),"0123456789")-1,"")</f>
        <v/>
      </c>
      <c r="O887">
        <f>IF($F887=1,FIND(MID($B887,9,1),"0123456789")-1,"")</f>
        <v/>
      </c>
      <c r="P887">
        <f>IF($F887=1,FIND(MID($B887,10,1),"0123456789")-1,"")</f>
        <v/>
      </c>
      <c r="Q887">
        <f>IF($F887=1,SUMPRODUCT($G887:$P887,{1,2,4,8,16,32,64,128,256,512}),"")</f>
        <v/>
      </c>
      <c r="R887">
        <f>IF($F887=1,MOD(MOD($Q887,11),10),"")</f>
        <v/>
      </c>
    </row>
    <row r="888">
      <c r="A888" s="6" t="n"/>
      <c r="B888" s="7">
        <f>IF($A888="","",UPPER(SUBSTITUTE(SUBSTITUTE(SUBSTITUTE(SUBSTITUTE(SUBSTITUTE(SUBSTITUTE($A888," ",""),"-",""),".",""),"/",""),"i","I"),"ı","?")))</f>
        <v/>
      </c>
      <c r="C888" s="8">
        <f>IF($F888=1,$R888,"")</f>
        <v/>
      </c>
      <c r="D888" s="7">
        <f>IF($A888="","",IF($F888=0,"Biçim hatalı",IF(FIND(MID($B888,11,1),"0123456789")-1=$R888,"Geçerli","Kontrol hanesi hatalı (doğrusu: "&amp;$R888&amp;")")))</f>
        <v/>
      </c>
      <c r="F888">
        <f>IF($A888="","",IF(AND(LEN($B888)=11,SUMPRODUCT(--ISNUMBER(FIND(MID($B888,{1,2,3},1),"ABCDEFGHIJKLMNOPQRSTUVWXYZ")))=3,ISNUMBER(FIND(MID($B888,4,1),"UJZ")),SUMPRODUCT(--ISNUMBER(FIND(MID($B888,{5,6,7,8,9,10,11},1),"0123456789")))=7),1,0))</f>
        <v/>
      </c>
      <c r="G888">
        <f>IF($F888=1,INDEX({10,12,13,14,15,16,17,18,19,20,21,23,24,25,26,27,28,29,30,31,32,34,35,36,37,38},1,FIND(MID($B888,1,1),"ABCDEFGHIJKLMNOPQRSTUVWXYZ")),"")</f>
        <v/>
      </c>
      <c r="H888">
        <f>IF($F888=1,INDEX({10,12,13,14,15,16,17,18,19,20,21,23,24,25,26,27,28,29,30,31,32,34,35,36,37,38},1,FIND(MID($B888,2,1),"ABCDEFGHIJKLMNOPQRSTUVWXYZ")),"")</f>
        <v/>
      </c>
      <c r="I888">
        <f>IF($F888=1,INDEX({10,12,13,14,15,16,17,18,19,20,21,23,24,25,26,27,28,29,30,31,32,34,35,36,37,38},1,FIND(MID($B888,3,1),"ABCDEFGHIJKLMNOPQRSTUVWXYZ")),"")</f>
        <v/>
      </c>
      <c r="J888">
        <f>IF($F888=1,INDEX({10,12,13,14,15,16,17,18,19,20,21,23,24,25,26,27,28,29,30,31,32,34,35,36,37,38},1,FIND(MID($B888,4,1),"ABCDEFGHIJKLMNOPQRSTUVWXYZ")),"")</f>
        <v/>
      </c>
      <c r="K888">
        <f>IF($F888=1,FIND(MID($B888,5,1),"0123456789")-1,"")</f>
        <v/>
      </c>
      <c r="L888">
        <f>IF($F888=1,FIND(MID($B888,6,1),"0123456789")-1,"")</f>
        <v/>
      </c>
      <c r="M888">
        <f>IF($F888=1,FIND(MID($B888,7,1),"0123456789")-1,"")</f>
        <v/>
      </c>
      <c r="N888">
        <f>IF($F888=1,FIND(MID($B888,8,1),"0123456789")-1,"")</f>
        <v/>
      </c>
      <c r="O888">
        <f>IF($F888=1,FIND(MID($B888,9,1),"0123456789")-1,"")</f>
        <v/>
      </c>
      <c r="P888">
        <f>IF($F888=1,FIND(MID($B888,10,1),"0123456789")-1,"")</f>
        <v/>
      </c>
      <c r="Q888">
        <f>IF($F888=1,SUMPRODUCT($G888:$P888,{1,2,4,8,16,32,64,128,256,512}),"")</f>
        <v/>
      </c>
      <c r="R888">
        <f>IF($F888=1,MOD(MOD($Q888,11),10),"")</f>
        <v/>
      </c>
    </row>
    <row r="889">
      <c r="A889" s="6" t="n"/>
      <c r="B889" s="7">
        <f>IF($A889="","",UPPER(SUBSTITUTE(SUBSTITUTE(SUBSTITUTE(SUBSTITUTE(SUBSTITUTE(SUBSTITUTE($A889," ",""),"-",""),".",""),"/",""),"i","I"),"ı","?")))</f>
        <v/>
      </c>
      <c r="C889" s="8">
        <f>IF($F889=1,$R889,"")</f>
        <v/>
      </c>
      <c r="D889" s="7">
        <f>IF($A889="","",IF($F889=0,"Biçim hatalı",IF(FIND(MID($B889,11,1),"0123456789")-1=$R889,"Geçerli","Kontrol hanesi hatalı (doğrusu: "&amp;$R889&amp;")")))</f>
        <v/>
      </c>
      <c r="F889">
        <f>IF($A889="","",IF(AND(LEN($B889)=11,SUMPRODUCT(--ISNUMBER(FIND(MID($B889,{1,2,3},1),"ABCDEFGHIJKLMNOPQRSTUVWXYZ")))=3,ISNUMBER(FIND(MID($B889,4,1),"UJZ")),SUMPRODUCT(--ISNUMBER(FIND(MID($B889,{5,6,7,8,9,10,11},1),"0123456789")))=7),1,0))</f>
        <v/>
      </c>
      <c r="G889">
        <f>IF($F889=1,INDEX({10,12,13,14,15,16,17,18,19,20,21,23,24,25,26,27,28,29,30,31,32,34,35,36,37,38},1,FIND(MID($B889,1,1),"ABCDEFGHIJKLMNOPQRSTUVWXYZ")),"")</f>
        <v/>
      </c>
      <c r="H889">
        <f>IF($F889=1,INDEX({10,12,13,14,15,16,17,18,19,20,21,23,24,25,26,27,28,29,30,31,32,34,35,36,37,38},1,FIND(MID($B889,2,1),"ABCDEFGHIJKLMNOPQRSTUVWXYZ")),"")</f>
        <v/>
      </c>
      <c r="I889">
        <f>IF($F889=1,INDEX({10,12,13,14,15,16,17,18,19,20,21,23,24,25,26,27,28,29,30,31,32,34,35,36,37,38},1,FIND(MID($B889,3,1),"ABCDEFGHIJKLMNOPQRSTUVWXYZ")),"")</f>
        <v/>
      </c>
      <c r="J889">
        <f>IF($F889=1,INDEX({10,12,13,14,15,16,17,18,19,20,21,23,24,25,26,27,28,29,30,31,32,34,35,36,37,38},1,FIND(MID($B889,4,1),"ABCDEFGHIJKLMNOPQRSTUVWXYZ")),"")</f>
        <v/>
      </c>
      <c r="K889">
        <f>IF($F889=1,FIND(MID($B889,5,1),"0123456789")-1,"")</f>
        <v/>
      </c>
      <c r="L889">
        <f>IF($F889=1,FIND(MID($B889,6,1),"0123456789")-1,"")</f>
        <v/>
      </c>
      <c r="M889">
        <f>IF($F889=1,FIND(MID($B889,7,1),"0123456789")-1,"")</f>
        <v/>
      </c>
      <c r="N889">
        <f>IF($F889=1,FIND(MID($B889,8,1),"0123456789")-1,"")</f>
        <v/>
      </c>
      <c r="O889">
        <f>IF($F889=1,FIND(MID($B889,9,1),"0123456789")-1,"")</f>
        <v/>
      </c>
      <c r="P889">
        <f>IF($F889=1,FIND(MID($B889,10,1),"0123456789")-1,"")</f>
        <v/>
      </c>
      <c r="Q889">
        <f>IF($F889=1,SUMPRODUCT($G889:$P889,{1,2,4,8,16,32,64,128,256,512}),"")</f>
        <v/>
      </c>
      <c r="R889">
        <f>IF($F889=1,MOD(MOD($Q889,11),10),"")</f>
        <v/>
      </c>
    </row>
    <row r="890">
      <c r="A890" s="6" t="n"/>
      <c r="B890" s="7">
        <f>IF($A890="","",UPPER(SUBSTITUTE(SUBSTITUTE(SUBSTITUTE(SUBSTITUTE(SUBSTITUTE(SUBSTITUTE($A890," ",""),"-",""),".",""),"/",""),"i","I"),"ı","?")))</f>
        <v/>
      </c>
      <c r="C890" s="8">
        <f>IF($F890=1,$R890,"")</f>
        <v/>
      </c>
      <c r="D890" s="7">
        <f>IF($A890="","",IF($F890=0,"Biçim hatalı",IF(FIND(MID($B890,11,1),"0123456789")-1=$R890,"Geçerli","Kontrol hanesi hatalı (doğrusu: "&amp;$R890&amp;")")))</f>
        <v/>
      </c>
      <c r="F890">
        <f>IF($A890="","",IF(AND(LEN($B890)=11,SUMPRODUCT(--ISNUMBER(FIND(MID($B890,{1,2,3},1),"ABCDEFGHIJKLMNOPQRSTUVWXYZ")))=3,ISNUMBER(FIND(MID($B890,4,1),"UJZ")),SUMPRODUCT(--ISNUMBER(FIND(MID($B890,{5,6,7,8,9,10,11},1),"0123456789")))=7),1,0))</f>
        <v/>
      </c>
      <c r="G890">
        <f>IF($F890=1,INDEX({10,12,13,14,15,16,17,18,19,20,21,23,24,25,26,27,28,29,30,31,32,34,35,36,37,38},1,FIND(MID($B890,1,1),"ABCDEFGHIJKLMNOPQRSTUVWXYZ")),"")</f>
        <v/>
      </c>
      <c r="H890">
        <f>IF($F890=1,INDEX({10,12,13,14,15,16,17,18,19,20,21,23,24,25,26,27,28,29,30,31,32,34,35,36,37,38},1,FIND(MID($B890,2,1),"ABCDEFGHIJKLMNOPQRSTUVWXYZ")),"")</f>
        <v/>
      </c>
      <c r="I890">
        <f>IF($F890=1,INDEX({10,12,13,14,15,16,17,18,19,20,21,23,24,25,26,27,28,29,30,31,32,34,35,36,37,38},1,FIND(MID($B890,3,1),"ABCDEFGHIJKLMNOPQRSTUVWXYZ")),"")</f>
        <v/>
      </c>
      <c r="J890">
        <f>IF($F890=1,INDEX({10,12,13,14,15,16,17,18,19,20,21,23,24,25,26,27,28,29,30,31,32,34,35,36,37,38},1,FIND(MID($B890,4,1),"ABCDEFGHIJKLMNOPQRSTUVWXYZ")),"")</f>
        <v/>
      </c>
      <c r="K890">
        <f>IF($F890=1,FIND(MID($B890,5,1),"0123456789")-1,"")</f>
        <v/>
      </c>
      <c r="L890">
        <f>IF($F890=1,FIND(MID($B890,6,1),"0123456789")-1,"")</f>
        <v/>
      </c>
      <c r="M890">
        <f>IF($F890=1,FIND(MID($B890,7,1),"0123456789")-1,"")</f>
        <v/>
      </c>
      <c r="N890">
        <f>IF($F890=1,FIND(MID($B890,8,1),"0123456789")-1,"")</f>
        <v/>
      </c>
      <c r="O890">
        <f>IF($F890=1,FIND(MID($B890,9,1),"0123456789")-1,"")</f>
        <v/>
      </c>
      <c r="P890">
        <f>IF($F890=1,FIND(MID($B890,10,1),"0123456789")-1,"")</f>
        <v/>
      </c>
      <c r="Q890">
        <f>IF($F890=1,SUMPRODUCT($G890:$P890,{1,2,4,8,16,32,64,128,256,512}),"")</f>
        <v/>
      </c>
      <c r="R890">
        <f>IF($F890=1,MOD(MOD($Q890,11),10),"")</f>
        <v/>
      </c>
    </row>
    <row r="891">
      <c r="A891" s="6" t="n"/>
      <c r="B891" s="7">
        <f>IF($A891="","",UPPER(SUBSTITUTE(SUBSTITUTE(SUBSTITUTE(SUBSTITUTE(SUBSTITUTE(SUBSTITUTE($A891," ",""),"-",""),".",""),"/",""),"i","I"),"ı","?")))</f>
        <v/>
      </c>
      <c r="C891" s="8">
        <f>IF($F891=1,$R891,"")</f>
        <v/>
      </c>
      <c r="D891" s="7">
        <f>IF($A891="","",IF($F891=0,"Biçim hatalı",IF(FIND(MID($B891,11,1),"0123456789")-1=$R891,"Geçerli","Kontrol hanesi hatalı (doğrusu: "&amp;$R891&amp;")")))</f>
        <v/>
      </c>
      <c r="F891">
        <f>IF($A891="","",IF(AND(LEN($B891)=11,SUMPRODUCT(--ISNUMBER(FIND(MID($B891,{1,2,3},1),"ABCDEFGHIJKLMNOPQRSTUVWXYZ")))=3,ISNUMBER(FIND(MID($B891,4,1),"UJZ")),SUMPRODUCT(--ISNUMBER(FIND(MID($B891,{5,6,7,8,9,10,11},1),"0123456789")))=7),1,0))</f>
        <v/>
      </c>
      <c r="G891">
        <f>IF($F891=1,INDEX({10,12,13,14,15,16,17,18,19,20,21,23,24,25,26,27,28,29,30,31,32,34,35,36,37,38},1,FIND(MID($B891,1,1),"ABCDEFGHIJKLMNOPQRSTUVWXYZ")),"")</f>
        <v/>
      </c>
      <c r="H891">
        <f>IF($F891=1,INDEX({10,12,13,14,15,16,17,18,19,20,21,23,24,25,26,27,28,29,30,31,32,34,35,36,37,38},1,FIND(MID($B891,2,1),"ABCDEFGHIJKLMNOPQRSTUVWXYZ")),"")</f>
        <v/>
      </c>
      <c r="I891">
        <f>IF($F891=1,INDEX({10,12,13,14,15,16,17,18,19,20,21,23,24,25,26,27,28,29,30,31,32,34,35,36,37,38},1,FIND(MID($B891,3,1),"ABCDEFGHIJKLMNOPQRSTUVWXYZ")),"")</f>
        <v/>
      </c>
      <c r="J891">
        <f>IF($F891=1,INDEX({10,12,13,14,15,16,17,18,19,20,21,23,24,25,26,27,28,29,30,31,32,34,35,36,37,38},1,FIND(MID($B891,4,1),"ABCDEFGHIJKLMNOPQRSTUVWXYZ")),"")</f>
        <v/>
      </c>
      <c r="K891">
        <f>IF($F891=1,FIND(MID($B891,5,1),"0123456789")-1,"")</f>
        <v/>
      </c>
      <c r="L891">
        <f>IF($F891=1,FIND(MID($B891,6,1),"0123456789")-1,"")</f>
        <v/>
      </c>
      <c r="M891">
        <f>IF($F891=1,FIND(MID($B891,7,1),"0123456789")-1,"")</f>
        <v/>
      </c>
      <c r="N891">
        <f>IF($F891=1,FIND(MID($B891,8,1),"0123456789")-1,"")</f>
        <v/>
      </c>
      <c r="O891">
        <f>IF($F891=1,FIND(MID($B891,9,1),"0123456789")-1,"")</f>
        <v/>
      </c>
      <c r="P891">
        <f>IF($F891=1,FIND(MID($B891,10,1),"0123456789")-1,"")</f>
        <v/>
      </c>
      <c r="Q891">
        <f>IF($F891=1,SUMPRODUCT($G891:$P891,{1,2,4,8,16,32,64,128,256,512}),"")</f>
        <v/>
      </c>
      <c r="R891">
        <f>IF($F891=1,MOD(MOD($Q891,11),10),"")</f>
        <v/>
      </c>
    </row>
    <row r="892">
      <c r="A892" s="6" t="n"/>
      <c r="B892" s="7">
        <f>IF($A892="","",UPPER(SUBSTITUTE(SUBSTITUTE(SUBSTITUTE(SUBSTITUTE(SUBSTITUTE(SUBSTITUTE($A892," ",""),"-",""),".",""),"/",""),"i","I"),"ı","?")))</f>
        <v/>
      </c>
      <c r="C892" s="8">
        <f>IF($F892=1,$R892,"")</f>
        <v/>
      </c>
      <c r="D892" s="7">
        <f>IF($A892="","",IF($F892=0,"Biçim hatalı",IF(FIND(MID($B892,11,1),"0123456789")-1=$R892,"Geçerli","Kontrol hanesi hatalı (doğrusu: "&amp;$R892&amp;")")))</f>
        <v/>
      </c>
      <c r="F892">
        <f>IF($A892="","",IF(AND(LEN($B892)=11,SUMPRODUCT(--ISNUMBER(FIND(MID($B892,{1,2,3},1),"ABCDEFGHIJKLMNOPQRSTUVWXYZ")))=3,ISNUMBER(FIND(MID($B892,4,1),"UJZ")),SUMPRODUCT(--ISNUMBER(FIND(MID($B892,{5,6,7,8,9,10,11},1),"0123456789")))=7),1,0))</f>
        <v/>
      </c>
      <c r="G892">
        <f>IF($F892=1,INDEX({10,12,13,14,15,16,17,18,19,20,21,23,24,25,26,27,28,29,30,31,32,34,35,36,37,38},1,FIND(MID($B892,1,1),"ABCDEFGHIJKLMNOPQRSTUVWXYZ")),"")</f>
        <v/>
      </c>
      <c r="H892">
        <f>IF($F892=1,INDEX({10,12,13,14,15,16,17,18,19,20,21,23,24,25,26,27,28,29,30,31,32,34,35,36,37,38},1,FIND(MID($B892,2,1),"ABCDEFGHIJKLMNOPQRSTUVWXYZ")),"")</f>
        <v/>
      </c>
      <c r="I892">
        <f>IF($F892=1,INDEX({10,12,13,14,15,16,17,18,19,20,21,23,24,25,26,27,28,29,30,31,32,34,35,36,37,38},1,FIND(MID($B892,3,1),"ABCDEFGHIJKLMNOPQRSTUVWXYZ")),"")</f>
        <v/>
      </c>
      <c r="J892">
        <f>IF($F892=1,INDEX({10,12,13,14,15,16,17,18,19,20,21,23,24,25,26,27,28,29,30,31,32,34,35,36,37,38},1,FIND(MID($B892,4,1),"ABCDEFGHIJKLMNOPQRSTUVWXYZ")),"")</f>
        <v/>
      </c>
      <c r="K892">
        <f>IF($F892=1,FIND(MID($B892,5,1),"0123456789")-1,"")</f>
        <v/>
      </c>
      <c r="L892">
        <f>IF($F892=1,FIND(MID($B892,6,1),"0123456789")-1,"")</f>
        <v/>
      </c>
      <c r="M892">
        <f>IF($F892=1,FIND(MID($B892,7,1),"0123456789")-1,"")</f>
        <v/>
      </c>
      <c r="N892">
        <f>IF($F892=1,FIND(MID($B892,8,1),"0123456789")-1,"")</f>
        <v/>
      </c>
      <c r="O892">
        <f>IF($F892=1,FIND(MID($B892,9,1),"0123456789")-1,"")</f>
        <v/>
      </c>
      <c r="P892">
        <f>IF($F892=1,FIND(MID($B892,10,1),"0123456789")-1,"")</f>
        <v/>
      </c>
      <c r="Q892">
        <f>IF($F892=1,SUMPRODUCT($G892:$P892,{1,2,4,8,16,32,64,128,256,512}),"")</f>
        <v/>
      </c>
      <c r="R892">
        <f>IF($F892=1,MOD(MOD($Q892,11),10),"")</f>
        <v/>
      </c>
    </row>
    <row r="893">
      <c r="A893" s="6" t="n"/>
      <c r="B893" s="7">
        <f>IF($A893="","",UPPER(SUBSTITUTE(SUBSTITUTE(SUBSTITUTE(SUBSTITUTE(SUBSTITUTE(SUBSTITUTE($A893," ",""),"-",""),".",""),"/",""),"i","I"),"ı","?")))</f>
        <v/>
      </c>
      <c r="C893" s="8">
        <f>IF($F893=1,$R893,"")</f>
        <v/>
      </c>
      <c r="D893" s="7">
        <f>IF($A893="","",IF($F893=0,"Biçim hatalı",IF(FIND(MID($B893,11,1),"0123456789")-1=$R893,"Geçerli","Kontrol hanesi hatalı (doğrusu: "&amp;$R893&amp;")")))</f>
        <v/>
      </c>
      <c r="F893">
        <f>IF($A893="","",IF(AND(LEN($B893)=11,SUMPRODUCT(--ISNUMBER(FIND(MID($B893,{1,2,3},1),"ABCDEFGHIJKLMNOPQRSTUVWXYZ")))=3,ISNUMBER(FIND(MID($B893,4,1),"UJZ")),SUMPRODUCT(--ISNUMBER(FIND(MID($B893,{5,6,7,8,9,10,11},1),"0123456789")))=7),1,0))</f>
        <v/>
      </c>
      <c r="G893">
        <f>IF($F893=1,INDEX({10,12,13,14,15,16,17,18,19,20,21,23,24,25,26,27,28,29,30,31,32,34,35,36,37,38},1,FIND(MID($B893,1,1),"ABCDEFGHIJKLMNOPQRSTUVWXYZ")),"")</f>
        <v/>
      </c>
      <c r="H893">
        <f>IF($F893=1,INDEX({10,12,13,14,15,16,17,18,19,20,21,23,24,25,26,27,28,29,30,31,32,34,35,36,37,38},1,FIND(MID($B893,2,1),"ABCDEFGHIJKLMNOPQRSTUVWXYZ")),"")</f>
        <v/>
      </c>
      <c r="I893">
        <f>IF($F893=1,INDEX({10,12,13,14,15,16,17,18,19,20,21,23,24,25,26,27,28,29,30,31,32,34,35,36,37,38},1,FIND(MID($B893,3,1),"ABCDEFGHIJKLMNOPQRSTUVWXYZ")),"")</f>
        <v/>
      </c>
      <c r="J893">
        <f>IF($F893=1,INDEX({10,12,13,14,15,16,17,18,19,20,21,23,24,25,26,27,28,29,30,31,32,34,35,36,37,38},1,FIND(MID($B893,4,1),"ABCDEFGHIJKLMNOPQRSTUVWXYZ")),"")</f>
        <v/>
      </c>
      <c r="K893">
        <f>IF($F893=1,FIND(MID($B893,5,1),"0123456789")-1,"")</f>
        <v/>
      </c>
      <c r="L893">
        <f>IF($F893=1,FIND(MID($B893,6,1),"0123456789")-1,"")</f>
        <v/>
      </c>
      <c r="M893">
        <f>IF($F893=1,FIND(MID($B893,7,1),"0123456789")-1,"")</f>
        <v/>
      </c>
      <c r="N893">
        <f>IF($F893=1,FIND(MID($B893,8,1),"0123456789")-1,"")</f>
        <v/>
      </c>
      <c r="O893">
        <f>IF($F893=1,FIND(MID($B893,9,1),"0123456789")-1,"")</f>
        <v/>
      </c>
      <c r="P893">
        <f>IF($F893=1,FIND(MID($B893,10,1),"0123456789")-1,"")</f>
        <v/>
      </c>
      <c r="Q893">
        <f>IF($F893=1,SUMPRODUCT($G893:$P893,{1,2,4,8,16,32,64,128,256,512}),"")</f>
        <v/>
      </c>
      <c r="R893">
        <f>IF($F893=1,MOD(MOD($Q893,11),10),"")</f>
        <v/>
      </c>
    </row>
    <row r="894">
      <c r="A894" s="6" t="n"/>
      <c r="B894" s="7">
        <f>IF($A894="","",UPPER(SUBSTITUTE(SUBSTITUTE(SUBSTITUTE(SUBSTITUTE(SUBSTITUTE(SUBSTITUTE($A894," ",""),"-",""),".",""),"/",""),"i","I"),"ı","?")))</f>
        <v/>
      </c>
      <c r="C894" s="8">
        <f>IF($F894=1,$R894,"")</f>
        <v/>
      </c>
      <c r="D894" s="7">
        <f>IF($A894="","",IF($F894=0,"Biçim hatalı",IF(FIND(MID($B894,11,1),"0123456789")-1=$R894,"Geçerli","Kontrol hanesi hatalı (doğrusu: "&amp;$R894&amp;")")))</f>
        <v/>
      </c>
      <c r="F894">
        <f>IF($A894="","",IF(AND(LEN($B894)=11,SUMPRODUCT(--ISNUMBER(FIND(MID($B894,{1,2,3},1),"ABCDEFGHIJKLMNOPQRSTUVWXYZ")))=3,ISNUMBER(FIND(MID($B894,4,1),"UJZ")),SUMPRODUCT(--ISNUMBER(FIND(MID($B894,{5,6,7,8,9,10,11},1),"0123456789")))=7),1,0))</f>
        <v/>
      </c>
      <c r="G894">
        <f>IF($F894=1,INDEX({10,12,13,14,15,16,17,18,19,20,21,23,24,25,26,27,28,29,30,31,32,34,35,36,37,38},1,FIND(MID($B894,1,1),"ABCDEFGHIJKLMNOPQRSTUVWXYZ")),"")</f>
        <v/>
      </c>
      <c r="H894">
        <f>IF($F894=1,INDEX({10,12,13,14,15,16,17,18,19,20,21,23,24,25,26,27,28,29,30,31,32,34,35,36,37,38},1,FIND(MID($B894,2,1),"ABCDEFGHIJKLMNOPQRSTUVWXYZ")),"")</f>
        <v/>
      </c>
      <c r="I894">
        <f>IF($F894=1,INDEX({10,12,13,14,15,16,17,18,19,20,21,23,24,25,26,27,28,29,30,31,32,34,35,36,37,38},1,FIND(MID($B894,3,1),"ABCDEFGHIJKLMNOPQRSTUVWXYZ")),"")</f>
        <v/>
      </c>
      <c r="J894">
        <f>IF($F894=1,INDEX({10,12,13,14,15,16,17,18,19,20,21,23,24,25,26,27,28,29,30,31,32,34,35,36,37,38},1,FIND(MID($B894,4,1),"ABCDEFGHIJKLMNOPQRSTUVWXYZ")),"")</f>
        <v/>
      </c>
      <c r="K894">
        <f>IF($F894=1,FIND(MID($B894,5,1),"0123456789")-1,"")</f>
        <v/>
      </c>
      <c r="L894">
        <f>IF($F894=1,FIND(MID($B894,6,1),"0123456789")-1,"")</f>
        <v/>
      </c>
      <c r="M894">
        <f>IF($F894=1,FIND(MID($B894,7,1),"0123456789")-1,"")</f>
        <v/>
      </c>
      <c r="N894">
        <f>IF($F894=1,FIND(MID($B894,8,1),"0123456789")-1,"")</f>
        <v/>
      </c>
      <c r="O894">
        <f>IF($F894=1,FIND(MID($B894,9,1),"0123456789")-1,"")</f>
        <v/>
      </c>
      <c r="P894">
        <f>IF($F894=1,FIND(MID($B894,10,1),"0123456789")-1,"")</f>
        <v/>
      </c>
      <c r="Q894">
        <f>IF($F894=1,SUMPRODUCT($G894:$P894,{1,2,4,8,16,32,64,128,256,512}),"")</f>
        <v/>
      </c>
      <c r="R894">
        <f>IF($F894=1,MOD(MOD($Q894,11),10),"")</f>
        <v/>
      </c>
    </row>
    <row r="895">
      <c r="A895" s="6" t="n"/>
      <c r="B895" s="7">
        <f>IF($A895="","",UPPER(SUBSTITUTE(SUBSTITUTE(SUBSTITUTE(SUBSTITUTE(SUBSTITUTE(SUBSTITUTE($A895," ",""),"-",""),".",""),"/",""),"i","I"),"ı","?")))</f>
        <v/>
      </c>
      <c r="C895" s="8">
        <f>IF($F895=1,$R895,"")</f>
        <v/>
      </c>
      <c r="D895" s="7">
        <f>IF($A895="","",IF($F895=0,"Biçim hatalı",IF(FIND(MID($B895,11,1),"0123456789")-1=$R895,"Geçerli","Kontrol hanesi hatalı (doğrusu: "&amp;$R895&amp;")")))</f>
        <v/>
      </c>
      <c r="F895">
        <f>IF($A895="","",IF(AND(LEN($B895)=11,SUMPRODUCT(--ISNUMBER(FIND(MID($B895,{1,2,3},1),"ABCDEFGHIJKLMNOPQRSTUVWXYZ")))=3,ISNUMBER(FIND(MID($B895,4,1),"UJZ")),SUMPRODUCT(--ISNUMBER(FIND(MID($B895,{5,6,7,8,9,10,11},1),"0123456789")))=7),1,0))</f>
        <v/>
      </c>
      <c r="G895">
        <f>IF($F895=1,INDEX({10,12,13,14,15,16,17,18,19,20,21,23,24,25,26,27,28,29,30,31,32,34,35,36,37,38},1,FIND(MID($B895,1,1),"ABCDEFGHIJKLMNOPQRSTUVWXYZ")),"")</f>
        <v/>
      </c>
      <c r="H895">
        <f>IF($F895=1,INDEX({10,12,13,14,15,16,17,18,19,20,21,23,24,25,26,27,28,29,30,31,32,34,35,36,37,38},1,FIND(MID($B895,2,1),"ABCDEFGHIJKLMNOPQRSTUVWXYZ")),"")</f>
        <v/>
      </c>
      <c r="I895">
        <f>IF($F895=1,INDEX({10,12,13,14,15,16,17,18,19,20,21,23,24,25,26,27,28,29,30,31,32,34,35,36,37,38},1,FIND(MID($B895,3,1),"ABCDEFGHIJKLMNOPQRSTUVWXYZ")),"")</f>
        <v/>
      </c>
      <c r="J895">
        <f>IF($F895=1,INDEX({10,12,13,14,15,16,17,18,19,20,21,23,24,25,26,27,28,29,30,31,32,34,35,36,37,38},1,FIND(MID($B895,4,1),"ABCDEFGHIJKLMNOPQRSTUVWXYZ")),"")</f>
        <v/>
      </c>
      <c r="K895">
        <f>IF($F895=1,FIND(MID($B895,5,1),"0123456789")-1,"")</f>
        <v/>
      </c>
      <c r="L895">
        <f>IF($F895=1,FIND(MID($B895,6,1),"0123456789")-1,"")</f>
        <v/>
      </c>
      <c r="M895">
        <f>IF($F895=1,FIND(MID($B895,7,1),"0123456789")-1,"")</f>
        <v/>
      </c>
      <c r="N895">
        <f>IF($F895=1,FIND(MID($B895,8,1),"0123456789")-1,"")</f>
        <v/>
      </c>
      <c r="O895">
        <f>IF($F895=1,FIND(MID($B895,9,1),"0123456789")-1,"")</f>
        <v/>
      </c>
      <c r="P895">
        <f>IF($F895=1,FIND(MID($B895,10,1),"0123456789")-1,"")</f>
        <v/>
      </c>
      <c r="Q895">
        <f>IF($F895=1,SUMPRODUCT($G895:$P895,{1,2,4,8,16,32,64,128,256,512}),"")</f>
        <v/>
      </c>
      <c r="R895">
        <f>IF($F895=1,MOD(MOD($Q895,11),10),"")</f>
        <v/>
      </c>
    </row>
    <row r="896">
      <c r="A896" s="6" t="n"/>
      <c r="B896" s="7">
        <f>IF($A896="","",UPPER(SUBSTITUTE(SUBSTITUTE(SUBSTITUTE(SUBSTITUTE(SUBSTITUTE(SUBSTITUTE($A896," ",""),"-",""),".",""),"/",""),"i","I"),"ı","?")))</f>
        <v/>
      </c>
      <c r="C896" s="8">
        <f>IF($F896=1,$R896,"")</f>
        <v/>
      </c>
      <c r="D896" s="7">
        <f>IF($A896="","",IF($F896=0,"Biçim hatalı",IF(FIND(MID($B896,11,1),"0123456789")-1=$R896,"Geçerli","Kontrol hanesi hatalı (doğrusu: "&amp;$R896&amp;")")))</f>
        <v/>
      </c>
      <c r="F896">
        <f>IF($A896="","",IF(AND(LEN($B896)=11,SUMPRODUCT(--ISNUMBER(FIND(MID($B896,{1,2,3},1),"ABCDEFGHIJKLMNOPQRSTUVWXYZ")))=3,ISNUMBER(FIND(MID($B896,4,1),"UJZ")),SUMPRODUCT(--ISNUMBER(FIND(MID($B896,{5,6,7,8,9,10,11},1),"0123456789")))=7),1,0))</f>
        <v/>
      </c>
      <c r="G896">
        <f>IF($F896=1,INDEX({10,12,13,14,15,16,17,18,19,20,21,23,24,25,26,27,28,29,30,31,32,34,35,36,37,38},1,FIND(MID($B896,1,1),"ABCDEFGHIJKLMNOPQRSTUVWXYZ")),"")</f>
        <v/>
      </c>
      <c r="H896">
        <f>IF($F896=1,INDEX({10,12,13,14,15,16,17,18,19,20,21,23,24,25,26,27,28,29,30,31,32,34,35,36,37,38},1,FIND(MID($B896,2,1),"ABCDEFGHIJKLMNOPQRSTUVWXYZ")),"")</f>
        <v/>
      </c>
      <c r="I896">
        <f>IF($F896=1,INDEX({10,12,13,14,15,16,17,18,19,20,21,23,24,25,26,27,28,29,30,31,32,34,35,36,37,38},1,FIND(MID($B896,3,1),"ABCDEFGHIJKLMNOPQRSTUVWXYZ")),"")</f>
        <v/>
      </c>
      <c r="J896">
        <f>IF($F896=1,INDEX({10,12,13,14,15,16,17,18,19,20,21,23,24,25,26,27,28,29,30,31,32,34,35,36,37,38},1,FIND(MID($B896,4,1),"ABCDEFGHIJKLMNOPQRSTUVWXYZ")),"")</f>
        <v/>
      </c>
      <c r="K896">
        <f>IF($F896=1,FIND(MID($B896,5,1),"0123456789")-1,"")</f>
        <v/>
      </c>
      <c r="L896">
        <f>IF($F896=1,FIND(MID($B896,6,1),"0123456789")-1,"")</f>
        <v/>
      </c>
      <c r="M896">
        <f>IF($F896=1,FIND(MID($B896,7,1),"0123456789")-1,"")</f>
        <v/>
      </c>
      <c r="N896">
        <f>IF($F896=1,FIND(MID($B896,8,1),"0123456789")-1,"")</f>
        <v/>
      </c>
      <c r="O896">
        <f>IF($F896=1,FIND(MID($B896,9,1),"0123456789")-1,"")</f>
        <v/>
      </c>
      <c r="P896">
        <f>IF($F896=1,FIND(MID($B896,10,1),"0123456789")-1,"")</f>
        <v/>
      </c>
      <c r="Q896">
        <f>IF($F896=1,SUMPRODUCT($G896:$P896,{1,2,4,8,16,32,64,128,256,512}),"")</f>
        <v/>
      </c>
      <c r="R896">
        <f>IF($F896=1,MOD(MOD($Q896,11),10),"")</f>
        <v/>
      </c>
    </row>
    <row r="897">
      <c r="A897" s="6" t="n"/>
      <c r="B897" s="7">
        <f>IF($A897="","",UPPER(SUBSTITUTE(SUBSTITUTE(SUBSTITUTE(SUBSTITUTE(SUBSTITUTE(SUBSTITUTE($A897," ",""),"-",""),".",""),"/",""),"i","I"),"ı","?")))</f>
        <v/>
      </c>
      <c r="C897" s="8">
        <f>IF($F897=1,$R897,"")</f>
        <v/>
      </c>
      <c r="D897" s="7">
        <f>IF($A897="","",IF($F897=0,"Biçim hatalı",IF(FIND(MID($B897,11,1),"0123456789")-1=$R897,"Geçerli","Kontrol hanesi hatalı (doğrusu: "&amp;$R897&amp;")")))</f>
        <v/>
      </c>
      <c r="F897">
        <f>IF($A897="","",IF(AND(LEN($B897)=11,SUMPRODUCT(--ISNUMBER(FIND(MID($B897,{1,2,3},1),"ABCDEFGHIJKLMNOPQRSTUVWXYZ")))=3,ISNUMBER(FIND(MID($B897,4,1),"UJZ")),SUMPRODUCT(--ISNUMBER(FIND(MID($B897,{5,6,7,8,9,10,11},1),"0123456789")))=7),1,0))</f>
        <v/>
      </c>
      <c r="G897">
        <f>IF($F897=1,INDEX({10,12,13,14,15,16,17,18,19,20,21,23,24,25,26,27,28,29,30,31,32,34,35,36,37,38},1,FIND(MID($B897,1,1),"ABCDEFGHIJKLMNOPQRSTUVWXYZ")),"")</f>
        <v/>
      </c>
      <c r="H897">
        <f>IF($F897=1,INDEX({10,12,13,14,15,16,17,18,19,20,21,23,24,25,26,27,28,29,30,31,32,34,35,36,37,38},1,FIND(MID($B897,2,1),"ABCDEFGHIJKLMNOPQRSTUVWXYZ")),"")</f>
        <v/>
      </c>
      <c r="I897">
        <f>IF($F897=1,INDEX({10,12,13,14,15,16,17,18,19,20,21,23,24,25,26,27,28,29,30,31,32,34,35,36,37,38},1,FIND(MID($B897,3,1),"ABCDEFGHIJKLMNOPQRSTUVWXYZ")),"")</f>
        <v/>
      </c>
      <c r="J897">
        <f>IF($F897=1,INDEX({10,12,13,14,15,16,17,18,19,20,21,23,24,25,26,27,28,29,30,31,32,34,35,36,37,38},1,FIND(MID($B897,4,1),"ABCDEFGHIJKLMNOPQRSTUVWXYZ")),"")</f>
        <v/>
      </c>
      <c r="K897">
        <f>IF($F897=1,FIND(MID($B897,5,1),"0123456789")-1,"")</f>
        <v/>
      </c>
      <c r="L897">
        <f>IF($F897=1,FIND(MID($B897,6,1),"0123456789")-1,"")</f>
        <v/>
      </c>
      <c r="M897">
        <f>IF($F897=1,FIND(MID($B897,7,1),"0123456789")-1,"")</f>
        <v/>
      </c>
      <c r="N897">
        <f>IF($F897=1,FIND(MID($B897,8,1),"0123456789")-1,"")</f>
        <v/>
      </c>
      <c r="O897">
        <f>IF($F897=1,FIND(MID($B897,9,1),"0123456789")-1,"")</f>
        <v/>
      </c>
      <c r="P897">
        <f>IF($F897=1,FIND(MID($B897,10,1),"0123456789")-1,"")</f>
        <v/>
      </c>
      <c r="Q897">
        <f>IF($F897=1,SUMPRODUCT($G897:$P897,{1,2,4,8,16,32,64,128,256,512}),"")</f>
        <v/>
      </c>
      <c r="R897">
        <f>IF($F897=1,MOD(MOD($Q897,11),10),"")</f>
        <v/>
      </c>
    </row>
    <row r="898">
      <c r="A898" s="6" t="n"/>
      <c r="B898" s="7">
        <f>IF($A898="","",UPPER(SUBSTITUTE(SUBSTITUTE(SUBSTITUTE(SUBSTITUTE(SUBSTITUTE(SUBSTITUTE($A898," ",""),"-",""),".",""),"/",""),"i","I"),"ı","?")))</f>
        <v/>
      </c>
      <c r="C898" s="8">
        <f>IF($F898=1,$R898,"")</f>
        <v/>
      </c>
      <c r="D898" s="7">
        <f>IF($A898="","",IF($F898=0,"Biçim hatalı",IF(FIND(MID($B898,11,1),"0123456789")-1=$R898,"Geçerli","Kontrol hanesi hatalı (doğrusu: "&amp;$R898&amp;")")))</f>
        <v/>
      </c>
      <c r="F898">
        <f>IF($A898="","",IF(AND(LEN($B898)=11,SUMPRODUCT(--ISNUMBER(FIND(MID($B898,{1,2,3},1),"ABCDEFGHIJKLMNOPQRSTUVWXYZ")))=3,ISNUMBER(FIND(MID($B898,4,1),"UJZ")),SUMPRODUCT(--ISNUMBER(FIND(MID($B898,{5,6,7,8,9,10,11},1),"0123456789")))=7),1,0))</f>
        <v/>
      </c>
      <c r="G898">
        <f>IF($F898=1,INDEX({10,12,13,14,15,16,17,18,19,20,21,23,24,25,26,27,28,29,30,31,32,34,35,36,37,38},1,FIND(MID($B898,1,1),"ABCDEFGHIJKLMNOPQRSTUVWXYZ")),"")</f>
        <v/>
      </c>
      <c r="H898">
        <f>IF($F898=1,INDEX({10,12,13,14,15,16,17,18,19,20,21,23,24,25,26,27,28,29,30,31,32,34,35,36,37,38},1,FIND(MID($B898,2,1),"ABCDEFGHIJKLMNOPQRSTUVWXYZ")),"")</f>
        <v/>
      </c>
      <c r="I898">
        <f>IF($F898=1,INDEX({10,12,13,14,15,16,17,18,19,20,21,23,24,25,26,27,28,29,30,31,32,34,35,36,37,38},1,FIND(MID($B898,3,1),"ABCDEFGHIJKLMNOPQRSTUVWXYZ")),"")</f>
        <v/>
      </c>
      <c r="J898">
        <f>IF($F898=1,INDEX({10,12,13,14,15,16,17,18,19,20,21,23,24,25,26,27,28,29,30,31,32,34,35,36,37,38},1,FIND(MID($B898,4,1),"ABCDEFGHIJKLMNOPQRSTUVWXYZ")),"")</f>
        <v/>
      </c>
      <c r="K898">
        <f>IF($F898=1,FIND(MID($B898,5,1),"0123456789")-1,"")</f>
        <v/>
      </c>
      <c r="L898">
        <f>IF($F898=1,FIND(MID($B898,6,1),"0123456789")-1,"")</f>
        <v/>
      </c>
      <c r="M898">
        <f>IF($F898=1,FIND(MID($B898,7,1),"0123456789")-1,"")</f>
        <v/>
      </c>
      <c r="N898">
        <f>IF($F898=1,FIND(MID($B898,8,1),"0123456789")-1,"")</f>
        <v/>
      </c>
      <c r="O898">
        <f>IF($F898=1,FIND(MID($B898,9,1),"0123456789")-1,"")</f>
        <v/>
      </c>
      <c r="P898">
        <f>IF($F898=1,FIND(MID($B898,10,1),"0123456789")-1,"")</f>
        <v/>
      </c>
      <c r="Q898">
        <f>IF($F898=1,SUMPRODUCT($G898:$P898,{1,2,4,8,16,32,64,128,256,512}),"")</f>
        <v/>
      </c>
      <c r="R898">
        <f>IF($F898=1,MOD(MOD($Q898,11),10),"")</f>
        <v/>
      </c>
    </row>
    <row r="899">
      <c r="A899" s="6" t="n"/>
      <c r="B899" s="7">
        <f>IF($A899="","",UPPER(SUBSTITUTE(SUBSTITUTE(SUBSTITUTE(SUBSTITUTE(SUBSTITUTE(SUBSTITUTE($A899," ",""),"-",""),".",""),"/",""),"i","I"),"ı","?")))</f>
        <v/>
      </c>
      <c r="C899" s="8">
        <f>IF($F899=1,$R899,"")</f>
        <v/>
      </c>
      <c r="D899" s="7">
        <f>IF($A899="","",IF($F899=0,"Biçim hatalı",IF(FIND(MID($B899,11,1),"0123456789")-1=$R899,"Geçerli","Kontrol hanesi hatalı (doğrusu: "&amp;$R899&amp;")")))</f>
        <v/>
      </c>
      <c r="F899">
        <f>IF($A899="","",IF(AND(LEN($B899)=11,SUMPRODUCT(--ISNUMBER(FIND(MID($B899,{1,2,3},1),"ABCDEFGHIJKLMNOPQRSTUVWXYZ")))=3,ISNUMBER(FIND(MID($B899,4,1),"UJZ")),SUMPRODUCT(--ISNUMBER(FIND(MID($B899,{5,6,7,8,9,10,11},1),"0123456789")))=7),1,0))</f>
        <v/>
      </c>
      <c r="G899">
        <f>IF($F899=1,INDEX({10,12,13,14,15,16,17,18,19,20,21,23,24,25,26,27,28,29,30,31,32,34,35,36,37,38},1,FIND(MID($B899,1,1),"ABCDEFGHIJKLMNOPQRSTUVWXYZ")),"")</f>
        <v/>
      </c>
      <c r="H899">
        <f>IF($F899=1,INDEX({10,12,13,14,15,16,17,18,19,20,21,23,24,25,26,27,28,29,30,31,32,34,35,36,37,38},1,FIND(MID($B899,2,1),"ABCDEFGHIJKLMNOPQRSTUVWXYZ")),"")</f>
        <v/>
      </c>
      <c r="I899">
        <f>IF($F899=1,INDEX({10,12,13,14,15,16,17,18,19,20,21,23,24,25,26,27,28,29,30,31,32,34,35,36,37,38},1,FIND(MID($B899,3,1),"ABCDEFGHIJKLMNOPQRSTUVWXYZ")),"")</f>
        <v/>
      </c>
      <c r="J899">
        <f>IF($F899=1,INDEX({10,12,13,14,15,16,17,18,19,20,21,23,24,25,26,27,28,29,30,31,32,34,35,36,37,38},1,FIND(MID($B899,4,1),"ABCDEFGHIJKLMNOPQRSTUVWXYZ")),"")</f>
        <v/>
      </c>
      <c r="K899">
        <f>IF($F899=1,FIND(MID($B899,5,1),"0123456789")-1,"")</f>
        <v/>
      </c>
      <c r="L899">
        <f>IF($F899=1,FIND(MID($B899,6,1),"0123456789")-1,"")</f>
        <v/>
      </c>
      <c r="M899">
        <f>IF($F899=1,FIND(MID($B899,7,1),"0123456789")-1,"")</f>
        <v/>
      </c>
      <c r="N899">
        <f>IF($F899=1,FIND(MID($B899,8,1),"0123456789")-1,"")</f>
        <v/>
      </c>
      <c r="O899">
        <f>IF($F899=1,FIND(MID($B899,9,1),"0123456789")-1,"")</f>
        <v/>
      </c>
      <c r="P899">
        <f>IF($F899=1,FIND(MID($B899,10,1),"0123456789")-1,"")</f>
        <v/>
      </c>
      <c r="Q899">
        <f>IF($F899=1,SUMPRODUCT($G899:$P899,{1,2,4,8,16,32,64,128,256,512}),"")</f>
        <v/>
      </c>
      <c r="R899">
        <f>IF($F899=1,MOD(MOD($Q899,11),10),"")</f>
        <v/>
      </c>
    </row>
    <row r="900">
      <c r="A900" s="6" t="n"/>
      <c r="B900" s="7">
        <f>IF($A900="","",UPPER(SUBSTITUTE(SUBSTITUTE(SUBSTITUTE(SUBSTITUTE(SUBSTITUTE(SUBSTITUTE($A900," ",""),"-",""),".",""),"/",""),"i","I"),"ı","?")))</f>
        <v/>
      </c>
      <c r="C900" s="8">
        <f>IF($F900=1,$R900,"")</f>
        <v/>
      </c>
      <c r="D900" s="7">
        <f>IF($A900="","",IF($F900=0,"Biçim hatalı",IF(FIND(MID($B900,11,1),"0123456789")-1=$R900,"Geçerli","Kontrol hanesi hatalı (doğrusu: "&amp;$R900&amp;")")))</f>
        <v/>
      </c>
      <c r="F900">
        <f>IF($A900="","",IF(AND(LEN($B900)=11,SUMPRODUCT(--ISNUMBER(FIND(MID($B900,{1,2,3},1),"ABCDEFGHIJKLMNOPQRSTUVWXYZ")))=3,ISNUMBER(FIND(MID($B900,4,1),"UJZ")),SUMPRODUCT(--ISNUMBER(FIND(MID($B900,{5,6,7,8,9,10,11},1),"0123456789")))=7),1,0))</f>
        <v/>
      </c>
      <c r="G900">
        <f>IF($F900=1,INDEX({10,12,13,14,15,16,17,18,19,20,21,23,24,25,26,27,28,29,30,31,32,34,35,36,37,38},1,FIND(MID($B900,1,1),"ABCDEFGHIJKLMNOPQRSTUVWXYZ")),"")</f>
        <v/>
      </c>
      <c r="H900">
        <f>IF($F900=1,INDEX({10,12,13,14,15,16,17,18,19,20,21,23,24,25,26,27,28,29,30,31,32,34,35,36,37,38},1,FIND(MID($B900,2,1),"ABCDEFGHIJKLMNOPQRSTUVWXYZ")),"")</f>
        <v/>
      </c>
      <c r="I900">
        <f>IF($F900=1,INDEX({10,12,13,14,15,16,17,18,19,20,21,23,24,25,26,27,28,29,30,31,32,34,35,36,37,38},1,FIND(MID($B900,3,1),"ABCDEFGHIJKLMNOPQRSTUVWXYZ")),"")</f>
        <v/>
      </c>
      <c r="J900">
        <f>IF($F900=1,INDEX({10,12,13,14,15,16,17,18,19,20,21,23,24,25,26,27,28,29,30,31,32,34,35,36,37,38},1,FIND(MID($B900,4,1),"ABCDEFGHIJKLMNOPQRSTUVWXYZ")),"")</f>
        <v/>
      </c>
      <c r="K900">
        <f>IF($F900=1,FIND(MID($B900,5,1),"0123456789")-1,"")</f>
        <v/>
      </c>
      <c r="L900">
        <f>IF($F900=1,FIND(MID($B900,6,1),"0123456789")-1,"")</f>
        <v/>
      </c>
      <c r="M900">
        <f>IF($F900=1,FIND(MID($B900,7,1),"0123456789")-1,"")</f>
        <v/>
      </c>
      <c r="N900">
        <f>IF($F900=1,FIND(MID($B900,8,1),"0123456789")-1,"")</f>
        <v/>
      </c>
      <c r="O900">
        <f>IF($F900=1,FIND(MID($B900,9,1),"0123456789")-1,"")</f>
        <v/>
      </c>
      <c r="P900">
        <f>IF($F900=1,FIND(MID($B900,10,1),"0123456789")-1,"")</f>
        <v/>
      </c>
      <c r="Q900">
        <f>IF($F900=1,SUMPRODUCT($G900:$P900,{1,2,4,8,16,32,64,128,256,512}),"")</f>
        <v/>
      </c>
      <c r="R900">
        <f>IF($F900=1,MOD(MOD($Q900,11),10),"")</f>
        <v/>
      </c>
    </row>
    <row r="901">
      <c r="A901" s="6" t="n"/>
      <c r="B901" s="7">
        <f>IF($A901="","",UPPER(SUBSTITUTE(SUBSTITUTE(SUBSTITUTE(SUBSTITUTE(SUBSTITUTE(SUBSTITUTE($A901," ",""),"-",""),".",""),"/",""),"i","I"),"ı","?")))</f>
        <v/>
      </c>
      <c r="C901" s="8">
        <f>IF($F901=1,$R901,"")</f>
        <v/>
      </c>
      <c r="D901" s="7">
        <f>IF($A901="","",IF($F901=0,"Biçim hatalı",IF(FIND(MID($B901,11,1),"0123456789")-1=$R901,"Geçerli","Kontrol hanesi hatalı (doğrusu: "&amp;$R901&amp;")")))</f>
        <v/>
      </c>
      <c r="F901">
        <f>IF($A901="","",IF(AND(LEN($B901)=11,SUMPRODUCT(--ISNUMBER(FIND(MID($B901,{1,2,3},1),"ABCDEFGHIJKLMNOPQRSTUVWXYZ")))=3,ISNUMBER(FIND(MID($B901,4,1),"UJZ")),SUMPRODUCT(--ISNUMBER(FIND(MID($B901,{5,6,7,8,9,10,11},1),"0123456789")))=7),1,0))</f>
        <v/>
      </c>
      <c r="G901">
        <f>IF($F901=1,INDEX({10,12,13,14,15,16,17,18,19,20,21,23,24,25,26,27,28,29,30,31,32,34,35,36,37,38},1,FIND(MID($B901,1,1),"ABCDEFGHIJKLMNOPQRSTUVWXYZ")),"")</f>
        <v/>
      </c>
      <c r="H901">
        <f>IF($F901=1,INDEX({10,12,13,14,15,16,17,18,19,20,21,23,24,25,26,27,28,29,30,31,32,34,35,36,37,38},1,FIND(MID($B901,2,1),"ABCDEFGHIJKLMNOPQRSTUVWXYZ")),"")</f>
        <v/>
      </c>
      <c r="I901">
        <f>IF($F901=1,INDEX({10,12,13,14,15,16,17,18,19,20,21,23,24,25,26,27,28,29,30,31,32,34,35,36,37,38},1,FIND(MID($B901,3,1),"ABCDEFGHIJKLMNOPQRSTUVWXYZ")),"")</f>
        <v/>
      </c>
      <c r="J901">
        <f>IF($F901=1,INDEX({10,12,13,14,15,16,17,18,19,20,21,23,24,25,26,27,28,29,30,31,32,34,35,36,37,38},1,FIND(MID($B901,4,1),"ABCDEFGHIJKLMNOPQRSTUVWXYZ")),"")</f>
        <v/>
      </c>
      <c r="K901">
        <f>IF($F901=1,FIND(MID($B901,5,1),"0123456789")-1,"")</f>
        <v/>
      </c>
      <c r="L901">
        <f>IF($F901=1,FIND(MID($B901,6,1),"0123456789")-1,"")</f>
        <v/>
      </c>
      <c r="M901">
        <f>IF($F901=1,FIND(MID($B901,7,1),"0123456789")-1,"")</f>
        <v/>
      </c>
      <c r="N901">
        <f>IF($F901=1,FIND(MID($B901,8,1),"0123456789")-1,"")</f>
        <v/>
      </c>
      <c r="O901">
        <f>IF($F901=1,FIND(MID($B901,9,1),"0123456789")-1,"")</f>
        <v/>
      </c>
      <c r="P901">
        <f>IF($F901=1,FIND(MID($B901,10,1),"0123456789")-1,"")</f>
        <v/>
      </c>
      <c r="Q901">
        <f>IF($F901=1,SUMPRODUCT($G901:$P901,{1,2,4,8,16,32,64,128,256,512}),"")</f>
        <v/>
      </c>
      <c r="R901">
        <f>IF($F901=1,MOD(MOD($Q901,11),10),"")</f>
        <v/>
      </c>
    </row>
    <row r="902">
      <c r="A902" s="6" t="n"/>
      <c r="B902" s="7">
        <f>IF($A902="","",UPPER(SUBSTITUTE(SUBSTITUTE(SUBSTITUTE(SUBSTITUTE(SUBSTITUTE(SUBSTITUTE($A902," ",""),"-",""),".",""),"/",""),"i","I"),"ı","?")))</f>
        <v/>
      </c>
      <c r="C902" s="8">
        <f>IF($F902=1,$R902,"")</f>
        <v/>
      </c>
      <c r="D902" s="7">
        <f>IF($A902="","",IF($F902=0,"Biçim hatalı",IF(FIND(MID($B902,11,1),"0123456789")-1=$R902,"Geçerli","Kontrol hanesi hatalı (doğrusu: "&amp;$R902&amp;")")))</f>
        <v/>
      </c>
      <c r="F902">
        <f>IF($A902="","",IF(AND(LEN($B902)=11,SUMPRODUCT(--ISNUMBER(FIND(MID($B902,{1,2,3},1),"ABCDEFGHIJKLMNOPQRSTUVWXYZ")))=3,ISNUMBER(FIND(MID($B902,4,1),"UJZ")),SUMPRODUCT(--ISNUMBER(FIND(MID($B902,{5,6,7,8,9,10,11},1),"0123456789")))=7),1,0))</f>
        <v/>
      </c>
      <c r="G902">
        <f>IF($F902=1,INDEX({10,12,13,14,15,16,17,18,19,20,21,23,24,25,26,27,28,29,30,31,32,34,35,36,37,38},1,FIND(MID($B902,1,1),"ABCDEFGHIJKLMNOPQRSTUVWXYZ")),"")</f>
        <v/>
      </c>
      <c r="H902">
        <f>IF($F902=1,INDEX({10,12,13,14,15,16,17,18,19,20,21,23,24,25,26,27,28,29,30,31,32,34,35,36,37,38},1,FIND(MID($B902,2,1),"ABCDEFGHIJKLMNOPQRSTUVWXYZ")),"")</f>
        <v/>
      </c>
      <c r="I902">
        <f>IF($F902=1,INDEX({10,12,13,14,15,16,17,18,19,20,21,23,24,25,26,27,28,29,30,31,32,34,35,36,37,38},1,FIND(MID($B902,3,1),"ABCDEFGHIJKLMNOPQRSTUVWXYZ")),"")</f>
        <v/>
      </c>
      <c r="J902">
        <f>IF($F902=1,INDEX({10,12,13,14,15,16,17,18,19,20,21,23,24,25,26,27,28,29,30,31,32,34,35,36,37,38},1,FIND(MID($B902,4,1),"ABCDEFGHIJKLMNOPQRSTUVWXYZ")),"")</f>
        <v/>
      </c>
      <c r="K902">
        <f>IF($F902=1,FIND(MID($B902,5,1),"0123456789")-1,"")</f>
        <v/>
      </c>
      <c r="L902">
        <f>IF($F902=1,FIND(MID($B902,6,1),"0123456789")-1,"")</f>
        <v/>
      </c>
      <c r="M902">
        <f>IF($F902=1,FIND(MID($B902,7,1),"0123456789")-1,"")</f>
        <v/>
      </c>
      <c r="N902">
        <f>IF($F902=1,FIND(MID($B902,8,1),"0123456789")-1,"")</f>
        <v/>
      </c>
      <c r="O902">
        <f>IF($F902=1,FIND(MID($B902,9,1),"0123456789")-1,"")</f>
        <v/>
      </c>
      <c r="P902">
        <f>IF($F902=1,FIND(MID($B902,10,1),"0123456789")-1,"")</f>
        <v/>
      </c>
      <c r="Q902">
        <f>IF($F902=1,SUMPRODUCT($G902:$P902,{1,2,4,8,16,32,64,128,256,512}),"")</f>
        <v/>
      </c>
      <c r="R902">
        <f>IF($F902=1,MOD(MOD($Q902,11),10),"")</f>
        <v/>
      </c>
    </row>
    <row r="903">
      <c r="A903" s="6" t="n"/>
      <c r="B903" s="7">
        <f>IF($A903="","",UPPER(SUBSTITUTE(SUBSTITUTE(SUBSTITUTE(SUBSTITUTE(SUBSTITUTE(SUBSTITUTE($A903," ",""),"-",""),".",""),"/",""),"i","I"),"ı","?")))</f>
        <v/>
      </c>
      <c r="C903" s="8">
        <f>IF($F903=1,$R903,"")</f>
        <v/>
      </c>
      <c r="D903" s="7">
        <f>IF($A903="","",IF($F903=0,"Biçim hatalı",IF(FIND(MID($B903,11,1),"0123456789")-1=$R903,"Geçerli","Kontrol hanesi hatalı (doğrusu: "&amp;$R903&amp;")")))</f>
        <v/>
      </c>
      <c r="F903">
        <f>IF($A903="","",IF(AND(LEN($B903)=11,SUMPRODUCT(--ISNUMBER(FIND(MID($B903,{1,2,3},1),"ABCDEFGHIJKLMNOPQRSTUVWXYZ")))=3,ISNUMBER(FIND(MID($B903,4,1),"UJZ")),SUMPRODUCT(--ISNUMBER(FIND(MID($B903,{5,6,7,8,9,10,11},1),"0123456789")))=7),1,0))</f>
        <v/>
      </c>
      <c r="G903">
        <f>IF($F903=1,INDEX({10,12,13,14,15,16,17,18,19,20,21,23,24,25,26,27,28,29,30,31,32,34,35,36,37,38},1,FIND(MID($B903,1,1),"ABCDEFGHIJKLMNOPQRSTUVWXYZ")),"")</f>
        <v/>
      </c>
      <c r="H903">
        <f>IF($F903=1,INDEX({10,12,13,14,15,16,17,18,19,20,21,23,24,25,26,27,28,29,30,31,32,34,35,36,37,38},1,FIND(MID($B903,2,1),"ABCDEFGHIJKLMNOPQRSTUVWXYZ")),"")</f>
        <v/>
      </c>
      <c r="I903">
        <f>IF($F903=1,INDEX({10,12,13,14,15,16,17,18,19,20,21,23,24,25,26,27,28,29,30,31,32,34,35,36,37,38},1,FIND(MID($B903,3,1),"ABCDEFGHIJKLMNOPQRSTUVWXYZ")),"")</f>
        <v/>
      </c>
      <c r="J903">
        <f>IF($F903=1,INDEX({10,12,13,14,15,16,17,18,19,20,21,23,24,25,26,27,28,29,30,31,32,34,35,36,37,38},1,FIND(MID($B903,4,1),"ABCDEFGHIJKLMNOPQRSTUVWXYZ")),"")</f>
        <v/>
      </c>
      <c r="K903">
        <f>IF($F903=1,FIND(MID($B903,5,1),"0123456789")-1,"")</f>
        <v/>
      </c>
      <c r="L903">
        <f>IF($F903=1,FIND(MID($B903,6,1),"0123456789")-1,"")</f>
        <v/>
      </c>
      <c r="M903">
        <f>IF($F903=1,FIND(MID($B903,7,1),"0123456789")-1,"")</f>
        <v/>
      </c>
      <c r="N903">
        <f>IF($F903=1,FIND(MID($B903,8,1),"0123456789")-1,"")</f>
        <v/>
      </c>
      <c r="O903">
        <f>IF($F903=1,FIND(MID($B903,9,1),"0123456789")-1,"")</f>
        <v/>
      </c>
      <c r="P903">
        <f>IF($F903=1,FIND(MID($B903,10,1),"0123456789")-1,"")</f>
        <v/>
      </c>
      <c r="Q903">
        <f>IF($F903=1,SUMPRODUCT($G903:$P903,{1,2,4,8,16,32,64,128,256,512}),"")</f>
        <v/>
      </c>
      <c r="R903">
        <f>IF($F903=1,MOD(MOD($Q903,11),10),"")</f>
        <v/>
      </c>
    </row>
    <row r="904">
      <c r="A904" s="6" t="n"/>
      <c r="B904" s="7">
        <f>IF($A904="","",UPPER(SUBSTITUTE(SUBSTITUTE(SUBSTITUTE(SUBSTITUTE(SUBSTITUTE(SUBSTITUTE($A904," ",""),"-",""),".",""),"/",""),"i","I"),"ı","?")))</f>
        <v/>
      </c>
      <c r="C904" s="8">
        <f>IF($F904=1,$R904,"")</f>
        <v/>
      </c>
      <c r="D904" s="7">
        <f>IF($A904="","",IF($F904=0,"Biçim hatalı",IF(FIND(MID($B904,11,1),"0123456789")-1=$R904,"Geçerli","Kontrol hanesi hatalı (doğrusu: "&amp;$R904&amp;")")))</f>
        <v/>
      </c>
      <c r="F904">
        <f>IF($A904="","",IF(AND(LEN($B904)=11,SUMPRODUCT(--ISNUMBER(FIND(MID($B904,{1,2,3},1),"ABCDEFGHIJKLMNOPQRSTUVWXYZ")))=3,ISNUMBER(FIND(MID($B904,4,1),"UJZ")),SUMPRODUCT(--ISNUMBER(FIND(MID($B904,{5,6,7,8,9,10,11},1),"0123456789")))=7),1,0))</f>
        <v/>
      </c>
      <c r="G904">
        <f>IF($F904=1,INDEX({10,12,13,14,15,16,17,18,19,20,21,23,24,25,26,27,28,29,30,31,32,34,35,36,37,38},1,FIND(MID($B904,1,1),"ABCDEFGHIJKLMNOPQRSTUVWXYZ")),"")</f>
        <v/>
      </c>
      <c r="H904">
        <f>IF($F904=1,INDEX({10,12,13,14,15,16,17,18,19,20,21,23,24,25,26,27,28,29,30,31,32,34,35,36,37,38},1,FIND(MID($B904,2,1),"ABCDEFGHIJKLMNOPQRSTUVWXYZ")),"")</f>
        <v/>
      </c>
      <c r="I904">
        <f>IF($F904=1,INDEX({10,12,13,14,15,16,17,18,19,20,21,23,24,25,26,27,28,29,30,31,32,34,35,36,37,38},1,FIND(MID($B904,3,1),"ABCDEFGHIJKLMNOPQRSTUVWXYZ")),"")</f>
        <v/>
      </c>
      <c r="J904">
        <f>IF($F904=1,INDEX({10,12,13,14,15,16,17,18,19,20,21,23,24,25,26,27,28,29,30,31,32,34,35,36,37,38},1,FIND(MID($B904,4,1),"ABCDEFGHIJKLMNOPQRSTUVWXYZ")),"")</f>
        <v/>
      </c>
      <c r="K904">
        <f>IF($F904=1,FIND(MID($B904,5,1),"0123456789")-1,"")</f>
        <v/>
      </c>
      <c r="L904">
        <f>IF($F904=1,FIND(MID($B904,6,1),"0123456789")-1,"")</f>
        <v/>
      </c>
      <c r="M904">
        <f>IF($F904=1,FIND(MID($B904,7,1),"0123456789")-1,"")</f>
        <v/>
      </c>
      <c r="N904">
        <f>IF($F904=1,FIND(MID($B904,8,1),"0123456789")-1,"")</f>
        <v/>
      </c>
      <c r="O904">
        <f>IF($F904=1,FIND(MID($B904,9,1),"0123456789")-1,"")</f>
        <v/>
      </c>
      <c r="P904">
        <f>IF($F904=1,FIND(MID($B904,10,1),"0123456789")-1,"")</f>
        <v/>
      </c>
      <c r="Q904">
        <f>IF($F904=1,SUMPRODUCT($G904:$P904,{1,2,4,8,16,32,64,128,256,512}),"")</f>
        <v/>
      </c>
      <c r="R904">
        <f>IF($F904=1,MOD(MOD($Q904,11),10),"")</f>
        <v/>
      </c>
    </row>
    <row r="905">
      <c r="A905" s="6" t="n"/>
      <c r="B905" s="7">
        <f>IF($A905="","",UPPER(SUBSTITUTE(SUBSTITUTE(SUBSTITUTE(SUBSTITUTE(SUBSTITUTE(SUBSTITUTE($A905," ",""),"-",""),".",""),"/",""),"i","I"),"ı","?")))</f>
        <v/>
      </c>
      <c r="C905" s="8">
        <f>IF($F905=1,$R905,"")</f>
        <v/>
      </c>
      <c r="D905" s="7">
        <f>IF($A905="","",IF($F905=0,"Biçim hatalı",IF(FIND(MID($B905,11,1),"0123456789")-1=$R905,"Geçerli","Kontrol hanesi hatalı (doğrusu: "&amp;$R905&amp;")")))</f>
        <v/>
      </c>
      <c r="F905">
        <f>IF($A905="","",IF(AND(LEN($B905)=11,SUMPRODUCT(--ISNUMBER(FIND(MID($B905,{1,2,3},1),"ABCDEFGHIJKLMNOPQRSTUVWXYZ")))=3,ISNUMBER(FIND(MID($B905,4,1),"UJZ")),SUMPRODUCT(--ISNUMBER(FIND(MID($B905,{5,6,7,8,9,10,11},1),"0123456789")))=7),1,0))</f>
        <v/>
      </c>
      <c r="G905">
        <f>IF($F905=1,INDEX({10,12,13,14,15,16,17,18,19,20,21,23,24,25,26,27,28,29,30,31,32,34,35,36,37,38},1,FIND(MID($B905,1,1),"ABCDEFGHIJKLMNOPQRSTUVWXYZ")),"")</f>
        <v/>
      </c>
      <c r="H905">
        <f>IF($F905=1,INDEX({10,12,13,14,15,16,17,18,19,20,21,23,24,25,26,27,28,29,30,31,32,34,35,36,37,38},1,FIND(MID($B905,2,1),"ABCDEFGHIJKLMNOPQRSTUVWXYZ")),"")</f>
        <v/>
      </c>
      <c r="I905">
        <f>IF($F905=1,INDEX({10,12,13,14,15,16,17,18,19,20,21,23,24,25,26,27,28,29,30,31,32,34,35,36,37,38},1,FIND(MID($B905,3,1),"ABCDEFGHIJKLMNOPQRSTUVWXYZ")),"")</f>
        <v/>
      </c>
      <c r="J905">
        <f>IF($F905=1,INDEX({10,12,13,14,15,16,17,18,19,20,21,23,24,25,26,27,28,29,30,31,32,34,35,36,37,38},1,FIND(MID($B905,4,1),"ABCDEFGHIJKLMNOPQRSTUVWXYZ")),"")</f>
        <v/>
      </c>
      <c r="K905">
        <f>IF($F905=1,FIND(MID($B905,5,1),"0123456789")-1,"")</f>
        <v/>
      </c>
      <c r="L905">
        <f>IF($F905=1,FIND(MID($B905,6,1),"0123456789")-1,"")</f>
        <v/>
      </c>
      <c r="M905">
        <f>IF($F905=1,FIND(MID($B905,7,1),"0123456789")-1,"")</f>
        <v/>
      </c>
      <c r="N905">
        <f>IF($F905=1,FIND(MID($B905,8,1),"0123456789")-1,"")</f>
        <v/>
      </c>
      <c r="O905">
        <f>IF($F905=1,FIND(MID($B905,9,1),"0123456789")-1,"")</f>
        <v/>
      </c>
      <c r="P905">
        <f>IF($F905=1,FIND(MID($B905,10,1),"0123456789")-1,"")</f>
        <v/>
      </c>
      <c r="Q905">
        <f>IF($F905=1,SUMPRODUCT($G905:$P905,{1,2,4,8,16,32,64,128,256,512}),"")</f>
        <v/>
      </c>
      <c r="R905">
        <f>IF($F905=1,MOD(MOD($Q905,11),10),"")</f>
        <v/>
      </c>
    </row>
    <row r="906">
      <c r="A906" s="6" t="n"/>
      <c r="B906" s="7">
        <f>IF($A906="","",UPPER(SUBSTITUTE(SUBSTITUTE(SUBSTITUTE(SUBSTITUTE(SUBSTITUTE(SUBSTITUTE($A906," ",""),"-",""),".",""),"/",""),"i","I"),"ı","?")))</f>
        <v/>
      </c>
      <c r="C906" s="8">
        <f>IF($F906=1,$R906,"")</f>
        <v/>
      </c>
      <c r="D906" s="7">
        <f>IF($A906="","",IF($F906=0,"Biçim hatalı",IF(FIND(MID($B906,11,1),"0123456789")-1=$R906,"Geçerli","Kontrol hanesi hatalı (doğrusu: "&amp;$R906&amp;")")))</f>
        <v/>
      </c>
      <c r="F906">
        <f>IF($A906="","",IF(AND(LEN($B906)=11,SUMPRODUCT(--ISNUMBER(FIND(MID($B906,{1,2,3},1),"ABCDEFGHIJKLMNOPQRSTUVWXYZ")))=3,ISNUMBER(FIND(MID($B906,4,1),"UJZ")),SUMPRODUCT(--ISNUMBER(FIND(MID($B906,{5,6,7,8,9,10,11},1),"0123456789")))=7),1,0))</f>
        <v/>
      </c>
      <c r="G906">
        <f>IF($F906=1,INDEX({10,12,13,14,15,16,17,18,19,20,21,23,24,25,26,27,28,29,30,31,32,34,35,36,37,38},1,FIND(MID($B906,1,1),"ABCDEFGHIJKLMNOPQRSTUVWXYZ")),"")</f>
        <v/>
      </c>
      <c r="H906">
        <f>IF($F906=1,INDEX({10,12,13,14,15,16,17,18,19,20,21,23,24,25,26,27,28,29,30,31,32,34,35,36,37,38},1,FIND(MID($B906,2,1),"ABCDEFGHIJKLMNOPQRSTUVWXYZ")),"")</f>
        <v/>
      </c>
      <c r="I906">
        <f>IF($F906=1,INDEX({10,12,13,14,15,16,17,18,19,20,21,23,24,25,26,27,28,29,30,31,32,34,35,36,37,38},1,FIND(MID($B906,3,1),"ABCDEFGHIJKLMNOPQRSTUVWXYZ")),"")</f>
        <v/>
      </c>
      <c r="J906">
        <f>IF($F906=1,INDEX({10,12,13,14,15,16,17,18,19,20,21,23,24,25,26,27,28,29,30,31,32,34,35,36,37,38},1,FIND(MID($B906,4,1),"ABCDEFGHIJKLMNOPQRSTUVWXYZ")),"")</f>
        <v/>
      </c>
      <c r="K906">
        <f>IF($F906=1,FIND(MID($B906,5,1),"0123456789")-1,"")</f>
        <v/>
      </c>
      <c r="L906">
        <f>IF($F906=1,FIND(MID($B906,6,1),"0123456789")-1,"")</f>
        <v/>
      </c>
      <c r="M906">
        <f>IF($F906=1,FIND(MID($B906,7,1),"0123456789")-1,"")</f>
        <v/>
      </c>
      <c r="N906">
        <f>IF($F906=1,FIND(MID($B906,8,1),"0123456789")-1,"")</f>
        <v/>
      </c>
      <c r="O906">
        <f>IF($F906=1,FIND(MID($B906,9,1),"0123456789")-1,"")</f>
        <v/>
      </c>
      <c r="P906">
        <f>IF($F906=1,FIND(MID($B906,10,1),"0123456789")-1,"")</f>
        <v/>
      </c>
      <c r="Q906">
        <f>IF($F906=1,SUMPRODUCT($G906:$P906,{1,2,4,8,16,32,64,128,256,512}),"")</f>
        <v/>
      </c>
      <c r="R906">
        <f>IF($F906=1,MOD(MOD($Q906,11),10),"")</f>
        <v/>
      </c>
    </row>
    <row r="907">
      <c r="A907" s="6" t="n"/>
      <c r="B907" s="7">
        <f>IF($A907="","",UPPER(SUBSTITUTE(SUBSTITUTE(SUBSTITUTE(SUBSTITUTE(SUBSTITUTE(SUBSTITUTE($A907," ",""),"-",""),".",""),"/",""),"i","I"),"ı","?")))</f>
        <v/>
      </c>
      <c r="C907" s="8">
        <f>IF($F907=1,$R907,"")</f>
        <v/>
      </c>
      <c r="D907" s="7">
        <f>IF($A907="","",IF($F907=0,"Biçim hatalı",IF(FIND(MID($B907,11,1),"0123456789")-1=$R907,"Geçerli","Kontrol hanesi hatalı (doğrusu: "&amp;$R907&amp;")")))</f>
        <v/>
      </c>
      <c r="F907">
        <f>IF($A907="","",IF(AND(LEN($B907)=11,SUMPRODUCT(--ISNUMBER(FIND(MID($B907,{1,2,3},1),"ABCDEFGHIJKLMNOPQRSTUVWXYZ")))=3,ISNUMBER(FIND(MID($B907,4,1),"UJZ")),SUMPRODUCT(--ISNUMBER(FIND(MID($B907,{5,6,7,8,9,10,11},1),"0123456789")))=7),1,0))</f>
        <v/>
      </c>
      <c r="G907">
        <f>IF($F907=1,INDEX({10,12,13,14,15,16,17,18,19,20,21,23,24,25,26,27,28,29,30,31,32,34,35,36,37,38},1,FIND(MID($B907,1,1),"ABCDEFGHIJKLMNOPQRSTUVWXYZ")),"")</f>
        <v/>
      </c>
      <c r="H907">
        <f>IF($F907=1,INDEX({10,12,13,14,15,16,17,18,19,20,21,23,24,25,26,27,28,29,30,31,32,34,35,36,37,38},1,FIND(MID($B907,2,1),"ABCDEFGHIJKLMNOPQRSTUVWXYZ")),"")</f>
        <v/>
      </c>
      <c r="I907">
        <f>IF($F907=1,INDEX({10,12,13,14,15,16,17,18,19,20,21,23,24,25,26,27,28,29,30,31,32,34,35,36,37,38},1,FIND(MID($B907,3,1),"ABCDEFGHIJKLMNOPQRSTUVWXYZ")),"")</f>
        <v/>
      </c>
      <c r="J907">
        <f>IF($F907=1,INDEX({10,12,13,14,15,16,17,18,19,20,21,23,24,25,26,27,28,29,30,31,32,34,35,36,37,38},1,FIND(MID($B907,4,1),"ABCDEFGHIJKLMNOPQRSTUVWXYZ")),"")</f>
        <v/>
      </c>
      <c r="K907">
        <f>IF($F907=1,FIND(MID($B907,5,1),"0123456789")-1,"")</f>
        <v/>
      </c>
      <c r="L907">
        <f>IF($F907=1,FIND(MID($B907,6,1),"0123456789")-1,"")</f>
        <v/>
      </c>
      <c r="M907">
        <f>IF($F907=1,FIND(MID($B907,7,1),"0123456789")-1,"")</f>
        <v/>
      </c>
      <c r="N907">
        <f>IF($F907=1,FIND(MID($B907,8,1),"0123456789")-1,"")</f>
        <v/>
      </c>
      <c r="O907">
        <f>IF($F907=1,FIND(MID($B907,9,1),"0123456789")-1,"")</f>
        <v/>
      </c>
      <c r="P907">
        <f>IF($F907=1,FIND(MID($B907,10,1),"0123456789")-1,"")</f>
        <v/>
      </c>
      <c r="Q907">
        <f>IF($F907=1,SUMPRODUCT($G907:$P907,{1,2,4,8,16,32,64,128,256,512}),"")</f>
        <v/>
      </c>
      <c r="R907">
        <f>IF($F907=1,MOD(MOD($Q907,11),10),"")</f>
        <v/>
      </c>
    </row>
    <row r="908">
      <c r="A908" s="6" t="n"/>
      <c r="B908" s="7">
        <f>IF($A908="","",UPPER(SUBSTITUTE(SUBSTITUTE(SUBSTITUTE(SUBSTITUTE(SUBSTITUTE(SUBSTITUTE($A908," ",""),"-",""),".",""),"/",""),"i","I"),"ı","?")))</f>
        <v/>
      </c>
      <c r="C908" s="8">
        <f>IF($F908=1,$R908,"")</f>
        <v/>
      </c>
      <c r="D908" s="7">
        <f>IF($A908="","",IF($F908=0,"Biçim hatalı",IF(FIND(MID($B908,11,1),"0123456789")-1=$R908,"Geçerli","Kontrol hanesi hatalı (doğrusu: "&amp;$R908&amp;")")))</f>
        <v/>
      </c>
      <c r="F908">
        <f>IF($A908="","",IF(AND(LEN($B908)=11,SUMPRODUCT(--ISNUMBER(FIND(MID($B908,{1,2,3},1),"ABCDEFGHIJKLMNOPQRSTUVWXYZ")))=3,ISNUMBER(FIND(MID($B908,4,1),"UJZ")),SUMPRODUCT(--ISNUMBER(FIND(MID($B908,{5,6,7,8,9,10,11},1),"0123456789")))=7),1,0))</f>
        <v/>
      </c>
      <c r="G908">
        <f>IF($F908=1,INDEX({10,12,13,14,15,16,17,18,19,20,21,23,24,25,26,27,28,29,30,31,32,34,35,36,37,38},1,FIND(MID($B908,1,1),"ABCDEFGHIJKLMNOPQRSTUVWXYZ")),"")</f>
        <v/>
      </c>
      <c r="H908">
        <f>IF($F908=1,INDEX({10,12,13,14,15,16,17,18,19,20,21,23,24,25,26,27,28,29,30,31,32,34,35,36,37,38},1,FIND(MID($B908,2,1),"ABCDEFGHIJKLMNOPQRSTUVWXYZ")),"")</f>
        <v/>
      </c>
      <c r="I908">
        <f>IF($F908=1,INDEX({10,12,13,14,15,16,17,18,19,20,21,23,24,25,26,27,28,29,30,31,32,34,35,36,37,38},1,FIND(MID($B908,3,1),"ABCDEFGHIJKLMNOPQRSTUVWXYZ")),"")</f>
        <v/>
      </c>
      <c r="J908">
        <f>IF($F908=1,INDEX({10,12,13,14,15,16,17,18,19,20,21,23,24,25,26,27,28,29,30,31,32,34,35,36,37,38},1,FIND(MID($B908,4,1),"ABCDEFGHIJKLMNOPQRSTUVWXYZ")),"")</f>
        <v/>
      </c>
      <c r="K908">
        <f>IF($F908=1,FIND(MID($B908,5,1),"0123456789")-1,"")</f>
        <v/>
      </c>
      <c r="L908">
        <f>IF($F908=1,FIND(MID($B908,6,1),"0123456789")-1,"")</f>
        <v/>
      </c>
      <c r="M908">
        <f>IF($F908=1,FIND(MID($B908,7,1),"0123456789")-1,"")</f>
        <v/>
      </c>
      <c r="N908">
        <f>IF($F908=1,FIND(MID($B908,8,1),"0123456789")-1,"")</f>
        <v/>
      </c>
      <c r="O908">
        <f>IF($F908=1,FIND(MID($B908,9,1),"0123456789")-1,"")</f>
        <v/>
      </c>
      <c r="P908">
        <f>IF($F908=1,FIND(MID($B908,10,1),"0123456789")-1,"")</f>
        <v/>
      </c>
      <c r="Q908">
        <f>IF($F908=1,SUMPRODUCT($G908:$P908,{1,2,4,8,16,32,64,128,256,512}),"")</f>
        <v/>
      </c>
      <c r="R908">
        <f>IF($F908=1,MOD(MOD($Q908,11),10),"")</f>
        <v/>
      </c>
    </row>
    <row r="909">
      <c r="A909" s="6" t="n"/>
      <c r="B909" s="7">
        <f>IF($A909="","",UPPER(SUBSTITUTE(SUBSTITUTE(SUBSTITUTE(SUBSTITUTE(SUBSTITUTE(SUBSTITUTE($A909," ",""),"-",""),".",""),"/",""),"i","I"),"ı","?")))</f>
        <v/>
      </c>
      <c r="C909" s="8">
        <f>IF($F909=1,$R909,"")</f>
        <v/>
      </c>
      <c r="D909" s="7">
        <f>IF($A909="","",IF($F909=0,"Biçim hatalı",IF(FIND(MID($B909,11,1),"0123456789")-1=$R909,"Geçerli","Kontrol hanesi hatalı (doğrusu: "&amp;$R909&amp;")")))</f>
        <v/>
      </c>
      <c r="F909">
        <f>IF($A909="","",IF(AND(LEN($B909)=11,SUMPRODUCT(--ISNUMBER(FIND(MID($B909,{1,2,3},1),"ABCDEFGHIJKLMNOPQRSTUVWXYZ")))=3,ISNUMBER(FIND(MID($B909,4,1),"UJZ")),SUMPRODUCT(--ISNUMBER(FIND(MID($B909,{5,6,7,8,9,10,11},1),"0123456789")))=7),1,0))</f>
        <v/>
      </c>
      <c r="G909">
        <f>IF($F909=1,INDEX({10,12,13,14,15,16,17,18,19,20,21,23,24,25,26,27,28,29,30,31,32,34,35,36,37,38},1,FIND(MID($B909,1,1),"ABCDEFGHIJKLMNOPQRSTUVWXYZ")),"")</f>
        <v/>
      </c>
      <c r="H909">
        <f>IF($F909=1,INDEX({10,12,13,14,15,16,17,18,19,20,21,23,24,25,26,27,28,29,30,31,32,34,35,36,37,38},1,FIND(MID($B909,2,1),"ABCDEFGHIJKLMNOPQRSTUVWXYZ")),"")</f>
        <v/>
      </c>
      <c r="I909">
        <f>IF($F909=1,INDEX({10,12,13,14,15,16,17,18,19,20,21,23,24,25,26,27,28,29,30,31,32,34,35,36,37,38},1,FIND(MID($B909,3,1),"ABCDEFGHIJKLMNOPQRSTUVWXYZ")),"")</f>
        <v/>
      </c>
      <c r="J909">
        <f>IF($F909=1,INDEX({10,12,13,14,15,16,17,18,19,20,21,23,24,25,26,27,28,29,30,31,32,34,35,36,37,38},1,FIND(MID($B909,4,1),"ABCDEFGHIJKLMNOPQRSTUVWXYZ")),"")</f>
        <v/>
      </c>
      <c r="K909">
        <f>IF($F909=1,FIND(MID($B909,5,1),"0123456789")-1,"")</f>
        <v/>
      </c>
      <c r="L909">
        <f>IF($F909=1,FIND(MID($B909,6,1),"0123456789")-1,"")</f>
        <v/>
      </c>
      <c r="M909">
        <f>IF($F909=1,FIND(MID($B909,7,1),"0123456789")-1,"")</f>
        <v/>
      </c>
      <c r="N909">
        <f>IF($F909=1,FIND(MID($B909,8,1),"0123456789")-1,"")</f>
        <v/>
      </c>
      <c r="O909">
        <f>IF($F909=1,FIND(MID($B909,9,1),"0123456789")-1,"")</f>
        <v/>
      </c>
      <c r="P909">
        <f>IF($F909=1,FIND(MID($B909,10,1),"0123456789")-1,"")</f>
        <v/>
      </c>
      <c r="Q909">
        <f>IF($F909=1,SUMPRODUCT($G909:$P909,{1,2,4,8,16,32,64,128,256,512}),"")</f>
        <v/>
      </c>
      <c r="R909">
        <f>IF($F909=1,MOD(MOD($Q909,11),10),"")</f>
        <v/>
      </c>
    </row>
    <row r="910">
      <c r="A910" s="6" t="n"/>
      <c r="B910" s="7">
        <f>IF($A910="","",UPPER(SUBSTITUTE(SUBSTITUTE(SUBSTITUTE(SUBSTITUTE(SUBSTITUTE(SUBSTITUTE($A910," ",""),"-",""),".",""),"/",""),"i","I"),"ı","?")))</f>
        <v/>
      </c>
      <c r="C910" s="8">
        <f>IF($F910=1,$R910,"")</f>
        <v/>
      </c>
      <c r="D910" s="7">
        <f>IF($A910="","",IF($F910=0,"Biçim hatalı",IF(FIND(MID($B910,11,1),"0123456789")-1=$R910,"Geçerli","Kontrol hanesi hatalı (doğrusu: "&amp;$R910&amp;")")))</f>
        <v/>
      </c>
      <c r="F910">
        <f>IF($A910="","",IF(AND(LEN($B910)=11,SUMPRODUCT(--ISNUMBER(FIND(MID($B910,{1,2,3},1),"ABCDEFGHIJKLMNOPQRSTUVWXYZ")))=3,ISNUMBER(FIND(MID($B910,4,1),"UJZ")),SUMPRODUCT(--ISNUMBER(FIND(MID($B910,{5,6,7,8,9,10,11},1),"0123456789")))=7),1,0))</f>
        <v/>
      </c>
      <c r="G910">
        <f>IF($F910=1,INDEX({10,12,13,14,15,16,17,18,19,20,21,23,24,25,26,27,28,29,30,31,32,34,35,36,37,38},1,FIND(MID($B910,1,1),"ABCDEFGHIJKLMNOPQRSTUVWXYZ")),"")</f>
        <v/>
      </c>
      <c r="H910">
        <f>IF($F910=1,INDEX({10,12,13,14,15,16,17,18,19,20,21,23,24,25,26,27,28,29,30,31,32,34,35,36,37,38},1,FIND(MID($B910,2,1),"ABCDEFGHIJKLMNOPQRSTUVWXYZ")),"")</f>
        <v/>
      </c>
      <c r="I910">
        <f>IF($F910=1,INDEX({10,12,13,14,15,16,17,18,19,20,21,23,24,25,26,27,28,29,30,31,32,34,35,36,37,38},1,FIND(MID($B910,3,1),"ABCDEFGHIJKLMNOPQRSTUVWXYZ")),"")</f>
        <v/>
      </c>
      <c r="J910">
        <f>IF($F910=1,INDEX({10,12,13,14,15,16,17,18,19,20,21,23,24,25,26,27,28,29,30,31,32,34,35,36,37,38},1,FIND(MID($B910,4,1),"ABCDEFGHIJKLMNOPQRSTUVWXYZ")),"")</f>
        <v/>
      </c>
      <c r="K910">
        <f>IF($F910=1,FIND(MID($B910,5,1),"0123456789")-1,"")</f>
        <v/>
      </c>
      <c r="L910">
        <f>IF($F910=1,FIND(MID($B910,6,1),"0123456789")-1,"")</f>
        <v/>
      </c>
      <c r="M910">
        <f>IF($F910=1,FIND(MID($B910,7,1),"0123456789")-1,"")</f>
        <v/>
      </c>
      <c r="N910">
        <f>IF($F910=1,FIND(MID($B910,8,1),"0123456789")-1,"")</f>
        <v/>
      </c>
      <c r="O910">
        <f>IF($F910=1,FIND(MID($B910,9,1),"0123456789")-1,"")</f>
        <v/>
      </c>
      <c r="P910">
        <f>IF($F910=1,FIND(MID($B910,10,1),"0123456789")-1,"")</f>
        <v/>
      </c>
      <c r="Q910">
        <f>IF($F910=1,SUMPRODUCT($G910:$P910,{1,2,4,8,16,32,64,128,256,512}),"")</f>
        <v/>
      </c>
      <c r="R910">
        <f>IF($F910=1,MOD(MOD($Q910,11),10),"")</f>
        <v/>
      </c>
    </row>
    <row r="911">
      <c r="A911" s="6" t="n"/>
      <c r="B911" s="7">
        <f>IF($A911="","",UPPER(SUBSTITUTE(SUBSTITUTE(SUBSTITUTE(SUBSTITUTE(SUBSTITUTE(SUBSTITUTE($A911," ",""),"-",""),".",""),"/",""),"i","I"),"ı","?")))</f>
        <v/>
      </c>
      <c r="C911" s="8">
        <f>IF($F911=1,$R911,"")</f>
        <v/>
      </c>
      <c r="D911" s="7">
        <f>IF($A911="","",IF($F911=0,"Biçim hatalı",IF(FIND(MID($B911,11,1),"0123456789")-1=$R911,"Geçerli","Kontrol hanesi hatalı (doğrusu: "&amp;$R911&amp;")")))</f>
        <v/>
      </c>
      <c r="F911">
        <f>IF($A911="","",IF(AND(LEN($B911)=11,SUMPRODUCT(--ISNUMBER(FIND(MID($B911,{1,2,3},1),"ABCDEFGHIJKLMNOPQRSTUVWXYZ")))=3,ISNUMBER(FIND(MID($B911,4,1),"UJZ")),SUMPRODUCT(--ISNUMBER(FIND(MID($B911,{5,6,7,8,9,10,11},1),"0123456789")))=7),1,0))</f>
        <v/>
      </c>
      <c r="G911">
        <f>IF($F911=1,INDEX({10,12,13,14,15,16,17,18,19,20,21,23,24,25,26,27,28,29,30,31,32,34,35,36,37,38},1,FIND(MID($B911,1,1),"ABCDEFGHIJKLMNOPQRSTUVWXYZ")),"")</f>
        <v/>
      </c>
      <c r="H911">
        <f>IF($F911=1,INDEX({10,12,13,14,15,16,17,18,19,20,21,23,24,25,26,27,28,29,30,31,32,34,35,36,37,38},1,FIND(MID($B911,2,1),"ABCDEFGHIJKLMNOPQRSTUVWXYZ")),"")</f>
        <v/>
      </c>
      <c r="I911">
        <f>IF($F911=1,INDEX({10,12,13,14,15,16,17,18,19,20,21,23,24,25,26,27,28,29,30,31,32,34,35,36,37,38},1,FIND(MID($B911,3,1),"ABCDEFGHIJKLMNOPQRSTUVWXYZ")),"")</f>
        <v/>
      </c>
      <c r="J911">
        <f>IF($F911=1,INDEX({10,12,13,14,15,16,17,18,19,20,21,23,24,25,26,27,28,29,30,31,32,34,35,36,37,38},1,FIND(MID($B911,4,1),"ABCDEFGHIJKLMNOPQRSTUVWXYZ")),"")</f>
        <v/>
      </c>
      <c r="K911">
        <f>IF($F911=1,FIND(MID($B911,5,1),"0123456789")-1,"")</f>
        <v/>
      </c>
      <c r="L911">
        <f>IF($F911=1,FIND(MID($B911,6,1),"0123456789")-1,"")</f>
        <v/>
      </c>
      <c r="M911">
        <f>IF($F911=1,FIND(MID($B911,7,1),"0123456789")-1,"")</f>
        <v/>
      </c>
      <c r="N911">
        <f>IF($F911=1,FIND(MID($B911,8,1),"0123456789")-1,"")</f>
        <v/>
      </c>
      <c r="O911">
        <f>IF($F911=1,FIND(MID($B911,9,1),"0123456789")-1,"")</f>
        <v/>
      </c>
      <c r="P911">
        <f>IF($F911=1,FIND(MID($B911,10,1),"0123456789")-1,"")</f>
        <v/>
      </c>
      <c r="Q911">
        <f>IF($F911=1,SUMPRODUCT($G911:$P911,{1,2,4,8,16,32,64,128,256,512}),"")</f>
        <v/>
      </c>
      <c r="R911">
        <f>IF($F911=1,MOD(MOD($Q911,11),10),"")</f>
        <v/>
      </c>
    </row>
    <row r="912">
      <c r="A912" s="6" t="n"/>
      <c r="B912" s="7">
        <f>IF($A912="","",UPPER(SUBSTITUTE(SUBSTITUTE(SUBSTITUTE(SUBSTITUTE(SUBSTITUTE(SUBSTITUTE($A912," ",""),"-",""),".",""),"/",""),"i","I"),"ı","?")))</f>
        <v/>
      </c>
      <c r="C912" s="8">
        <f>IF($F912=1,$R912,"")</f>
        <v/>
      </c>
      <c r="D912" s="7">
        <f>IF($A912="","",IF($F912=0,"Biçim hatalı",IF(FIND(MID($B912,11,1),"0123456789")-1=$R912,"Geçerli","Kontrol hanesi hatalı (doğrusu: "&amp;$R912&amp;")")))</f>
        <v/>
      </c>
      <c r="F912">
        <f>IF($A912="","",IF(AND(LEN($B912)=11,SUMPRODUCT(--ISNUMBER(FIND(MID($B912,{1,2,3},1),"ABCDEFGHIJKLMNOPQRSTUVWXYZ")))=3,ISNUMBER(FIND(MID($B912,4,1),"UJZ")),SUMPRODUCT(--ISNUMBER(FIND(MID($B912,{5,6,7,8,9,10,11},1),"0123456789")))=7),1,0))</f>
        <v/>
      </c>
      <c r="G912">
        <f>IF($F912=1,INDEX({10,12,13,14,15,16,17,18,19,20,21,23,24,25,26,27,28,29,30,31,32,34,35,36,37,38},1,FIND(MID($B912,1,1),"ABCDEFGHIJKLMNOPQRSTUVWXYZ")),"")</f>
        <v/>
      </c>
      <c r="H912">
        <f>IF($F912=1,INDEX({10,12,13,14,15,16,17,18,19,20,21,23,24,25,26,27,28,29,30,31,32,34,35,36,37,38},1,FIND(MID($B912,2,1),"ABCDEFGHIJKLMNOPQRSTUVWXYZ")),"")</f>
        <v/>
      </c>
      <c r="I912">
        <f>IF($F912=1,INDEX({10,12,13,14,15,16,17,18,19,20,21,23,24,25,26,27,28,29,30,31,32,34,35,36,37,38},1,FIND(MID($B912,3,1),"ABCDEFGHIJKLMNOPQRSTUVWXYZ")),"")</f>
        <v/>
      </c>
      <c r="J912">
        <f>IF($F912=1,INDEX({10,12,13,14,15,16,17,18,19,20,21,23,24,25,26,27,28,29,30,31,32,34,35,36,37,38},1,FIND(MID($B912,4,1),"ABCDEFGHIJKLMNOPQRSTUVWXYZ")),"")</f>
        <v/>
      </c>
      <c r="K912">
        <f>IF($F912=1,FIND(MID($B912,5,1),"0123456789")-1,"")</f>
        <v/>
      </c>
      <c r="L912">
        <f>IF($F912=1,FIND(MID($B912,6,1),"0123456789")-1,"")</f>
        <v/>
      </c>
      <c r="M912">
        <f>IF($F912=1,FIND(MID($B912,7,1),"0123456789")-1,"")</f>
        <v/>
      </c>
      <c r="N912">
        <f>IF($F912=1,FIND(MID($B912,8,1),"0123456789")-1,"")</f>
        <v/>
      </c>
      <c r="O912">
        <f>IF($F912=1,FIND(MID($B912,9,1),"0123456789")-1,"")</f>
        <v/>
      </c>
      <c r="P912">
        <f>IF($F912=1,FIND(MID($B912,10,1),"0123456789")-1,"")</f>
        <v/>
      </c>
      <c r="Q912">
        <f>IF($F912=1,SUMPRODUCT($G912:$P912,{1,2,4,8,16,32,64,128,256,512}),"")</f>
        <v/>
      </c>
      <c r="R912">
        <f>IF($F912=1,MOD(MOD($Q912,11),10),"")</f>
        <v/>
      </c>
    </row>
    <row r="913">
      <c r="A913" s="6" t="n"/>
      <c r="B913" s="7">
        <f>IF($A913="","",UPPER(SUBSTITUTE(SUBSTITUTE(SUBSTITUTE(SUBSTITUTE(SUBSTITUTE(SUBSTITUTE($A913," ",""),"-",""),".",""),"/",""),"i","I"),"ı","?")))</f>
        <v/>
      </c>
      <c r="C913" s="8">
        <f>IF($F913=1,$R913,"")</f>
        <v/>
      </c>
      <c r="D913" s="7">
        <f>IF($A913="","",IF($F913=0,"Biçim hatalı",IF(FIND(MID($B913,11,1),"0123456789")-1=$R913,"Geçerli","Kontrol hanesi hatalı (doğrusu: "&amp;$R913&amp;")")))</f>
        <v/>
      </c>
      <c r="F913">
        <f>IF($A913="","",IF(AND(LEN($B913)=11,SUMPRODUCT(--ISNUMBER(FIND(MID($B913,{1,2,3},1),"ABCDEFGHIJKLMNOPQRSTUVWXYZ")))=3,ISNUMBER(FIND(MID($B913,4,1),"UJZ")),SUMPRODUCT(--ISNUMBER(FIND(MID($B913,{5,6,7,8,9,10,11},1),"0123456789")))=7),1,0))</f>
        <v/>
      </c>
      <c r="G913">
        <f>IF($F913=1,INDEX({10,12,13,14,15,16,17,18,19,20,21,23,24,25,26,27,28,29,30,31,32,34,35,36,37,38},1,FIND(MID($B913,1,1),"ABCDEFGHIJKLMNOPQRSTUVWXYZ")),"")</f>
        <v/>
      </c>
      <c r="H913">
        <f>IF($F913=1,INDEX({10,12,13,14,15,16,17,18,19,20,21,23,24,25,26,27,28,29,30,31,32,34,35,36,37,38},1,FIND(MID($B913,2,1),"ABCDEFGHIJKLMNOPQRSTUVWXYZ")),"")</f>
        <v/>
      </c>
      <c r="I913">
        <f>IF($F913=1,INDEX({10,12,13,14,15,16,17,18,19,20,21,23,24,25,26,27,28,29,30,31,32,34,35,36,37,38},1,FIND(MID($B913,3,1),"ABCDEFGHIJKLMNOPQRSTUVWXYZ")),"")</f>
        <v/>
      </c>
      <c r="J913">
        <f>IF($F913=1,INDEX({10,12,13,14,15,16,17,18,19,20,21,23,24,25,26,27,28,29,30,31,32,34,35,36,37,38},1,FIND(MID($B913,4,1),"ABCDEFGHIJKLMNOPQRSTUVWXYZ")),"")</f>
        <v/>
      </c>
      <c r="K913">
        <f>IF($F913=1,FIND(MID($B913,5,1),"0123456789")-1,"")</f>
        <v/>
      </c>
      <c r="L913">
        <f>IF($F913=1,FIND(MID($B913,6,1),"0123456789")-1,"")</f>
        <v/>
      </c>
      <c r="M913">
        <f>IF($F913=1,FIND(MID($B913,7,1),"0123456789")-1,"")</f>
        <v/>
      </c>
      <c r="N913">
        <f>IF($F913=1,FIND(MID($B913,8,1),"0123456789")-1,"")</f>
        <v/>
      </c>
      <c r="O913">
        <f>IF($F913=1,FIND(MID($B913,9,1),"0123456789")-1,"")</f>
        <v/>
      </c>
      <c r="P913">
        <f>IF($F913=1,FIND(MID($B913,10,1),"0123456789")-1,"")</f>
        <v/>
      </c>
      <c r="Q913">
        <f>IF($F913=1,SUMPRODUCT($G913:$P913,{1,2,4,8,16,32,64,128,256,512}),"")</f>
        <v/>
      </c>
      <c r="R913">
        <f>IF($F913=1,MOD(MOD($Q913,11),10),"")</f>
        <v/>
      </c>
    </row>
    <row r="914">
      <c r="A914" s="6" t="n"/>
      <c r="B914" s="7">
        <f>IF($A914="","",UPPER(SUBSTITUTE(SUBSTITUTE(SUBSTITUTE(SUBSTITUTE(SUBSTITUTE(SUBSTITUTE($A914," ",""),"-",""),".",""),"/",""),"i","I"),"ı","?")))</f>
        <v/>
      </c>
      <c r="C914" s="8">
        <f>IF($F914=1,$R914,"")</f>
        <v/>
      </c>
      <c r="D914" s="7">
        <f>IF($A914="","",IF($F914=0,"Biçim hatalı",IF(FIND(MID($B914,11,1),"0123456789")-1=$R914,"Geçerli","Kontrol hanesi hatalı (doğrusu: "&amp;$R914&amp;")")))</f>
        <v/>
      </c>
      <c r="F914">
        <f>IF($A914="","",IF(AND(LEN($B914)=11,SUMPRODUCT(--ISNUMBER(FIND(MID($B914,{1,2,3},1),"ABCDEFGHIJKLMNOPQRSTUVWXYZ")))=3,ISNUMBER(FIND(MID($B914,4,1),"UJZ")),SUMPRODUCT(--ISNUMBER(FIND(MID($B914,{5,6,7,8,9,10,11},1),"0123456789")))=7),1,0))</f>
        <v/>
      </c>
      <c r="G914">
        <f>IF($F914=1,INDEX({10,12,13,14,15,16,17,18,19,20,21,23,24,25,26,27,28,29,30,31,32,34,35,36,37,38},1,FIND(MID($B914,1,1),"ABCDEFGHIJKLMNOPQRSTUVWXYZ")),"")</f>
        <v/>
      </c>
      <c r="H914">
        <f>IF($F914=1,INDEX({10,12,13,14,15,16,17,18,19,20,21,23,24,25,26,27,28,29,30,31,32,34,35,36,37,38},1,FIND(MID($B914,2,1),"ABCDEFGHIJKLMNOPQRSTUVWXYZ")),"")</f>
        <v/>
      </c>
      <c r="I914">
        <f>IF($F914=1,INDEX({10,12,13,14,15,16,17,18,19,20,21,23,24,25,26,27,28,29,30,31,32,34,35,36,37,38},1,FIND(MID($B914,3,1),"ABCDEFGHIJKLMNOPQRSTUVWXYZ")),"")</f>
        <v/>
      </c>
      <c r="J914">
        <f>IF($F914=1,INDEX({10,12,13,14,15,16,17,18,19,20,21,23,24,25,26,27,28,29,30,31,32,34,35,36,37,38},1,FIND(MID($B914,4,1),"ABCDEFGHIJKLMNOPQRSTUVWXYZ")),"")</f>
        <v/>
      </c>
      <c r="K914">
        <f>IF($F914=1,FIND(MID($B914,5,1),"0123456789")-1,"")</f>
        <v/>
      </c>
      <c r="L914">
        <f>IF($F914=1,FIND(MID($B914,6,1),"0123456789")-1,"")</f>
        <v/>
      </c>
      <c r="M914">
        <f>IF($F914=1,FIND(MID($B914,7,1),"0123456789")-1,"")</f>
        <v/>
      </c>
      <c r="N914">
        <f>IF($F914=1,FIND(MID($B914,8,1),"0123456789")-1,"")</f>
        <v/>
      </c>
      <c r="O914">
        <f>IF($F914=1,FIND(MID($B914,9,1),"0123456789")-1,"")</f>
        <v/>
      </c>
      <c r="P914">
        <f>IF($F914=1,FIND(MID($B914,10,1),"0123456789")-1,"")</f>
        <v/>
      </c>
      <c r="Q914">
        <f>IF($F914=1,SUMPRODUCT($G914:$P914,{1,2,4,8,16,32,64,128,256,512}),"")</f>
        <v/>
      </c>
      <c r="R914">
        <f>IF($F914=1,MOD(MOD($Q914,11),10),"")</f>
        <v/>
      </c>
    </row>
    <row r="915">
      <c r="A915" s="6" t="n"/>
      <c r="B915" s="7">
        <f>IF($A915="","",UPPER(SUBSTITUTE(SUBSTITUTE(SUBSTITUTE(SUBSTITUTE(SUBSTITUTE(SUBSTITUTE($A915," ",""),"-",""),".",""),"/",""),"i","I"),"ı","?")))</f>
        <v/>
      </c>
      <c r="C915" s="8">
        <f>IF($F915=1,$R915,"")</f>
        <v/>
      </c>
      <c r="D915" s="7">
        <f>IF($A915="","",IF($F915=0,"Biçim hatalı",IF(FIND(MID($B915,11,1),"0123456789")-1=$R915,"Geçerli","Kontrol hanesi hatalı (doğrusu: "&amp;$R915&amp;")")))</f>
        <v/>
      </c>
      <c r="F915">
        <f>IF($A915="","",IF(AND(LEN($B915)=11,SUMPRODUCT(--ISNUMBER(FIND(MID($B915,{1,2,3},1),"ABCDEFGHIJKLMNOPQRSTUVWXYZ")))=3,ISNUMBER(FIND(MID($B915,4,1),"UJZ")),SUMPRODUCT(--ISNUMBER(FIND(MID($B915,{5,6,7,8,9,10,11},1),"0123456789")))=7),1,0))</f>
        <v/>
      </c>
      <c r="G915">
        <f>IF($F915=1,INDEX({10,12,13,14,15,16,17,18,19,20,21,23,24,25,26,27,28,29,30,31,32,34,35,36,37,38},1,FIND(MID($B915,1,1),"ABCDEFGHIJKLMNOPQRSTUVWXYZ")),"")</f>
        <v/>
      </c>
      <c r="H915">
        <f>IF($F915=1,INDEX({10,12,13,14,15,16,17,18,19,20,21,23,24,25,26,27,28,29,30,31,32,34,35,36,37,38},1,FIND(MID($B915,2,1),"ABCDEFGHIJKLMNOPQRSTUVWXYZ")),"")</f>
        <v/>
      </c>
      <c r="I915">
        <f>IF($F915=1,INDEX({10,12,13,14,15,16,17,18,19,20,21,23,24,25,26,27,28,29,30,31,32,34,35,36,37,38},1,FIND(MID($B915,3,1),"ABCDEFGHIJKLMNOPQRSTUVWXYZ")),"")</f>
        <v/>
      </c>
      <c r="J915">
        <f>IF($F915=1,INDEX({10,12,13,14,15,16,17,18,19,20,21,23,24,25,26,27,28,29,30,31,32,34,35,36,37,38},1,FIND(MID($B915,4,1),"ABCDEFGHIJKLMNOPQRSTUVWXYZ")),"")</f>
        <v/>
      </c>
      <c r="K915">
        <f>IF($F915=1,FIND(MID($B915,5,1),"0123456789")-1,"")</f>
        <v/>
      </c>
      <c r="L915">
        <f>IF($F915=1,FIND(MID($B915,6,1),"0123456789")-1,"")</f>
        <v/>
      </c>
      <c r="M915">
        <f>IF($F915=1,FIND(MID($B915,7,1),"0123456789")-1,"")</f>
        <v/>
      </c>
      <c r="N915">
        <f>IF($F915=1,FIND(MID($B915,8,1),"0123456789")-1,"")</f>
        <v/>
      </c>
      <c r="O915">
        <f>IF($F915=1,FIND(MID($B915,9,1),"0123456789")-1,"")</f>
        <v/>
      </c>
      <c r="P915">
        <f>IF($F915=1,FIND(MID($B915,10,1),"0123456789")-1,"")</f>
        <v/>
      </c>
      <c r="Q915">
        <f>IF($F915=1,SUMPRODUCT($G915:$P915,{1,2,4,8,16,32,64,128,256,512}),"")</f>
        <v/>
      </c>
      <c r="R915">
        <f>IF($F915=1,MOD(MOD($Q915,11),10),"")</f>
        <v/>
      </c>
    </row>
    <row r="916">
      <c r="A916" s="6" t="n"/>
      <c r="B916" s="7">
        <f>IF($A916="","",UPPER(SUBSTITUTE(SUBSTITUTE(SUBSTITUTE(SUBSTITUTE(SUBSTITUTE(SUBSTITUTE($A916," ",""),"-",""),".",""),"/",""),"i","I"),"ı","?")))</f>
        <v/>
      </c>
      <c r="C916" s="8">
        <f>IF($F916=1,$R916,"")</f>
        <v/>
      </c>
      <c r="D916" s="7">
        <f>IF($A916="","",IF($F916=0,"Biçim hatalı",IF(FIND(MID($B916,11,1),"0123456789")-1=$R916,"Geçerli","Kontrol hanesi hatalı (doğrusu: "&amp;$R916&amp;")")))</f>
        <v/>
      </c>
      <c r="F916">
        <f>IF($A916="","",IF(AND(LEN($B916)=11,SUMPRODUCT(--ISNUMBER(FIND(MID($B916,{1,2,3},1),"ABCDEFGHIJKLMNOPQRSTUVWXYZ")))=3,ISNUMBER(FIND(MID($B916,4,1),"UJZ")),SUMPRODUCT(--ISNUMBER(FIND(MID($B916,{5,6,7,8,9,10,11},1),"0123456789")))=7),1,0))</f>
        <v/>
      </c>
      <c r="G916">
        <f>IF($F916=1,INDEX({10,12,13,14,15,16,17,18,19,20,21,23,24,25,26,27,28,29,30,31,32,34,35,36,37,38},1,FIND(MID($B916,1,1),"ABCDEFGHIJKLMNOPQRSTUVWXYZ")),"")</f>
        <v/>
      </c>
      <c r="H916">
        <f>IF($F916=1,INDEX({10,12,13,14,15,16,17,18,19,20,21,23,24,25,26,27,28,29,30,31,32,34,35,36,37,38},1,FIND(MID($B916,2,1),"ABCDEFGHIJKLMNOPQRSTUVWXYZ")),"")</f>
        <v/>
      </c>
      <c r="I916">
        <f>IF($F916=1,INDEX({10,12,13,14,15,16,17,18,19,20,21,23,24,25,26,27,28,29,30,31,32,34,35,36,37,38},1,FIND(MID($B916,3,1),"ABCDEFGHIJKLMNOPQRSTUVWXYZ")),"")</f>
        <v/>
      </c>
      <c r="J916">
        <f>IF($F916=1,INDEX({10,12,13,14,15,16,17,18,19,20,21,23,24,25,26,27,28,29,30,31,32,34,35,36,37,38},1,FIND(MID($B916,4,1),"ABCDEFGHIJKLMNOPQRSTUVWXYZ")),"")</f>
        <v/>
      </c>
      <c r="K916">
        <f>IF($F916=1,FIND(MID($B916,5,1),"0123456789")-1,"")</f>
        <v/>
      </c>
      <c r="L916">
        <f>IF($F916=1,FIND(MID($B916,6,1),"0123456789")-1,"")</f>
        <v/>
      </c>
      <c r="M916">
        <f>IF($F916=1,FIND(MID($B916,7,1),"0123456789")-1,"")</f>
        <v/>
      </c>
      <c r="N916">
        <f>IF($F916=1,FIND(MID($B916,8,1),"0123456789")-1,"")</f>
        <v/>
      </c>
      <c r="O916">
        <f>IF($F916=1,FIND(MID($B916,9,1),"0123456789")-1,"")</f>
        <v/>
      </c>
      <c r="P916">
        <f>IF($F916=1,FIND(MID($B916,10,1),"0123456789")-1,"")</f>
        <v/>
      </c>
      <c r="Q916">
        <f>IF($F916=1,SUMPRODUCT($G916:$P916,{1,2,4,8,16,32,64,128,256,512}),"")</f>
        <v/>
      </c>
      <c r="R916">
        <f>IF($F916=1,MOD(MOD($Q916,11),10),"")</f>
        <v/>
      </c>
    </row>
    <row r="917">
      <c r="A917" s="6" t="n"/>
      <c r="B917" s="7">
        <f>IF($A917="","",UPPER(SUBSTITUTE(SUBSTITUTE(SUBSTITUTE(SUBSTITUTE(SUBSTITUTE(SUBSTITUTE($A917," ",""),"-",""),".",""),"/",""),"i","I"),"ı","?")))</f>
        <v/>
      </c>
      <c r="C917" s="8">
        <f>IF($F917=1,$R917,"")</f>
        <v/>
      </c>
      <c r="D917" s="7">
        <f>IF($A917="","",IF($F917=0,"Biçim hatalı",IF(FIND(MID($B917,11,1),"0123456789")-1=$R917,"Geçerli","Kontrol hanesi hatalı (doğrusu: "&amp;$R917&amp;")")))</f>
        <v/>
      </c>
      <c r="F917">
        <f>IF($A917="","",IF(AND(LEN($B917)=11,SUMPRODUCT(--ISNUMBER(FIND(MID($B917,{1,2,3},1),"ABCDEFGHIJKLMNOPQRSTUVWXYZ")))=3,ISNUMBER(FIND(MID($B917,4,1),"UJZ")),SUMPRODUCT(--ISNUMBER(FIND(MID($B917,{5,6,7,8,9,10,11},1),"0123456789")))=7),1,0))</f>
        <v/>
      </c>
      <c r="G917">
        <f>IF($F917=1,INDEX({10,12,13,14,15,16,17,18,19,20,21,23,24,25,26,27,28,29,30,31,32,34,35,36,37,38},1,FIND(MID($B917,1,1),"ABCDEFGHIJKLMNOPQRSTUVWXYZ")),"")</f>
        <v/>
      </c>
      <c r="H917">
        <f>IF($F917=1,INDEX({10,12,13,14,15,16,17,18,19,20,21,23,24,25,26,27,28,29,30,31,32,34,35,36,37,38},1,FIND(MID($B917,2,1),"ABCDEFGHIJKLMNOPQRSTUVWXYZ")),"")</f>
        <v/>
      </c>
      <c r="I917">
        <f>IF($F917=1,INDEX({10,12,13,14,15,16,17,18,19,20,21,23,24,25,26,27,28,29,30,31,32,34,35,36,37,38},1,FIND(MID($B917,3,1),"ABCDEFGHIJKLMNOPQRSTUVWXYZ")),"")</f>
        <v/>
      </c>
      <c r="J917">
        <f>IF($F917=1,INDEX({10,12,13,14,15,16,17,18,19,20,21,23,24,25,26,27,28,29,30,31,32,34,35,36,37,38},1,FIND(MID($B917,4,1),"ABCDEFGHIJKLMNOPQRSTUVWXYZ")),"")</f>
        <v/>
      </c>
      <c r="K917">
        <f>IF($F917=1,FIND(MID($B917,5,1),"0123456789")-1,"")</f>
        <v/>
      </c>
      <c r="L917">
        <f>IF($F917=1,FIND(MID($B917,6,1),"0123456789")-1,"")</f>
        <v/>
      </c>
      <c r="M917">
        <f>IF($F917=1,FIND(MID($B917,7,1),"0123456789")-1,"")</f>
        <v/>
      </c>
      <c r="N917">
        <f>IF($F917=1,FIND(MID($B917,8,1),"0123456789")-1,"")</f>
        <v/>
      </c>
      <c r="O917">
        <f>IF($F917=1,FIND(MID($B917,9,1),"0123456789")-1,"")</f>
        <v/>
      </c>
      <c r="P917">
        <f>IF($F917=1,FIND(MID($B917,10,1),"0123456789")-1,"")</f>
        <v/>
      </c>
      <c r="Q917">
        <f>IF($F917=1,SUMPRODUCT($G917:$P917,{1,2,4,8,16,32,64,128,256,512}),"")</f>
        <v/>
      </c>
      <c r="R917">
        <f>IF($F917=1,MOD(MOD($Q917,11),10),"")</f>
        <v/>
      </c>
    </row>
    <row r="918">
      <c r="A918" s="6" t="n"/>
      <c r="B918" s="7">
        <f>IF($A918="","",UPPER(SUBSTITUTE(SUBSTITUTE(SUBSTITUTE(SUBSTITUTE(SUBSTITUTE(SUBSTITUTE($A918," ",""),"-",""),".",""),"/",""),"i","I"),"ı","?")))</f>
        <v/>
      </c>
      <c r="C918" s="8">
        <f>IF($F918=1,$R918,"")</f>
        <v/>
      </c>
      <c r="D918" s="7">
        <f>IF($A918="","",IF($F918=0,"Biçim hatalı",IF(FIND(MID($B918,11,1),"0123456789")-1=$R918,"Geçerli","Kontrol hanesi hatalı (doğrusu: "&amp;$R918&amp;")")))</f>
        <v/>
      </c>
      <c r="F918">
        <f>IF($A918="","",IF(AND(LEN($B918)=11,SUMPRODUCT(--ISNUMBER(FIND(MID($B918,{1,2,3},1),"ABCDEFGHIJKLMNOPQRSTUVWXYZ")))=3,ISNUMBER(FIND(MID($B918,4,1),"UJZ")),SUMPRODUCT(--ISNUMBER(FIND(MID($B918,{5,6,7,8,9,10,11},1),"0123456789")))=7),1,0))</f>
        <v/>
      </c>
      <c r="G918">
        <f>IF($F918=1,INDEX({10,12,13,14,15,16,17,18,19,20,21,23,24,25,26,27,28,29,30,31,32,34,35,36,37,38},1,FIND(MID($B918,1,1),"ABCDEFGHIJKLMNOPQRSTUVWXYZ")),"")</f>
        <v/>
      </c>
      <c r="H918">
        <f>IF($F918=1,INDEX({10,12,13,14,15,16,17,18,19,20,21,23,24,25,26,27,28,29,30,31,32,34,35,36,37,38},1,FIND(MID($B918,2,1),"ABCDEFGHIJKLMNOPQRSTUVWXYZ")),"")</f>
        <v/>
      </c>
      <c r="I918">
        <f>IF($F918=1,INDEX({10,12,13,14,15,16,17,18,19,20,21,23,24,25,26,27,28,29,30,31,32,34,35,36,37,38},1,FIND(MID($B918,3,1),"ABCDEFGHIJKLMNOPQRSTUVWXYZ")),"")</f>
        <v/>
      </c>
      <c r="J918">
        <f>IF($F918=1,INDEX({10,12,13,14,15,16,17,18,19,20,21,23,24,25,26,27,28,29,30,31,32,34,35,36,37,38},1,FIND(MID($B918,4,1),"ABCDEFGHIJKLMNOPQRSTUVWXYZ")),"")</f>
        <v/>
      </c>
      <c r="K918">
        <f>IF($F918=1,FIND(MID($B918,5,1),"0123456789")-1,"")</f>
        <v/>
      </c>
      <c r="L918">
        <f>IF($F918=1,FIND(MID($B918,6,1),"0123456789")-1,"")</f>
        <v/>
      </c>
      <c r="M918">
        <f>IF($F918=1,FIND(MID($B918,7,1),"0123456789")-1,"")</f>
        <v/>
      </c>
      <c r="N918">
        <f>IF($F918=1,FIND(MID($B918,8,1),"0123456789")-1,"")</f>
        <v/>
      </c>
      <c r="O918">
        <f>IF($F918=1,FIND(MID($B918,9,1),"0123456789")-1,"")</f>
        <v/>
      </c>
      <c r="P918">
        <f>IF($F918=1,FIND(MID($B918,10,1),"0123456789")-1,"")</f>
        <v/>
      </c>
      <c r="Q918">
        <f>IF($F918=1,SUMPRODUCT($G918:$P918,{1,2,4,8,16,32,64,128,256,512}),"")</f>
        <v/>
      </c>
      <c r="R918">
        <f>IF($F918=1,MOD(MOD($Q918,11),10),"")</f>
        <v/>
      </c>
    </row>
    <row r="919">
      <c r="A919" s="6" t="n"/>
      <c r="B919" s="7">
        <f>IF($A919="","",UPPER(SUBSTITUTE(SUBSTITUTE(SUBSTITUTE(SUBSTITUTE(SUBSTITUTE(SUBSTITUTE($A919," ",""),"-",""),".",""),"/",""),"i","I"),"ı","?")))</f>
        <v/>
      </c>
      <c r="C919" s="8">
        <f>IF($F919=1,$R919,"")</f>
        <v/>
      </c>
      <c r="D919" s="7">
        <f>IF($A919="","",IF($F919=0,"Biçim hatalı",IF(FIND(MID($B919,11,1),"0123456789")-1=$R919,"Geçerli","Kontrol hanesi hatalı (doğrusu: "&amp;$R919&amp;")")))</f>
        <v/>
      </c>
      <c r="F919">
        <f>IF($A919="","",IF(AND(LEN($B919)=11,SUMPRODUCT(--ISNUMBER(FIND(MID($B919,{1,2,3},1),"ABCDEFGHIJKLMNOPQRSTUVWXYZ")))=3,ISNUMBER(FIND(MID($B919,4,1),"UJZ")),SUMPRODUCT(--ISNUMBER(FIND(MID($B919,{5,6,7,8,9,10,11},1),"0123456789")))=7),1,0))</f>
        <v/>
      </c>
      <c r="G919">
        <f>IF($F919=1,INDEX({10,12,13,14,15,16,17,18,19,20,21,23,24,25,26,27,28,29,30,31,32,34,35,36,37,38},1,FIND(MID($B919,1,1),"ABCDEFGHIJKLMNOPQRSTUVWXYZ")),"")</f>
        <v/>
      </c>
      <c r="H919">
        <f>IF($F919=1,INDEX({10,12,13,14,15,16,17,18,19,20,21,23,24,25,26,27,28,29,30,31,32,34,35,36,37,38},1,FIND(MID($B919,2,1),"ABCDEFGHIJKLMNOPQRSTUVWXYZ")),"")</f>
        <v/>
      </c>
      <c r="I919">
        <f>IF($F919=1,INDEX({10,12,13,14,15,16,17,18,19,20,21,23,24,25,26,27,28,29,30,31,32,34,35,36,37,38},1,FIND(MID($B919,3,1),"ABCDEFGHIJKLMNOPQRSTUVWXYZ")),"")</f>
        <v/>
      </c>
      <c r="J919">
        <f>IF($F919=1,INDEX({10,12,13,14,15,16,17,18,19,20,21,23,24,25,26,27,28,29,30,31,32,34,35,36,37,38},1,FIND(MID($B919,4,1),"ABCDEFGHIJKLMNOPQRSTUVWXYZ")),"")</f>
        <v/>
      </c>
      <c r="K919">
        <f>IF($F919=1,FIND(MID($B919,5,1),"0123456789")-1,"")</f>
        <v/>
      </c>
      <c r="L919">
        <f>IF($F919=1,FIND(MID($B919,6,1),"0123456789")-1,"")</f>
        <v/>
      </c>
      <c r="M919">
        <f>IF($F919=1,FIND(MID($B919,7,1),"0123456789")-1,"")</f>
        <v/>
      </c>
      <c r="N919">
        <f>IF($F919=1,FIND(MID($B919,8,1),"0123456789")-1,"")</f>
        <v/>
      </c>
      <c r="O919">
        <f>IF($F919=1,FIND(MID($B919,9,1),"0123456789")-1,"")</f>
        <v/>
      </c>
      <c r="P919">
        <f>IF($F919=1,FIND(MID($B919,10,1),"0123456789")-1,"")</f>
        <v/>
      </c>
      <c r="Q919">
        <f>IF($F919=1,SUMPRODUCT($G919:$P919,{1,2,4,8,16,32,64,128,256,512}),"")</f>
        <v/>
      </c>
      <c r="R919">
        <f>IF($F919=1,MOD(MOD($Q919,11),10),"")</f>
        <v/>
      </c>
    </row>
    <row r="920">
      <c r="A920" s="6" t="n"/>
      <c r="B920" s="7">
        <f>IF($A920="","",UPPER(SUBSTITUTE(SUBSTITUTE(SUBSTITUTE(SUBSTITUTE(SUBSTITUTE(SUBSTITUTE($A920," ",""),"-",""),".",""),"/",""),"i","I"),"ı","?")))</f>
        <v/>
      </c>
      <c r="C920" s="8">
        <f>IF($F920=1,$R920,"")</f>
        <v/>
      </c>
      <c r="D920" s="7">
        <f>IF($A920="","",IF($F920=0,"Biçim hatalı",IF(FIND(MID($B920,11,1),"0123456789")-1=$R920,"Geçerli","Kontrol hanesi hatalı (doğrusu: "&amp;$R920&amp;")")))</f>
        <v/>
      </c>
      <c r="F920">
        <f>IF($A920="","",IF(AND(LEN($B920)=11,SUMPRODUCT(--ISNUMBER(FIND(MID($B920,{1,2,3},1),"ABCDEFGHIJKLMNOPQRSTUVWXYZ")))=3,ISNUMBER(FIND(MID($B920,4,1),"UJZ")),SUMPRODUCT(--ISNUMBER(FIND(MID($B920,{5,6,7,8,9,10,11},1),"0123456789")))=7),1,0))</f>
        <v/>
      </c>
      <c r="G920">
        <f>IF($F920=1,INDEX({10,12,13,14,15,16,17,18,19,20,21,23,24,25,26,27,28,29,30,31,32,34,35,36,37,38},1,FIND(MID($B920,1,1),"ABCDEFGHIJKLMNOPQRSTUVWXYZ")),"")</f>
        <v/>
      </c>
      <c r="H920">
        <f>IF($F920=1,INDEX({10,12,13,14,15,16,17,18,19,20,21,23,24,25,26,27,28,29,30,31,32,34,35,36,37,38},1,FIND(MID($B920,2,1),"ABCDEFGHIJKLMNOPQRSTUVWXYZ")),"")</f>
        <v/>
      </c>
      <c r="I920">
        <f>IF($F920=1,INDEX({10,12,13,14,15,16,17,18,19,20,21,23,24,25,26,27,28,29,30,31,32,34,35,36,37,38},1,FIND(MID($B920,3,1),"ABCDEFGHIJKLMNOPQRSTUVWXYZ")),"")</f>
        <v/>
      </c>
      <c r="J920">
        <f>IF($F920=1,INDEX({10,12,13,14,15,16,17,18,19,20,21,23,24,25,26,27,28,29,30,31,32,34,35,36,37,38},1,FIND(MID($B920,4,1),"ABCDEFGHIJKLMNOPQRSTUVWXYZ")),"")</f>
        <v/>
      </c>
      <c r="K920">
        <f>IF($F920=1,FIND(MID($B920,5,1),"0123456789")-1,"")</f>
        <v/>
      </c>
      <c r="L920">
        <f>IF($F920=1,FIND(MID($B920,6,1),"0123456789")-1,"")</f>
        <v/>
      </c>
      <c r="M920">
        <f>IF($F920=1,FIND(MID($B920,7,1),"0123456789")-1,"")</f>
        <v/>
      </c>
      <c r="N920">
        <f>IF($F920=1,FIND(MID($B920,8,1),"0123456789")-1,"")</f>
        <v/>
      </c>
      <c r="O920">
        <f>IF($F920=1,FIND(MID($B920,9,1),"0123456789")-1,"")</f>
        <v/>
      </c>
      <c r="P920">
        <f>IF($F920=1,FIND(MID($B920,10,1),"0123456789")-1,"")</f>
        <v/>
      </c>
      <c r="Q920">
        <f>IF($F920=1,SUMPRODUCT($G920:$P920,{1,2,4,8,16,32,64,128,256,512}),"")</f>
        <v/>
      </c>
      <c r="R920">
        <f>IF($F920=1,MOD(MOD($Q920,11),10),"")</f>
        <v/>
      </c>
    </row>
    <row r="921">
      <c r="A921" s="6" t="n"/>
      <c r="B921" s="7">
        <f>IF($A921="","",UPPER(SUBSTITUTE(SUBSTITUTE(SUBSTITUTE(SUBSTITUTE(SUBSTITUTE(SUBSTITUTE($A921," ",""),"-",""),".",""),"/",""),"i","I"),"ı","?")))</f>
        <v/>
      </c>
      <c r="C921" s="8">
        <f>IF($F921=1,$R921,"")</f>
        <v/>
      </c>
      <c r="D921" s="7">
        <f>IF($A921="","",IF($F921=0,"Biçim hatalı",IF(FIND(MID($B921,11,1),"0123456789")-1=$R921,"Geçerli","Kontrol hanesi hatalı (doğrusu: "&amp;$R921&amp;")")))</f>
        <v/>
      </c>
      <c r="F921">
        <f>IF($A921="","",IF(AND(LEN($B921)=11,SUMPRODUCT(--ISNUMBER(FIND(MID($B921,{1,2,3},1),"ABCDEFGHIJKLMNOPQRSTUVWXYZ")))=3,ISNUMBER(FIND(MID($B921,4,1),"UJZ")),SUMPRODUCT(--ISNUMBER(FIND(MID($B921,{5,6,7,8,9,10,11},1),"0123456789")))=7),1,0))</f>
        <v/>
      </c>
      <c r="G921">
        <f>IF($F921=1,INDEX({10,12,13,14,15,16,17,18,19,20,21,23,24,25,26,27,28,29,30,31,32,34,35,36,37,38},1,FIND(MID($B921,1,1),"ABCDEFGHIJKLMNOPQRSTUVWXYZ")),"")</f>
        <v/>
      </c>
      <c r="H921">
        <f>IF($F921=1,INDEX({10,12,13,14,15,16,17,18,19,20,21,23,24,25,26,27,28,29,30,31,32,34,35,36,37,38},1,FIND(MID($B921,2,1),"ABCDEFGHIJKLMNOPQRSTUVWXYZ")),"")</f>
        <v/>
      </c>
      <c r="I921">
        <f>IF($F921=1,INDEX({10,12,13,14,15,16,17,18,19,20,21,23,24,25,26,27,28,29,30,31,32,34,35,36,37,38},1,FIND(MID($B921,3,1),"ABCDEFGHIJKLMNOPQRSTUVWXYZ")),"")</f>
        <v/>
      </c>
      <c r="J921">
        <f>IF($F921=1,INDEX({10,12,13,14,15,16,17,18,19,20,21,23,24,25,26,27,28,29,30,31,32,34,35,36,37,38},1,FIND(MID($B921,4,1),"ABCDEFGHIJKLMNOPQRSTUVWXYZ")),"")</f>
        <v/>
      </c>
      <c r="K921">
        <f>IF($F921=1,FIND(MID($B921,5,1),"0123456789")-1,"")</f>
        <v/>
      </c>
      <c r="L921">
        <f>IF($F921=1,FIND(MID($B921,6,1),"0123456789")-1,"")</f>
        <v/>
      </c>
      <c r="M921">
        <f>IF($F921=1,FIND(MID($B921,7,1),"0123456789")-1,"")</f>
        <v/>
      </c>
      <c r="N921">
        <f>IF($F921=1,FIND(MID($B921,8,1),"0123456789")-1,"")</f>
        <v/>
      </c>
      <c r="O921">
        <f>IF($F921=1,FIND(MID($B921,9,1),"0123456789")-1,"")</f>
        <v/>
      </c>
      <c r="P921">
        <f>IF($F921=1,FIND(MID($B921,10,1),"0123456789")-1,"")</f>
        <v/>
      </c>
      <c r="Q921">
        <f>IF($F921=1,SUMPRODUCT($G921:$P921,{1,2,4,8,16,32,64,128,256,512}),"")</f>
        <v/>
      </c>
      <c r="R921">
        <f>IF($F921=1,MOD(MOD($Q921,11),10),"")</f>
        <v/>
      </c>
    </row>
    <row r="922">
      <c r="A922" s="6" t="n"/>
      <c r="B922" s="7">
        <f>IF($A922="","",UPPER(SUBSTITUTE(SUBSTITUTE(SUBSTITUTE(SUBSTITUTE(SUBSTITUTE(SUBSTITUTE($A922," ",""),"-",""),".",""),"/",""),"i","I"),"ı","?")))</f>
        <v/>
      </c>
      <c r="C922" s="8">
        <f>IF($F922=1,$R922,"")</f>
        <v/>
      </c>
      <c r="D922" s="7">
        <f>IF($A922="","",IF($F922=0,"Biçim hatalı",IF(FIND(MID($B922,11,1),"0123456789")-1=$R922,"Geçerli","Kontrol hanesi hatalı (doğrusu: "&amp;$R922&amp;")")))</f>
        <v/>
      </c>
      <c r="F922">
        <f>IF($A922="","",IF(AND(LEN($B922)=11,SUMPRODUCT(--ISNUMBER(FIND(MID($B922,{1,2,3},1),"ABCDEFGHIJKLMNOPQRSTUVWXYZ")))=3,ISNUMBER(FIND(MID($B922,4,1),"UJZ")),SUMPRODUCT(--ISNUMBER(FIND(MID($B922,{5,6,7,8,9,10,11},1),"0123456789")))=7),1,0))</f>
        <v/>
      </c>
      <c r="G922">
        <f>IF($F922=1,INDEX({10,12,13,14,15,16,17,18,19,20,21,23,24,25,26,27,28,29,30,31,32,34,35,36,37,38},1,FIND(MID($B922,1,1),"ABCDEFGHIJKLMNOPQRSTUVWXYZ")),"")</f>
        <v/>
      </c>
      <c r="H922">
        <f>IF($F922=1,INDEX({10,12,13,14,15,16,17,18,19,20,21,23,24,25,26,27,28,29,30,31,32,34,35,36,37,38},1,FIND(MID($B922,2,1),"ABCDEFGHIJKLMNOPQRSTUVWXYZ")),"")</f>
        <v/>
      </c>
      <c r="I922">
        <f>IF($F922=1,INDEX({10,12,13,14,15,16,17,18,19,20,21,23,24,25,26,27,28,29,30,31,32,34,35,36,37,38},1,FIND(MID($B922,3,1),"ABCDEFGHIJKLMNOPQRSTUVWXYZ")),"")</f>
        <v/>
      </c>
      <c r="J922">
        <f>IF($F922=1,INDEX({10,12,13,14,15,16,17,18,19,20,21,23,24,25,26,27,28,29,30,31,32,34,35,36,37,38},1,FIND(MID($B922,4,1),"ABCDEFGHIJKLMNOPQRSTUVWXYZ")),"")</f>
        <v/>
      </c>
      <c r="K922">
        <f>IF($F922=1,FIND(MID($B922,5,1),"0123456789")-1,"")</f>
        <v/>
      </c>
      <c r="L922">
        <f>IF($F922=1,FIND(MID($B922,6,1),"0123456789")-1,"")</f>
        <v/>
      </c>
      <c r="M922">
        <f>IF($F922=1,FIND(MID($B922,7,1),"0123456789")-1,"")</f>
        <v/>
      </c>
      <c r="N922">
        <f>IF($F922=1,FIND(MID($B922,8,1),"0123456789")-1,"")</f>
        <v/>
      </c>
      <c r="O922">
        <f>IF($F922=1,FIND(MID($B922,9,1),"0123456789")-1,"")</f>
        <v/>
      </c>
      <c r="P922">
        <f>IF($F922=1,FIND(MID($B922,10,1),"0123456789")-1,"")</f>
        <v/>
      </c>
      <c r="Q922">
        <f>IF($F922=1,SUMPRODUCT($G922:$P922,{1,2,4,8,16,32,64,128,256,512}),"")</f>
        <v/>
      </c>
      <c r="R922">
        <f>IF($F922=1,MOD(MOD($Q922,11),10),"")</f>
        <v/>
      </c>
    </row>
    <row r="923">
      <c r="A923" s="6" t="n"/>
      <c r="B923" s="7">
        <f>IF($A923="","",UPPER(SUBSTITUTE(SUBSTITUTE(SUBSTITUTE(SUBSTITUTE(SUBSTITUTE(SUBSTITUTE($A923," ",""),"-",""),".",""),"/",""),"i","I"),"ı","?")))</f>
        <v/>
      </c>
      <c r="C923" s="8">
        <f>IF($F923=1,$R923,"")</f>
        <v/>
      </c>
      <c r="D923" s="7">
        <f>IF($A923="","",IF($F923=0,"Biçim hatalı",IF(FIND(MID($B923,11,1),"0123456789")-1=$R923,"Geçerli","Kontrol hanesi hatalı (doğrusu: "&amp;$R923&amp;")")))</f>
        <v/>
      </c>
      <c r="F923">
        <f>IF($A923="","",IF(AND(LEN($B923)=11,SUMPRODUCT(--ISNUMBER(FIND(MID($B923,{1,2,3},1),"ABCDEFGHIJKLMNOPQRSTUVWXYZ")))=3,ISNUMBER(FIND(MID($B923,4,1),"UJZ")),SUMPRODUCT(--ISNUMBER(FIND(MID($B923,{5,6,7,8,9,10,11},1),"0123456789")))=7),1,0))</f>
        <v/>
      </c>
      <c r="G923">
        <f>IF($F923=1,INDEX({10,12,13,14,15,16,17,18,19,20,21,23,24,25,26,27,28,29,30,31,32,34,35,36,37,38},1,FIND(MID($B923,1,1),"ABCDEFGHIJKLMNOPQRSTUVWXYZ")),"")</f>
        <v/>
      </c>
      <c r="H923">
        <f>IF($F923=1,INDEX({10,12,13,14,15,16,17,18,19,20,21,23,24,25,26,27,28,29,30,31,32,34,35,36,37,38},1,FIND(MID($B923,2,1),"ABCDEFGHIJKLMNOPQRSTUVWXYZ")),"")</f>
        <v/>
      </c>
      <c r="I923">
        <f>IF($F923=1,INDEX({10,12,13,14,15,16,17,18,19,20,21,23,24,25,26,27,28,29,30,31,32,34,35,36,37,38},1,FIND(MID($B923,3,1),"ABCDEFGHIJKLMNOPQRSTUVWXYZ")),"")</f>
        <v/>
      </c>
      <c r="J923">
        <f>IF($F923=1,INDEX({10,12,13,14,15,16,17,18,19,20,21,23,24,25,26,27,28,29,30,31,32,34,35,36,37,38},1,FIND(MID($B923,4,1),"ABCDEFGHIJKLMNOPQRSTUVWXYZ")),"")</f>
        <v/>
      </c>
      <c r="K923">
        <f>IF($F923=1,FIND(MID($B923,5,1),"0123456789")-1,"")</f>
        <v/>
      </c>
      <c r="L923">
        <f>IF($F923=1,FIND(MID($B923,6,1),"0123456789")-1,"")</f>
        <v/>
      </c>
      <c r="M923">
        <f>IF($F923=1,FIND(MID($B923,7,1),"0123456789")-1,"")</f>
        <v/>
      </c>
      <c r="N923">
        <f>IF($F923=1,FIND(MID($B923,8,1),"0123456789")-1,"")</f>
        <v/>
      </c>
      <c r="O923">
        <f>IF($F923=1,FIND(MID($B923,9,1),"0123456789")-1,"")</f>
        <v/>
      </c>
      <c r="P923">
        <f>IF($F923=1,FIND(MID($B923,10,1),"0123456789")-1,"")</f>
        <v/>
      </c>
      <c r="Q923">
        <f>IF($F923=1,SUMPRODUCT($G923:$P923,{1,2,4,8,16,32,64,128,256,512}),"")</f>
        <v/>
      </c>
      <c r="R923">
        <f>IF($F923=1,MOD(MOD($Q923,11),10),"")</f>
        <v/>
      </c>
    </row>
    <row r="924">
      <c r="A924" s="6" t="n"/>
      <c r="B924" s="7">
        <f>IF($A924="","",UPPER(SUBSTITUTE(SUBSTITUTE(SUBSTITUTE(SUBSTITUTE(SUBSTITUTE(SUBSTITUTE($A924," ",""),"-",""),".",""),"/",""),"i","I"),"ı","?")))</f>
        <v/>
      </c>
      <c r="C924" s="8">
        <f>IF($F924=1,$R924,"")</f>
        <v/>
      </c>
      <c r="D924" s="7">
        <f>IF($A924="","",IF($F924=0,"Biçim hatalı",IF(FIND(MID($B924,11,1),"0123456789")-1=$R924,"Geçerli","Kontrol hanesi hatalı (doğrusu: "&amp;$R924&amp;")")))</f>
        <v/>
      </c>
      <c r="F924">
        <f>IF($A924="","",IF(AND(LEN($B924)=11,SUMPRODUCT(--ISNUMBER(FIND(MID($B924,{1,2,3},1),"ABCDEFGHIJKLMNOPQRSTUVWXYZ")))=3,ISNUMBER(FIND(MID($B924,4,1),"UJZ")),SUMPRODUCT(--ISNUMBER(FIND(MID($B924,{5,6,7,8,9,10,11},1),"0123456789")))=7),1,0))</f>
        <v/>
      </c>
      <c r="G924">
        <f>IF($F924=1,INDEX({10,12,13,14,15,16,17,18,19,20,21,23,24,25,26,27,28,29,30,31,32,34,35,36,37,38},1,FIND(MID($B924,1,1),"ABCDEFGHIJKLMNOPQRSTUVWXYZ")),"")</f>
        <v/>
      </c>
      <c r="H924">
        <f>IF($F924=1,INDEX({10,12,13,14,15,16,17,18,19,20,21,23,24,25,26,27,28,29,30,31,32,34,35,36,37,38},1,FIND(MID($B924,2,1),"ABCDEFGHIJKLMNOPQRSTUVWXYZ")),"")</f>
        <v/>
      </c>
      <c r="I924">
        <f>IF($F924=1,INDEX({10,12,13,14,15,16,17,18,19,20,21,23,24,25,26,27,28,29,30,31,32,34,35,36,37,38},1,FIND(MID($B924,3,1),"ABCDEFGHIJKLMNOPQRSTUVWXYZ")),"")</f>
        <v/>
      </c>
      <c r="J924">
        <f>IF($F924=1,INDEX({10,12,13,14,15,16,17,18,19,20,21,23,24,25,26,27,28,29,30,31,32,34,35,36,37,38},1,FIND(MID($B924,4,1),"ABCDEFGHIJKLMNOPQRSTUVWXYZ")),"")</f>
        <v/>
      </c>
      <c r="K924">
        <f>IF($F924=1,FIND(MID($B924,5,1),"0123456789")-1,"")</f>
        <v/>
      </c>
      <c r="L924">
        <f>IF($F924=1,FIND(MID($B924,6,1),"0123456789")-1,"")</f>
        <v/>
      </c>
      <c r="M924">
        <f>IF($F924=1,FIND(MID($B924,7,1),"0123456789")-1,"")</f>
        <v/>
      </c>
      <c r="N924">
        <f>IF($F924=1,FIND(MID($B924,8,1),"0123456789")-1,"")</f>
        <v/>
      </c>
      <c r="O924">
        <f>IF($F924=1,FIND(MID($B924,9,1),"0123456789")-1,"")</f>
        <v/>
      </c>
      <c r="P924">
        <f>IF($F924=1,FIND(MID($B924,10,1),"0123456789")-1,"")</f>
        <v/>
      </c>
      <c r="Q924">
        <f>IF($F924=1,SUMPRODUCT($G924:$P924,{1,2,4,8,16,32,64,128,256,512}),"")</f>
        <v/>
      </c>
      <c r="R924">
        <f>IF($F924=1,MOD(MOD($Q924,11),10),"")</f>
        <v/>
      </c>
    </row>
    <row r="925">
      <c r="A925" s="6" t="n"/>
      <c r="B925" s="7">
        <f>IF($A925="","",UPPER(SUBSTITUTE(SUBSTITUTE(SUBSTITUTE(SUBSTITUTE(SUBSTITUTE(SUBSTITUTE($A925," ",""),"-",""),".",""),"/",""),"i","I"),"ı","?")))</f>
        <v/>
      </c>
      <c r="C925" s="8">
        <f>IF($F925=1,$R925,"")</f>
        <v/>
      </c>
      <c r="D925" s="7">
        <f>IF($A925="","",IF($F925=0,"Biçim hatalı",IF(FIND(MID($B925,11,1),"0123456789")-1=$R925,"Geçerli","Kontrol hanesi hatalı (doğrusu: "&amp;$R925&amp;")")))</f>
        <v/>
      </c>
      <c r="F925">
        <f>IF($A925="","",IF(AND(LEN($B925)=11,SUMPRODUCT(--ISNUMBER(FIND(MID($B925,{1,2,3},1),"ABCDEFGHIJKLMNOPQRSTUVWXYZ")))=3,ISNUMBER(FIND(MID($B925,4,1),"UJZ")),SUMPRODUCT(--ISNUMBER(FIND(MID($B925,{5,6,7,8,9,10,11},1),"0123456789")))=7),1,0))</f>
        <v/>
      </c>
      <c r="G925">
        <f>IF($F925=1,INDEX({10,12,13,14,15,16,17,18,19,20,21,23,24,25,26,27,28,29,30,31,32,34,35,36,37,38},1,FIND(MID($B925,1,1),"ABCDEFGHIJKLMNOPQRSTUVWXYZ")),"")</f>
        <v/>
      </c>
      <c r="H925">
        <f>IF($F925=1,INDEX({10,12,13,14,15,16,17,18,19,20,21,23,24,25,26,27,28,29,30,31,32,34,35,36,37,38},1,FIND(MID($B925,2,1),"ABCDEFGHIJKLMNOPQRSTUVWXYZ")),"")</f>
        <v/>
      </c>
      <c r="I925">
        <f>IF($F925=1,INDEX({10,12,13,14,15,16,17,18,19,20,21,23,24,25,26,27,28,29,30,31,32,34,35,36,37,38},1,FIND(MID($B925,3,1),"ABCDEFGHIJKLMNOPQRSTUVWXYZ")),"")</f>
        <v/>
      </c>
      <c r="J925">
        <f>IF($F925=1,INDEX({10,12,13,14,15,16,17,18,19,20,21,23,24,25,26,27,28,29,30,31,32,34,35,36,37,38},1,FIND(MID($B925,4,1),"ABCDEFGHIJKLMNOPQRSTUVWXYZ")),"")</f>
        <v/>
      </c>
      <c r="K925">
        <f>IF($F925=1,FIND(MID($B925,5,1),"0123456789")-1,"")</f>
        <v/>
      </c>
      <c r="L925">
        <f>IF($F925=1,FIND(MID($B925,6,1),"0123456789")-1,"")</f>
        <v/>
      </c>
      <c r="M925">
        <f>IF($F925=1,FIND(MID($B925,7,1),"0123456789")-1,"")</f>
        <v/>
      </c>
      <c r="N925">
        <f>IF($F925=1,FIND(MID($B925,8,1),"0123456789")-1,"")</f>
        <v/>
      </c>
      <c r="O925">
        <f>IF($F925=1,FIND(MID($B925,9,1),"0123456789")-1,"")</f>
        <v/>
      </c>
      <c r="P925">
        <f>IF($F925=1,FIND(MID($B925,10,1),"0123456789")-1,"")</f>
        <v/>
      </c>
      <c r="Q925">
        <f>IF($F925=1,SUMPRODUCT($G925:$P925,{1,2,4,8,16,32,64,128,256,512}),"")</f>
        <v/>
      </c>
      <c r="R925">
        <f>IF($F925=1,MOD(MOD($Q925,11),10),"")</f>
        <v/>
      </c>
    </row>
    <row r="926">
      <c r="A926" s="6" t="n"/>
      <c r="B926" s="7">
        <f>IF($A926="","",UPPER(SUBSTITUTE(SUBSTITUTE(SUBSTITUTE(SUBSTITUTE(SUBSTITUTE(SUBSTITUTE($A926," ",""),"-",""),".",""),"/",""),"i","I"),"ı","?")))</f>
        <v/>
      </c>
      <c r="C926" s="8">
        <f>IF($F926=1,$R926,"")</f>
        <v/>
      </c>
      <c r="D926" s="7">
        <f>IF($A926="","",IF($F926=0,"Biçim hatalı",IF(FIND(MID($B926,11,1),"0123456789")-1=$R926,"Geçerli","Kontrol hanesi hatalı (doğrusu: "&amp;$R926&amp;")")))</f>
        <v/>
      </c>
      <c r="F926">
        <f>IF($A926="","",IF(AND(LEN($B926)=11,SUMPRODUCT(--ISNUMBER(FIND(MID($B926,{1,2,3},1),"ABCDEFGHIJKLMNOPQRSTUVWXYZ")))=3,ISNUMBER(FIND(MID($B926,4,1),"UJZ")),SUMPRODUCT(--ISNUMBER(FIND(MID($B926,{5,6,7,8,9,10,11},1),"0123456789")))=7),1,0))</f>
        <v/>
      </c>
      <c r="G926">
        <f>IF($F926=1,INDEX({10,12,13,14,15,16,17,18,19,20,21,23,24,25,26,27,28,29,30,31,32,34,35,36,37,38},1,FIND(MID($B926,1,1),"ABCDEFGHIJKLMNOPQRSTUVWXYZ")),"")</f>
        <v/>
      </c>
      <c r="H926">
        <f>IF($F926=1,INDEX({10,12,13,14,15,16,17,18,19,20,21,23,24,25,26,27,28,29,30,31,32,34,35,36,37,38},1,FIND(MID($B926,2,1),"ABCDEFGHIJKLMNOPQRSTUVWXYZ")),"")</f>
        <v/>
      </c>
      <c r="I926">
        <f>IF($F926=1,INDEX({10,12,13,14,15,16,17,18,19,20,21,23,24,25,26,27,28,29,30,31,32,34,35,36,37,38},1,FIND(MID($B926,3,1),"ABCDEFGHIJKLMNOPQRSTUVWXYZ")),"")</f>
        <v/>
      </c>
      <c r="J926">
        <f>IF($F926=1,INDEX({10,12,13,14,15,16,17,18,19,20,21,23,24,25,26,27,28,29,30,31,32,34,35,36,37,38},1,FIND(MID($B926,4,1),"ABCDEFGHIJKLMNOPQRSTUVWXYZ")),"")</f>
        <v/>
      </c>
      <c r="K926">
        <f>IF($F926=1,FIND(MID($B926,5,1),"0123456789")-1,"")</f>
        <v/>
      </c>
      <c r="L926">
        <f>IF($F926=1,FIND(MID($B926,6,1),"0123456789")-1,"")</f>
        <v/>
      </c>
      <c r="M926">
        <f>IF($F926=1,FIND(MID($B926,7,1),"0123456789")-1,"")</f>
        <v/>
      </c>
      <c r="N926">
        <f>IF($F926=1,FIND(MID($B926,8,1),"0123456789")-1,"")</f>
        <v/>
      </c>
      <c r="O926">
        <f>IF($F926=1,FIND(MID($B926,9,1),"0123456789")-1,"")</f>
        <v/>
      </c>
      <c r="P926">
        <f>IF($F926=1,FIND(MID($B926,10,1),"0123456789")-1,"")</f>
        <v/>
      </c>
      <c r="Q926">
        <f>IF($F926=1,SUMPRODUCT($G926:$P926,{1,2,4,8,16,32,64,128,256,512}),"")</f>
        <v/>
      </c>
      <c r="R926">
        <f>IF($F926=1,MOD(MOD($Q926,11),10),"")</f>
        <v/>
      </c>
    </row>
    <row r="927">
      <c r="A927" s="6" t="n"/>
      <c r="B927" s="7">
        <f>IF($A927="","",UPPER(SUBSTITUTE(SUBSTITUTE(SUBSTITUTE(SUBSTITUTE(SUBSTITUTE(SUBSTITUTE($A927," ",""),"-",""),".",""),"/",""),"i","I"),"ı","?")))</f>
        <v/>
      </c>
      <c r="C927" s="8">
        <f>IF($F927=1,$R927,"")</f>
        <v/>
      </c>
      <c r="D927" s="7">
        <f>IF($A927="","",IF($F927=0,"Biçim hatalı",IF(FIND(MID($B927,11,1),"0123456789")-1=$R927,"Geçerli","Kontrol hanesi hatalı (doğrusu: "&amp;$R927&amp;")")))</f>
        <v/>
      </c>
      <c r="F927">
        <f>IF($A927="","",IF(AND(LEN($B927)=11,SUMPRODUCT(--ISNUMBER(FIND(MID($B927,{1,2,3},1),"ABCDEFGHIJKLMNOPQRSTUVWXYZ")))=3,ISNUMBER(FIND(MID($B927,4,1),"UJZ")),SUMPRODUCT(--ISNUMBER(FIND(MID($B927,{5,6,7,8,9,10,11},1),"0123456789")))=7),1,0))</f>
        <v/>
      </c>
      <c r="G927">
        <f>IF($F927=1,INDEX({10,12,13,14,15,16,17,18,19,20,21,23,24,25,26,27,28,29,30,31,32,34,35,36,37,38},1,FIND(MID($B927,1,1),"ABCDEFGHIJKLMNOPQRSTUVWXYZ")),"")</f>
        <v/>
      </c>
      <c r="H927">
        <f>IF($F927=1,INDEX({10,12,13,14,15,16,17,18,19,20,21,23,24,25,26,27,28,29,30,31,32,34,35,36,37,38},1,FIND(MID($B927,2,1),"ABCDEFGHIJKLMNOPQRSTUVWXYZ")),"")</f>
        <v/>
      </c>
      <c r="I927">
        <f>IF($F927=1,INDEX({10,12,13,14,15,16,17,18,19,20,21,23,24,25,26,27,28,29,30,31,32,34,35,36,37,38},1,FIND(MID($B927,3,1),"ABCDEFGHIJKLMNOPQRSTUVWXYZ")),"")</f>
        <v/>
      </c>
      <c r="J927">
        <f>IF($F927=1,INDEX({10,12,13,14,15,16,17,18,19,20,21,23,24,25,26,27,28,29,30,31,32,34,35,36,37,38},1,FIND(MID($B927,4,1),"ABCDEFGHIJKLMNOPQRSTUVWXYZ")),"")</f>
        <v/>
      </c>
      <c r="K927">
        <f>IF($F927=1,FIND(MID($B927,5,1),"0123456789")-1,"")</f>
        <v/>
      </c>
      <c r="L927">
        <f>IF($F927=1,FIND(MID($B927,6,1),"0123456789")-1,"")</f>
        <v/>
      </c>
      <c r="M927">
        <f>IF($F927=1,FIND(MID($B927,7,1),"0123456789")-1,"")</f>
        <v/>
      </c>
      <c r="N927">
        <f>IF($F927=1,FIND(MID($B927,8,1),"0123456789")-1,"")</f>
        <v/>
      </c>
      <c r="O927">
        <f>IF($F927=1,FIND(MID($B927,9,1),"0123456789")-1,"")</f>
        <v/>
      </c>
      <c r="P927">
        <f>IF($F927=1,FIND(MID($B927,10,1),"0123456789")-1,"")</f>
        <v/>
      </c>
      <c r="Q927">
        <f>IF($F927=1,SUMPRODUCT($G927:$P927,{1,2,4,8,16,32,64,128,256,512}),"")</f>
        <v/>
      </c>
      <c r="R927">
        <f>IF($F927=1,MOD(MOD($Q927,11),10),"")</f>
        <v/>
      </c>
    </row>
    <row r="928">
      <c r="A928" s="6" t="n"/>
      <c r="B928" s="7">
        <f>IF($A928="","",UPPER(SUBSTITUTE(SUBSTITUTE(SUBSTITUTE(SUBSTITUTE(SUBSTITUTE(SUBSTITUTE($A928," ",""),"-",""),".",""),"/",""),"i","I"),"ı","?")))</f>
        <v/>
      </c>
      <c r="C928" s="8">
        <f>IF($F928=1,$R928,"")</f>
        <v/>
      </c>
      <c r="D928" s="7">
        <f>IF($A928="","",IF($F928=0,"Biçim hatalı",IF(FIND(MID($B928,11,1),"0123456789")-1=$R928,"Geçerli","Kontrol hanesi hatalı (doğrusu: "&amp;$R928&amp;")")))</f>
        <v/>
      </c>
      <c r="F928">
        <f>IF($A928="","",IF(AND(LEN($B928)=11,SUMPRODUCT(--ISNUMBER(FIND(MID($B928,{1,2,3},1),"ABCDEFGHIJKLMNOPQRSTUVWXYZ")))=3,ISNUMBER(FIND(MID($B928,4,1),"UJZ")),SUMPRODUCT(--ISNUMBER(FIND(MID($B928,{5,6,7,8,9,10,11},1),"0123456789")))=7),1,0))</f>
        <v/>
      </c>
      <c r="G928">
        <f>IF($F928=1,INDEX({10,12,13,14,15,16,17,18,19,20,21,23,24,25,26,27,28,29,30,31,32,34,35,36,37,38},1,FIND(MID($B928,1,1),"ABCDEFGHIJKLMNOPQRSTUVWXYZ")),"")</f>
        <v/>
      </c>
      <c r="H928">
        <f>IF($F928=1,INDEX({10,12,13,14,15,16,17,18,19,20,21,23,24,25,26,27,28,29,30,31,32,34,35,36,37,38},1,FIND(MID($B928,2,1),"ABCDEFGHIJKLMNOPQRSTUVWXYZ")),"")</f>
        <v/>
      </c>
      <c r="I928">
        <f>IF($F928=1,INDEX({10,12,13,14,15,16,17,18,19,20,21,23,24,25,26,27,28,29,30,31,32,34,35,36,37,38},1,FIND(MID($B928,3,1),"ABCDEFGHIJKLMNOPQRSTUVWXYZ")),"")</f>
        <v/>
      </c>
      <c r="J928">
        <f>IF($F928=1,INDEX({10,12,13,14,15,16,17,18,19,20,21,23,24,25,26,27,28,29,30,31,32,34,35,36,37,38},1,FIND(MID($B928,4,1),"ABCDEFGHIJKLMNOPQRSTUVWXYZ")),"")</f>
        <v/>
      </c>
      <c r="K928">
        <f>IF($F928=1,FIND(MID($B928,5,1),"0123456789")-1,"")</f>
        <v/>
      </c>
      <c r="L928">
        <f>IF($F928=1,FIND(MID($B928,6,1),"0123456789")-1,"")</f>
        <v/>
      </c>
      <c r="M928">
        <f>IF($F928=1,FIND(MID($B928,7,1),"0123456789")-1,"")</f>
        <v/>
      </c>
      <c r="N928">
        <f>IF($F928=1,FIND(MID($B928,8,1),"0123456789")-1,"")</f>
        <v/>
      </c>
      <c r="O928">
        <f>IF($F928=1,FIND(MID($B928,9,1),"0123456789")-1,"")</f>
        <v/>
      </c>
      <c r="P928">
        <f>IF($F928=1,FIND(MID($B928,10,1),"0123456789")-1,"")</f>
        <v/>
      </c>
      <c r="Q928">
        <f>IF($F928=1,SUMPRODUCT($G928:$P928,{1,2,4,8,16,32,64,128,256,512}),"")</f>
        <v/>
      </c>
      <c r="R928">
        <f>IF($F928=1,MOD(MOD($Q928,11),10),"")</f>
        <v/>
      </c>
    </row>
    <row r="929">
      <c r="A929" s="6" t="n"/>
      <c r="B929" s="7">
        <f>IF($A929="","",UPPER(SUBSTITUTE(SUBSTITUTE(SUBSTITUTE(SUBSTITUTE(SUBSTITUTE(SUBSTITUTE($A929," ",""),"-",""),".",""),"/",""),"i","I"),"ı","?")))</f>
        <v/>
      </c>
      <c r="C929" s="8">
        <f>IF($F929=1,$R929,"")</f>
        <v/>
      </c>
      <c r="D929" s="7">
        <f>IF($A929="","",IF($F929=0,"Biçim hatalı",IF(FIND(MID($B929,11,1),"0123456789")-1=$R929,"Geçerli","Kontrol hanesi hatalı (doğrusu: "&amp;$R929&amp;")")))</f>
        <v/>
      </c>
      <c r="F929">
        <f>IF($A929="","",IF(AND(LEN($B929)=11,SUMPRODUCT(--ISNUMBER(FIND(MID($B929,{1,2,3},1),"ABCDEFGHIJKLMNOPQRSTUVWXYZ")))=3,ISNUMBER(FIND(MID($B929,4,1),"UJZ")),SUMPRODUCT(--ISNUMBER(FIND(MID($B929,{5,6,7,8,9,10,11},1),"0123456789")))=7),1,0))</f>
        <v/>
      </c>
      <c r="G929">
        <f>IF($F929=1,INDEX({10,12,13,14,15,16,17,18,19,20,21,23,24,25,26,27,28,29,30,31,32,34,35,36,37,38},1,FIND(MID($B929,1,1),"ABCDEFGHIJKLMNOPQRSTUVWXYZ")),"")</f>
        <v/>
      </c>
      <c r="H929">
        <f>IF($F929=1,INDEX({10,12,13,14,15,16,17,18,19,20,21,23,24,25,26,27,28,29,30,31,32,34,35,36,37,38},1,FIND(MID($B929,2,1),"ABCDEFGHIJKLMNOPQRSTUVWXYZ")),"")</f>
        <v/>
      </c>
      <c r="I929">
        <f>IF($F929=1,INDEX({10,12,13,14,15,16,17,18,19,20,21,23,24,25,26,27,28,29,30,31,32,34,35,36,37,38},1,FIND(MID($B929,3,1),"ABCDEFGHIJKLMNOPQRSTUVWXYZ")),"")</f>
        <v/>
      </c>
      <c r="J929">
        <f>IF($F929=1,INDEX({10,12,13,14,15,16,17,18,19,20,21,23,24,25,26,27,28,29,30,31,32,34,35,36,37,38},1,FIND(MID($B929,4,1),"ABCDEFGHIJKLMNOPQRSTUVWXYZ")),"")</f>
        <v/>
      </c>
      <c r="K929">
        <f>IF($F929=1,FIND(MID($B929,5,1),"0123456789")-1,"")</f>
        <v/>
      </c>
      <c r="L929">
        <f>IF($F929=1,FIND(MID($B929,6,1),"0123456789")-1,"")</f>
        <v/>
      </c>
      <c r="M929">
        <f>IF($F929=1,FIND(MID($B929,7,1),"0123456789")-1,"")</f>
        <v/>
      </c>
      <c r="N929">
        <f>IF($F929=1,FIND(MID($B929,8,1),"0123456789")-1,"")</f>
        <v/>
      </c>
      <c r="O929">
        <f>IF($F929=1,FIND(MID($B929,9,1),"0123456789")-1,"")</f>
        <v/>
      </c>
      <c r="P929">
        <f>IF($F929=1,FIND(MID($B929,10,1),"0123456789")-1,"")</f>
        <v/>
      </c>
      <c r="Q929">
        <f>IF($F929=1,SUMPRODUCT($G929:$P929,{1,2,4,8,16,32,64,128,256,512}),"")</f>
        <v/>
      </c>
      <c r="R929">
        <f>IF($F929=1,MOD(MOD($Q929,11),10),"")</f>
        <v/>
      </c>
    </row>
    <row r="930">
      <c r="A930" s="6" t="n"/>
      <c r="B930" s="7">
        <f>IF($A930="","",UPPER(SUBSTITUTE(SUBSTITUTE(SUBSTITUTE(SUBSTITUTE(SUBSTITUTE(SUBSTITUTE($A930," ",""),"-",""),".",""),"/",""),"i","I"),"ı","?")))</f>
        <v/>
      </c>
      <c r="C930" s="8">
        <f>IF($F930=1,$R930,"")</f>
        <v/>
      </c>
      <c r="D930" s="7">
        <f>IF($A930="","",IF($F930=0,"Biçim hatalı",IF(FIND(MID($B930,11,1),"0123456789")-1=$R930,"Geçerli","Kontrol hanesi hatalı (doğrusu: "&amp;$R930&amp;")")))</f>
        <v/>
      </c>
      <c r="F930">
        <f>IF($A930="","",IF(AND(LEN($B930)=11,SUMPRODUCT(--ISNUMBER(FIND(MID($B930,{1,2,3},1),"ABCDEFGHIJKLMNOPQRSTUVWXYZ")))=3,ISNUMBER(FIND(MID($B930,4,1),"UJZ")),SUMPRODUCT(--ISNUMBER(FIND(MID($B930,{5,6,7,8,9,10,11},1),"0123456789")))=7),1,0))</f>
        <v/>
      </c>
      <c r="G930">
        <f>IF($F930=1,INDEX({10,12,13,14,15,16,17,18,19,20,21,23,24,25,26,27,28,29,30,31,32,34,35,36,37,38},1,FIND(MID($B930,1,1),"ABCDEFGHIJKLMNOPQRSTUVWXYZ")),"")</f>
        <v/>
      </c>
      <c r="H930">
        <f>IF($F930=1,INDEX({10,12,13,14,15,16,17,18,19,20,21,23,24,25,26,27,28,29,30,31,32,34,35,36,37,38},1,FIND(MID($B930,2,1),"ABCDEFGHIJKLMNOPQRSTUVWXYZ")),"")</f>
        <v/>
      </c>
      <c r="I930">
        <f>IF($F930=1,INDEX({10,12,13,14,15,16,17,18,19,20,21,23,24,25,26,27,28,29,30,31,32,34,35,36,37,38},1,FIND(MID($B930,3,1),"ABCDEFGHIJKLMNOPQRSTUVWXYZ")),"")</f>
        <v/>
      </c>
      <c r="J930">
        <f>IF($F930=1,INDEX({10,12,13,14,15,16,17,18,19,20,21,23,24,25,26,27,28,29,30,31,32,34,35,36,37,38},1,FIND(MID($B930,4,1),"ABCDEFGHIJKLMNOPQRSTUVWXYZ")),"")</f>
        <v/>
      </c>
      <c r="K930">
        <f>IF($F930=1,FIND(MID($B930,5,1),"0123456789")-1,"")</f>
        <v/>
      </c>
      <c r="L930">
        <f>IF($F930=1,FIND(MID($B930,6,1),"0123456789")-1,"")</f>
        <v/>
      </c>
      <c r="M930">
        <f>IF($F930=1,FIND(MID($B930,7,1),"0123456789")-1,"")</f>
        <v/>
      </c>
      <c r="N930">
        <f>IF($F930=1,FIND(MID($B930,8,1),"0123456789")-1,"")</f>
        <v/>
      </c>
      <c r="O930">
        <f>IF($F930=1,FIND(MID($B930,9,1),"0123456789")-1,"")</f>
        <v/>
      </c>
      <c r="P930">
        <f>IF($F930=1,FIND(MID($B930,10,1),"0123456789")-1,"")</f>
        <v/>
      </c>
      <c r="Q930">
        <f>IF($F930=1,SUMPRODUCT($G930:$P930,{1,2,4,8,16,32,64,128,256,512}),"")</f>
        <v/>
      </c>
      <c r="R930">
        <f>IF($F930=1,MOD(MOD($Q930,11),10),"")</f>
        <v/>
      </c>
    </row>
    <row r="931">
      <c r="A931" s="6" t="n"/>
      <c r="B931" s="7">
        <f>IF($A931="","",UPPER(SUBSTITUTE(SUBSTITUTE(SUBSTITUTE(SUBSTITUTE(SUBSTITUTE(SUBSTITUTE($A931," ",""),"-",""),".",""),"/",""),"i","I"),"ı","?")))</f>
        <v/>
      </c>
      <c r="C931" s="8">
        <f>IF($F931=1,$R931,"")</f>
        <v/>
      </c>
      <c r="D931" s="7">
        <f>IF($A931="","",IF($F931=0,"Biçim hatalı",IF(FIND(MID($B931,11,1),"0123456789")-1=$R931,"Geçerli","Kontrol hanesi hatalı (doğrusu: "&amp;$R931&amp;")")))</f>
        <v/>
      </c>
      <c r="F931">
        <f>IF($A931="","",IF(AND(LEN($B931)=11,SUMPRODUCT(--ISNUMBER(FIND(MID($B931,{1,2,3},1),"ABCDEFGHIJKLMNOPQRSTUVWXYZ")))=3,ISNUMBER(FIND(MID($B931,4,1),"UJZ")),SUMPRODUCT(--ISNUMBER(FIND(MID($B931,{5,6,7,8,9,10,11},1),"0123456789")))=7),1,0))</f>
        <v/>
      </c>
      <c r="G931">
        <f>IF($F931=1,INDEX({10,12,13,14,15,16,17,18,19,20,21,23,24,25,26,27,28,29,30,31,32,34,35,36,37,38},1,FIND(MID($B931,1,1),"ABCDEFGHIJKLMNOPQRSTUVWXYZ")),"")</f>
        <v/>
      </c>
      <c r="H931">
        <f>IF($F931=1,INDEX({10,12,13,14,15,16,17,18,19,20,21,23,24,25,26,27,28,29,30,31,32,34,35,36,37,38},1,FIND(MID($B931,2,1),"ABCDEFGHIJKLMNOPQRSTUVWXYZ")),"")</f>
        <v/>
      </c>
      <c r="I931">
        <f>IF($F931=1,INDEX({10,12,13,14,15,16,17,18,19,20,21,23,24,25,26,27,28,29,30,31,32,34,35,36,37,38},1,FIND(MID($B931,3,1),"ABCDEFGHIJKLMNOPQRSTUVWXYZ")),"")</f>
        <v/>
      </c>
      <c r="J931">
        <f>IF($F931=1,INDEX({10,12,13,14,15,16,17,18,19,20,21,23,24,25,26,27,28,29,30,31,32,34,35,36,37,38},1,FIND(MID($B931,4,1),"ABCDEFGHIJKLMNOPQRSTUVWXYZ")),"")</f>
        <v/>
      </c>
      <c r="K931">
        <f>IF($F931=1,FIND(MID($B931,5,1),"0123456789")-1,"")</f>
        <v/>
      </c>
      <c r="L931">
        <f>IF($F931=1,FIND(MID($B931,6,1),"0123456789")-1,"")</f>
        <v/>
      </c>
      <c r="M931">
        <f>IF($F931=1,FIND(MID($B931,7,1),"0123456789")-1,"")</f>
        <v/>
      </c>
      <c r="N931">
        <f>IF($F931=1,FIND(MID($B931,8,1),"0123456789")-1,"")</f>
        <v/>
      </c>
      <c r="O931">
        <f>IF($F931=1,FIND(MID($B931,9,1),"0123456789")-1,"")</f>
        <v/>
      </c>
      <c r="P931">
        <f>IF($F931=1,FIND(MID($B931,10,1),"0123456789")-1,"")</f>
        <v/>
      </c>
      <c r="Q931">
        <f>IF($F931=1,SUMPRODUCT($G931:$P931,{1,2,4,8,16,32,64,128,256,512}),"")</f>
        <v/>
      </c>
      <c r="R931">
        <f>IF($F931=1,MOD(MOD($Q931,11),10),"")</f>
        <v/>
      </c>
    </row>
    <row r="932">
      <c r="A932" s="6" t="n"/>
      <c r="B932" s="7">
        <f>IF($A932="","",UPPER(SUBSTITUTE(SUBSTITUTE(SUBSTITUTE(SUBSTITUTE(SUBSTITUTE(SUBSTITUTE($A932," ",""),"-",""),".",""),"/",""),"i","I"),"ı","?")))</f>
        <v/>
      </c>
      <c r="C932" s="8">
        <f>IF($F932=1,$R932,"")</f>
        <v/>
      </c>
      <c r="D932" s="7">
        <f>IF($A932="","",IF($F932=0,"Biçim hatalı",IF(FIND(MID($B932,11,1),"0123456789")-1=$R932,"Geçerli","Kontrol hanesi hatalı (doğrusu: "&amp;$R932&amp;")")))</f>
        <v/>
      </c>
      <c r="F932">
        <f>IF($A932="","",IF(AND(LEN($B932)=11,SUMPRODUCT(--ISNUMBER(FIND(MID($B932,{1,2,3},1),"ABCDEFGHIJKLMNOPQRSTUVWXYZ")))=3,ISNUMBER(FIND(MID($B932,4,1),"UJZ")),SUMPRODUCT(--ISNUMBER(FIND(MID($B932,{5,6,7,8,9,10,11},1),"0123456789")))=7),1,0))</f>
        <v/>
      </c>
      <c r="G932">
        <f>IF($F932=1,INDEX({10,12,13,14,15,16,17,18,19,20,21,23,24,25,26,27,28,29,30,31,32,34,35,36,37,38},1,FIND(MID($B932,1,1),"ABCDEFGHIJKLMNOPQRSTUVWXYZ")),"")</f>
        <v/>
      </c>
      <c r="H932">
        <f>IF($F932=1,INDEX({10,12,13,14,15,16,17,18,19,20,21,23,24,25,26,27,28,29,30,31,32,34,35,36,37,38},1,FIND(MID($B932,2,1),"ABCDEFGHIJKLMNOPQRSTUVWXYZ")),"")</f>
        <v/>
      </c>
      <c r="I932">
        <f>IF($F932=1,INDEX({10,12,13,14,15,16,17,18,19,20,21,23,24,25,26,27,28,29,30,31,32,34,35,36,37,38},1,FIND(MID($B932,3,1),"ABCDEFGHIJKLMNOPQRSTUVWXYZ")),"")</f>
        <v/>
      </c>
      <c r="J932">
        <f>IF($F932=1,INDEX({10,12,13,14,15,16,17,18,19,20,21,23,24,25,26,27,28,29,30,31,32,34,35,36,37,38},1,FIND(MID($B932,4,1),"ABCDEFGHIJKLMNOPQRSTUVWXYZ")),"")</f>
        <v/>
      </c>
      <c r="K932">
        <f>IF($F932=1,FIND(MID($B932,5,1),"0123456789")-1,"")</f>
        <v/>
      </c>
      <c r="L932">
        <f>IF($F932=1,FIND(MID($B932,6,1),"0123456789")-1,"")</f>
        <v/>
      </c>
      <c r="M932">
        <f>IF($F932=1,FIND(MID($B932,7,1),"0123456789")-1,"")</f>
        <v/>
      </c>
      <c r="N932">
        <f>IF($F932=1,FIND(MID($B932,8,1),"0123456789")-1,"")</f>
        <v/>
      </c>
      <c r="O932">
        <f>IF($F932=1,FIND(MID($B932,9,1),"0123456789")-1,"")</f>
        <v/>
      </c>
      <c r="P932">
        <f>IF($F932=1,FIND(MID($B932,10,1),"0123456789")-1,"")</f>
        <v/>
      </c>
      <c r="Q932">
        <f>IF($F932=1,SUMPRODUCT($G932:$P932,{1,2,4,8,16,32,64,128,256,512}),"")</f>
        <v/>
      </c>
      <c r="R932">
        <f>IF($F932=1,MOD(MOD($Q932,11),10),"")</f>
        <v/>
      </c>
    </row>
    <row r="933">
      <c r="A933" s="6" t="n"/>
      <c r="B933" s="7">
        <f>IF($A933="","",UPPER(SUBSTITUTE(SUBSTITUTE(SUBSTITUTE(SUBSTITUTE(SUBSTITUTE(SUBSTITUTE($A933," ",""),"-",""),".",""),"/",""),"i","I"),"ı","?")))</f>
        <v/>
      </c>
      <c r="C933" s="8">
        <f>IF($F933=1,$R933,"")</f>
        <v/>
      </c>
      <c r="D933" s="7">
        <f>IF($A933="","",IF($F933=0,"Biçim hatalı",IF(FIND(MID($B933,11,1),"0123456789")-1=$R933,"Geçerli","Kontrol hanesi hatalı (doğrusu: "&amp;$R933&amp;")")))</f>
        <v/>
      </c>
      <c r="F933">
        <f>IF($A933="","",IF(AND(LEN($B933)=11,SUMPRODUCT(--ISNUMBER(FIND(MID($B933,{1,2,3},1),"ABCDEFGHIJKLMNOPQRSTUVWXYZ")))=3,ISNUMBER(FIND(MID($B933,4,1),"UJZ")),SUMPRODUCT(--ISNUMBER(FIND(MID($B933,{5,6,7,8,9,10,11},1),"0123456789")))=7),1,0))</f>
        <v/>
      </c>
      <c r="G933">
        <f>IF($F933=1,INDEX({10,12,13,14,15,16,17,18,19,20,21,23,24,25,26,27,28,29,30,31,32,34,35,36,37,38},1,FIND(MID($B933,1,1),"ABCDEFGHIJKLMNOPQRSTUVWXYZ")),"")</f>
        <v/>
      </c>
      <c r="H933">
        <f>IF($F933=1,INDEX({10,12,13,14,15,16,17,18,19,20,21,23,24,25,26,27,28,29,30,31,32,34,35,36,37,38},1,FIND(MID($B933,2,1),"ABCDEFGHIJKLMNOPQRSTUVWXYZ")),"")</f>
        <v/>
      </c>
      <c r="I933">
        <f>IF($F933=1,INDEX({10,12,13,14,15,16,17,18,19,20,21,23,24,25,26,27,28,29,30,31,32,34,35,36,37,38},1,FIND(MID($B933,3,1),"ABCDEFGHIJKLMNOPQRSTUVWXYZ")),"")</f>
        <v/>
      </c>
      <c r="J933">
        <f>IF($F933=1,INDEX({10,12,13,14,15,16,17,18,19,20,21,23,24,25,26,27,28,29,30,31,32,34,35,36,37,38},1,FIND(MID($B933,4,1),"ABCDEFGHIJKLMNOPQRSTUVWXYZ")),"")</f>
        <v/>
      </c>
      <c r="K933">
        <f>IF($F933=1,FIND(MID($B933,5,1),"0123456789")-1,"")</f>
        <v/>
      </c>
      <c r="L933">
        <f>IF($F933=1,FIND(MID($B933,6,1),"0123456789")-1,"")</f>
        <v/>
      </c>
      <c r="M933">
        <f>IF($F933=1,FIND(MID($B933,7,1),"0123456789")-1,"")</f>
        <v/>
      </c>
      <c r="N933">
        <f>IF($F933=1,FIND(MID($B933,8,1),"0123456789")-1,"")</f>
        <v/>
      </c>
      <c r="O933">
        <f>IF($F933=1,FIND(MID($B933,9,1),"0123456789")-1,"")</f>
        <v/>
      </c>
      <c r="P933">
        <f>IF($F933=1,FIND(MID($B933,10,1),"0123456789")-1,"")</f>
        <v/>
      </c>
      <c r="Q933">
        <f>IF($F933=1,SUMPRODUCT($G933:$P933,{1,2,4,8,16,32,64,128,256,512}),"")</f>
        <v/>
      </c>
      <c r="R933">
        <f>IF($F933=1,MOD(MOD($Q933,11),10),"")</f>
        <v/>
      </c>
    </row>
    <row r="934">
      <c r="A934" s="6" t="n"/>
      <c r="B934" s="7">
        <f>IF($A934="","",UPPER(SUBSTITUTE(SUBSTITUTE(SUBSTITUTE(SUBSTITUTE(SUBSTITUTE(SUBSTITUTE($A934," ",""),"-",""),".",""),"/",""),"i","I"),"ı","?")))</f>
        <v/>
      </c>
      <c r="C934" s="8">
        <f>IF($F934=1,$R934,"")</f>
        <v/>
      </c>
      <c r="D934" s="7">
        <f>IF($A934="","",IF($F934=0,"Biçim hatalı",IF(FIND(MID($B934,11,1),"0123456789")-1=$R934,"Geçerli","Kontrol hanesi hatalı (doğrusu: "&amp;$R934&amp;")")))</f>
        <v/>
      </c>
      <c r="F934">
        <f>IF($A934="","",IF(AND(LEN($B934)=11,SUMPRODUCT(--ISNUMBER(FIND(MID($B934,{1,2,3},1),"ABCDEFGHIJKLMNOPQRSTUVWXYZ")))=3,ISNUMBER(FIND(MID($B934,4,1),"UJZ")),SUMPRODUCT(--ISNUMBER(FIND(MID($B934,{5,6,7,8,9,10,11},1),"0123456789")))=7),1,0))</f>
        <v/>
      </c>
      <c r="G934">
        <f>IF($F934=1,INDEX({10,12,13,14,15,16,17,18,19,20,21,23,24,25,26,27,28,29,30,31,32,34,35,36,37,38},1,FIND(MID($B934,1,1),"ABCDEFGHIJKLMNOPQRSTUVWXYZ")),"")</f>
        <v/>
      </c>
      <c r="H934">
        <f>IF($F934=1,INDEX({10,12,13,14,15,16,17,18,19,20,21,23,24,25,26,27,28,29,30,31,32,34,35,36,37,38},1,FIND(MID($B934,2,1),"ABCDEFGHIJKLMNOPQRSTUVWXYZ")),"")</f>
        <v/>
      </c>
      <c r="I934">
        <f>IF($F934=1,INDEX({10,12,13,14,15,16,17,18,19,20,21,23,24,25,26,27,28,29,30,31,32,34,35,36,37,38},1,FIND(MID($B934,3,1),"ABCDEFGHIJKLMNOPQRSTUVWXYZ")),"")</f>
        <v/>
      </c>
      <c r="J934">
        <f>IF($F934=1,INDEX({10,12,13,14,15,16,17,18,19,20,21,23,24,25,26,27,28,29,30,31,32,34,35,36,37,38},1,FIND(MID($B934,4,1),"ABCDEFGHIJKLMNOPQRSTUVWXYZ")),"")</f>
        <v/>
      </c>
      <c r="K934">
        <f>IF($F934=1,FIND(MID($B934,5,1),"0123456789")-1,"")</f>
        <v/>
      </c>
      <c r="L934">
        <f>IF($F934=1,FIND(MID($B934,6,1),"0123456789")-1,"")</f>
        <v/>
      </c>
      <c r="M934">
        <f>IF($F934=1,FIND(MID($B934,7,1),"0123456789")-1,"")</f>
        <v/>
      </c>
      <c r="N934">
        <f>IF($F934=1,FIND(MID($B934,8,1),"0123456789")-1,"")</f>
        <v/>
      </c>
      <c r="O934">
        <f>IF($F934=1,FIND(MID($B934,9,1),"0123456789")-1,"")</f>
        <v/>
      </c>
      <c r="P934">
        <f>IF($F934=1,FIND(MID($B934,10,1),"0123456789")-1,"")</f>
        <v/>
      </c>
      <c r="Q934">
        <f>IF($F934=1,SUMPRODUCT($G934:$P934,{1,2,4,8,16,32,64,128,256,512}),"")</f>
        <v/>
      </c>
      <c r="R934">
        <f>IF($F934=1,MOD(MOD($Q934,11),10),"")</f>
        <v/>
      </c>
    </row>
    <row r="935">
      <c r="A935" s="6" t="n"/>
      <c r="B935" s="7">
        <f>IF($A935="","",UPPER(SUBSTITUTE(SUBSTITUTE(SUBSTITUTE(SUBSTITUTE(SUBSTITUTE(SUBSTITUTE($A935," ",""),"-",""),".",""),"/",""),"i","I"),"ı","?")))</f>
        <v/>
      </c>
      <c r="C935" s="8">
        <f>IF($F935=1,$R935,"")</f>
        <v/>
      </c>
      <c r="D935" s="7">
        <f>IF($A935="","",IF($F935=0,"Biçim hatalı",IF(FIND(MID($B935,11,1),"0123456789")-1=$R935,"Geçerli","Kontrol hanesi hatalı (doğrusu: "&amp;$R935&amp;")")))</f>
        <v/>
      </c>
      <c r="F935">
        <f>IF($A935="","",IF(AND(LEN($B935)=11,SUMPRODUCT(--ISNUMBER(FIND(MID($B935,{1,2,3},1),"ABCDEFGHIJKLMNOPQRSTUVWXYZ")))=3,ISNUMBER(FIND(MID($B935,4,1),"UJZ")),SUMPRODUCT(--ISNUMBER(FIND(MID($B935,{5,6,7,8,9,10,11},1),"0123456789")))=7),1,0))</f>
        <v/>
      </c>
      <c r="G935">
        <f>IF($F935=1,INDEX({10,12,13,14,15,16,17,18,19,20,21,23,24,25,26,27,28,29,30,31,32,34,35,36,37,38},1,FIND(MID($B935,1,1),"ABCDEFGHIJKLMNOPQRSTUVWXYZ")),"")</f>
        <v/>
      </c>
      <c r="H935">
        <f>IF($F935=1,INDEX({10,12,13,14,15,16,17,18,19,20,21,23,24,25,26,27,28,29,30,31,32,34,35,36,37,38},1,FIND(MID($B935,2,1),"ABCDEFGHIJKLMNOPQRSTUVWXYZ")),"")</f>
        <v/>
      </c>
      <c r="I935">
        <f>IF($F935=1,INDEX({10,12,13,14,15,16,17,18,19,20,21,23,24,25,26,27,28,29,30,31,32,34,35,36,37,38},1,FIND(MID($B935,3,1),"ABCDEFGHIJKLMNOPQRSTUVWXYZ")),"")</f>
        <v/>
      </c>
      <c r="J935">
        <f>IF($F935=1,INDEX({10,12,13,14,15,16,17,18,19,20,21,23,24,25,26,27,28,29,30,31,32,34,35,36,37,38},1,FIND(MID($B935,4,1),"ABCDEFGHIJKLMNOPQRSTUVWXYZ")),"")</f>
        <v/>
      </c>
      <c r="K935">
        <f>IF($F935=1,FIND(MID($B935,5,1),"0123456789")-1,"")</f>
        <v/>
      </c>
      <c r="L935">
        <f>IF($F935=1,FIND(MID($B935,6,1),"0123456789")-1,"")</f>
        <v/>
      </c>
      <c r="M935">
        <f>IF($F935=1,FIND(MID($B935,7,1),"0123456789")-1,"")</f>
        <v/>
      </c>
      <c r="N935">
        <f>IF($F935=1,FIND(MID($B935,8,1),"0123456789")-1,"")</f>
        <v/>
      </c>
      <c r="O935">
        <f>IF($F935=1,FIND(MID($B935,9,1),"0123456789")-1,"")</f>
        <v/>
      </c>
      <c r="P935">
        <f>IF($F935=1,FIND(MID($B935,10,1),"0123456789")-1,"")</f>
        <v/>
      </c>
      <c r="Q935">
        <f>IF($F935=1,SUMPRODUCT($G935:$P935,{1,2,4,8,16,32,64,128,256,512}),"")</f>
        <v/>
      </c>
      <c r="R935">
        <f>IF($F935=1,MOD(MOD($Q935,11),10),"")</f>
        <v/>
      </c>
    </row>
    <row r="936">
      <c r="A936" s="6" t="n"/>
      <c r="B936" s="7">
        <f>IF($A936="","",UPPER(SUBSTITUTE(SUBSTITUTE(SUBSTITUTE(SUBSTITUTE(SUBSTITUTE(SUBSTITUTE($A936," ",""),"-",""),".",""),"/",""),"i","I"),"ı","?")))</f>
        <v/>
      </c>
      <c r="C936" s="8">
        <f>IF($F936=1,$R936,"")</f>
        <v/>
      </c>
      <c r="D936" s="7">
        <f>IF($A936="","",IF($F936=0,"Biçim hatalı",IF(FIND(MID($B936,11,1),"0123456789")-1=$R936,"Geçerli","Kontrol hanesi hatalı (doğrusu: "&amp;$R936&amp;")")))</f>
        <v/>
      </c>
      <c r="F936">
        <f>IF($A936="","",IF(AND(LEN($B936)=11,SUMPRODUCT(--ISNUMBER(FIND(MID($B936,{1,2,3},1),"ABCDEFGHIJKLMNOPQRSTUVWXYZ")))=3,ISNUMBER(FIND(MID($B936,4,1),"UJZ")),SUMPRODUCT(--ISNUMBER(FIND(MID($B936,{5,6,7,8,9,10,11},1),"0123456789")))=7),1,0))</f>
        <v/>
      </c>
      <c r="G936">
        <f>IF($F936=1,INDEX({10,12,13,14,15,16,17,18,19,20,21,23,24,25,26,27,28,29,30,31,32,34,35,36,37,38},1,FIND(MID($B936,1,1),"ABCDEFGHIJKLMNOPQRSTUVWXYZ")),"")</f>
        <v/>
      </c>
      <c r="H936">
        <f>IF($F936=1,INDEX({10,12,13,14,15,16,17,18,19,20,21,23,24,25,26,27,28,29,30,31,32,34,35,36,37,38},1,FIND(MID($B936,2,1),"ABCDEFGHIJKLMNOPQRSTUVWXYZ")),"")</f>
        <v/>
      </c>
      <c r="I936">
        <f>IF($F936=1,INDEX({10,12,13,14,15,16,17,18,19,20,21,23,24,25,26,27,28,29,30,31,32,34,35,36,37,38},1,FIND(MID($B936,3,1),"ABCDEFGHIJKLMNOPQRSTUVWXYZ")),"")</f>
        <v/>
      </c>
      <c r="J936">
        <f>IF($F936=1,INDEX({10,12,13,14,15,16,17,18,19,20,21,23,24,25,26,27,28,29,30,31,32,34,35,36,37,38},1,FIND(MID($B936,4,1),"ABCDEFGHIJKLMNOPQRSTUVWXYZ")),"")</f>
        <v/>
      </c>
      <c r="K936">
        <f>IF($F936=1,FIND(MID($B936,5,1),"0123456789")-1,"")</f>
        <v/>
      </c>
      <c r="L936">
        <f>IF($F936=1,FIND(MID($B936,6,1),"0123456789")-1,"")</f>
        <v/>
      </c>
      <c r="M936">
        <f>IF($F936=1,FIND(MID($B936,7,1),"0123456789")-1,"")</f>
        <v/>
      </c>
      <c r="N936">
        <f>IF($F936=1,FIND(MID($B936,8,1),"0123456789")-1,"")</f>
        <v/>
      </c>
      <c r="O936">
        <f>IF($F936=1,FIND(MID($B936,9,1),"0123456789")-1,"")</f>
        <v/>
      </c>
      <c r="P936">
        <f>IF($F936=1,FIND(MID($B936,10,1),"0123456789")-1,"")</f>
        <v/>
      </c>
      <c r="Q936">
        <f>IF($F936=1,SUMPRODUCT($G936:$P936,{1,2,4,8,16,32,64,128,256,512}),"")</f>
        <v/>
      </c>
      <c r="R936">
        <f>IF($F936=1,MOD(MOD($Q936,11),10),"")</f>
        <v/>
      </c>
    </row>
    <row r="937">
      <c r="A937" s="6" t="n"/>
      <c r="B937" s="7">
        <f>IF($A937="","",UPPER(SUBSTITUTE(SUBSTITUTE(SUBSTITUTE(SUBSTITUTE(SUBSTITUTE(SUBSTITUTE($A937," ",""),"-",""),".",""),"/",""),"i","I"),"ı","?")))</f>
        <v/>
      </c>
      <c r="C937" s="8">
        <f>IF($F937=1,$R937,"")</f>
        <v/>
      </c>
      <c r="D937" s="7">
        <f>IF($A937="","",IF($F937=0,"Biçim hatalı",IF(FIND(MID($B937,11,1),"0123456789")-1=$R937,"Geçerli","Kontrol hanesi hatalı (doğrusu: "&amp;$R937&amp;")")))</f>
        <v/>
      </c>
      <c r="F937">
        <f>IF($A937="","",IF(AND(LEN($B937)=11,SUMPRODUCT(--ISNUMBER(FIND(MID($B937,{1,2,3},1),"ABCDEFGHIJKLMNOPQRSTUVWXYZ")))=3,ISNUMBER(FIND(MID($B937,4,1),"UJZ")),SUMPRODUCT(--ISNUMBER(FIND(MID($B937,{5,6,7,8,9,10,11},1),"0123456789")))=7),1,0))</f>
        <v/>
      </c>
      <c r="G937">
        <f>IF($F937=1,INDEX({10,12,13,14,15,16,17,18,19,20,21,23,24,25,26,27,28,29,30,31,32,34,35,36,37,38},1,FIND(MID($B937,1,1),"ABCDEFGHIJKLMNOPQRSTUVWXYZ")),"")</f>
        <v/>
      </c>
      <c r="H937">
        <f>IF($F937=1,INDEX({10,12,13,14,15,16,17,18,19,20,21,23,24,25,26,27,28,29,30,31,32,34,35,36,37,38},1,FIND(MID($B937,2,1),"ABCDEFGHIJKLMNOPQRSTUVWXYZ")),"")</f>
        <v/>
      </c>
      <c r="I937">
        <f>IF($F937=1,INDEX({10,12,13,14,15,16,17,18,19,20,21,23,24,25,26,27,28,29,30,31,32,34,35,36,37,38},1,FIND(MID($B937,3,1),"ABCDEFGHIJKLMNOPQRSTUVWXYZ")),"")</f>
        <v/>
      </c>
      <c r="J937">
        <f>IF($F937=1,INDEX({10,12,13,14,15,16,17,18,19,20,21,23,24,25,26,27,28,29,30,31,32,34,35,36,37,38},1,FIND(MID($B937,4,1),"ABCDEFGHIJKLMNOPQRSTUVWXYZ")),"")</f>
        <v/>
      </c>
      <c r="K937">
        <f>IF($F937=1,FIND(MID($B937,5,1),"0123456789")-1,"")</f>
        <v/>
      </c>
      <c r="L937">
        <f>IF($F937=1,FIND(MID($B937,6,1),"0123456789")-1,"")</f>
        <v/>
      </c>
      <c r="M937">
        <f>IF($F937=1,FIND(MID($B937,7,1),"0123456789")-1,"")</f>
        <v/>
      </c>
      <c r="N937">
        <f>IF($F937=1,FIND(MID($B937,8,1),"0123456789")-1,"")</f>
        <v/>
      </c>
      <c r="O937">
        <f>IF($F937=1,FIND(MID($B937,9,1),"0123456789")-1,"")</f>
        <v/>
      </c>
      <c r="P937">
        <f>IF($F937=1,FIND(MID($B937,10,1),"0123456789")-1,"")</f>
        <v/>
      </c>
      <c r="Q937">
        <f>IF($F937=1,SUMPRODUCT($G937:$P937,{1,2,4,8,16,32,64,128,256,512}),"")</f>
        <v/>
      </c>
      <c r="R937">
        <f>IF($F937=1,MOD(MOD($Q937,11),10),"")</f>
        <v/>
      </c>
    </row>
    <row r="938">
      <c r="A938" s="6" t="n"/>
      <c r="B938" s="7">
        <f>IF($A938="","",UPPER(SUBSTITUTE(SUBSTITUTE(SUBSTITUTE(SUBSTITUTE(SUBSTITUTE(SUBSTITUTE($A938," ",""),"-",""),".",""),"/",""),"i","I"),"ı","?")))</f>
        <v/>
      </c>
      <c r="C938" s="8">
        <f>IF($F938=1,$R938,"")</f>
        <v/>
      </c>
      <c r="D938" s="7">
        <f>IF($A938="","",IF($F938=0,"Biçim hatalı",IF(FIND(MID($B938,11,1),"0123456789")-1=$R938,"Geçerli","Kontrol hanesi hatalı (doğrusu: "&amp;$R938&amp;")")))</f>
        <v/>
      </c>
      <c r="F938">
        <f>IF($A938="","",IF(AND(LEN($B938)=11,SUMPRODUCT(--ISNUMBER(FIND(MID($B938,{1,2,3},1),"ABCDEFGHIJKLMNOPQRSTUVWXYZ")))=3,ISNUMBER(FIND(MID($B938,4,1),"UJZ")),SUMPRODUCT(--ISNUMBER(FIND(MID($B938,{5,6,7,8,9,10,11},1),"0123456789")))=7),1,0))</f>
        <v/>
      </c>
      <c r="G938">
        <f>IF($F938=1,INDEX({10,12,13,14,15,16,17,18,19,20,21,23,24,25,26,27,28,29,30,31,32,34,35,36,37,38},1,FIND(MID($B938,1,1),"ABCDEFGHIJKLMNOPQRSTUVWXYZ")),"")</f>
        <v/>
      </c>
      <c r="H938">
        <f>IF($F938=1,INDEX({10,12,13,14,15,16,17,18,19,20,21,23,24,25,26,27,28,29,30,31,32,34,35,36,37,38},1,FIND(MID($B938,2,1),"ABCDEFGHIJKLMNOPQRSTUVWXYZ")),"")</f>
        <v/>
      </c>
      <c r="I938">
        <f>IF($F938=1,INDEX({10,12,13,14,15,16,17,18,19,20,21,23,24,25,26,27,28,29,30,31,32,34,35,36,37,38},1,FIND(MID($B938,3,1),"ABCDEFGHIJKLMNOPQRSTUVWXYZ")),"")</f>
        <v/>
      </c>
      <c r="J938">
        <f>IF($F938=1,INDEX({10,12,13,14,15,16,17,18,19,20,21,23,24,25,26,27,28,29,30,31,32,34,35,36,37,38},1,FIND(MID($B938,4,1),"ABCDEFGHIJKLMNOPQRSTUVWXYZ")),"")</f>
        <v/>
      </c>
      <c r="K938">
        <f>IF($F938=1,FIND(MID($B938,5,1),"0123456789")-1,"")</f>
        <v/>
      </c>
      <c r="L938">
        <f>IF($F938=1,FIND(MID($B938,6,1),"0123456789")-1,"")</f>
        <v/>
      </c>
      <c r="M938">
        <f>IF($F938=1,FIND(MID($B938,7,1),"0123456789")-1,"")</f>
        <v/>
      </c>
      <c r="N938">
        <f>IF($F938=1,FIND(MID($B938,8,1),"0123456789")-1,"")</f>
        <v/>
      </c>
      <c r="O938">
        <f>IF($F938=1,FIND(MID($B938,9,1),"0123456789")-1,"")</f>
        <v/>
      </c>
      <c r="P938">
        <f>IF($F938=1,FIND(MID($B938,10,1),"0123456789")-1,"")</f>
        <v/>
      </c>
      <c r="Q938">
        <f>IF($F938=1,SUMPRODUCT($G938:$P938,{1,2,4,8,16,32,64,128,256,512}),"")</f>
        <v/>
      </c>
      <c r="R938">
        <f>IF($F938=1,MOD(MOD($Q938,11),10),"")</f>
        <v/>
      </c>
    </row>
    <row r="939">
      <c r="A939" s="6" t="n"/>
      <c r="B939" s="7">
        <f>IF($A939="","",UPPER(SUBSTITUTE(SUBSTITUTE(SUBSTITUTE(SUBSTITUTE(SUBSTITUTE(SUBSTITUTE($A939," ",""),"-",""),".",""),"/",""),"i","I"),"ı","?")))</f>
        <v/>
      </c>
      <c r="C939" s="8">
        <f>IF($F939=1,$R939,"")</f>
        <v/>
      </c>
      <c r="D939" s="7">
        <f>IF($A939="","",IF($F939=0,"Biçim hatalı",IF(FIND(MID($B939,11,1),"0123456789")-1=$R939,"Geçerli","Kontrol hanesi hatalı (doğrusu: "&amp;$R939&amp;")")))</f>
        <v/>
      </c>
      <c r="F939">
        <f>IF($A939="","",IF(AND(LEN($B939)=11,SUMPRODUCT(--ISNUMBER(FIND(MID($B939,{1,2,3},1),"ABCDEFGHIJKLMNOPQRSTUVWXYZ")))=3,ISNUMBER(FIND(MID($B939,4,1),"UJZ")),SUMPRODUCT(--ISNUMBER(FIND(MID($B939,{5,6,7,8,9,10,11},1),"0123456789")))=7),1,0))</f>
        <v/>
      </c>
      <c r="G939">
        <f>IF($F939=1,INDEX({10,12,13,14,15,16,17,18,19,20,21,23,24,25,26,27,28,29,30,31,32,34,35,36,37,38},1,FIND(MID($B939,1,1),"ABCDEFGHIJKLMNOPQRSTUVWXYZ")),"")</f>
        <v/>
      </c>
      <c r="H939">
        <f>IF($F939=1,INDEX({10,12,13,14,15,16,17,18,19,20,21,23,24,25,26,27,28,29,30,31,32,34,35,36,37,38},1,FIND(MID($B939,2,1),"ABCDEFGHIJKLMNOPQRSTUVWXYZ")),"")</f>
        <v/>
      </c>
      <c r="I939">
        <f>IF($F939=1,INDEX({10,12,13,14,15,16,17,18,19,20,21,23,24,25,26,27,28,29,30,31,32,34,35,36,37,38},1,FIND(MID($B939,3,1),"ABCDEFGHIJKLMNOPQRSTUVWXYZ")),"")</f>
        <v/>
      </c>
      <c r="J939">
        <f>IF($F939=1,INDEX({10,12,13,14,15,16,17,18,19,20,21,23,24,25,26,27,28,29,30,31,32,34,35,36,37,38},1,FIND(MID($B939,4,1),"ABCDEFGHIJKLMNOPQRSTUVWXYZ")),"")</f>
        <v/>
      </c>
      <c r="K939">
        <f>IF($F939=1,FIND(MID($B939,5,1),"0123456789")-1,"")</f>
        <v/>
      </c>
      <c r="L939">
        <f>IF($F939=1,FIND(MID($B939,6,1),"0123456789")-1,"")</f>
        <v/>
      </c>
      <c r="M939">
        <f>IF($F939=1,FIND(MID($B939,7,1),"0123456789")-1,"")</f>
        <v/>
      </c>
      <c r="N939">
        <f>IF($F939=1,FIND(MID($B939,8,1),"0123456789")-1,"")</f>
        <v/>
      </c>
      <c r="O939">
        <f>IF($F939=1,FIND(MID($B939,9,1),"0123456789")-1,"")</f>
        <v/>
      </c>
      <c r="P939">
        <f>IF($F939=1,FIND(MID($B939,10,1),"0123456789")-1,"")</f>
        <v/>
      </c>
      <c r="Q939">
        <f>IF($F939=1,SUMPRODUCT($G939:$P939,{1,2,4,8,16,32,64,128,256,512}),"")</f>
        <v/>
      </c>
      <c r="R939">
        <f>IF($F939=1,MOD(MOD($Q939,11),10),"")</f>
        <v/>
      </c>
    </row>
    <row r="940">
      <c r="A940" s="6" t="n"/>
      <c r="B940" s="7">
        <f>IF($A940="","",UPPER(SUBSTITUTE(SUBSTITUTE(SUBSTITUTE(SUBSTITUTE(SUBSTITUTE(SUBSTITUTE($A940," ",""),"-",""),".",""),"/",""),"i","I"),"ı","?")))</f>
        <v/>
      </c>
      <c r="C940" s="8">
        <f>IF($F940=1,$R940,"")</f>
        <v/>
      </c>
      <c r="D940" s="7">
        <f>IF($A940="","",IF($F940=0,"Biçim hatalı",IF(FIND(MID($B940,11,1),"0123456789")-1=$R940,"Geçerli","Kontrol hanesi hatalı (doğrusu: "&amp;$R940&amp;")")))</f>
        <v/>
      </c>
      <c r="F940">
        <f>IF($A940="","",IF(AND(LEN($B940)=11,SUMPRODUCT(--ISNUMBER(FIND(MID($B940,{1,2,3},1),"ABCDEFGHIJKLMNOPQRSTUVWXYZ")))=3,ISNUMBER(FIND(MID($B940,4,1),"UJZ")),SUMPRODUCT(--ISNUMBER(FIND(MID($B940,{5,6,7,8,9,10,11},1),"0123456789")))=7),1,0))</f>
        <v/>
      </c>
      <c r="G940">
        <f>IF($F940=1,INDEX({10,12,13,14,15,16,17,18,19,20,21,23,24,25,26,27,28,29,30,31,32,34,35,36,37,38},1,FIND(MID($B940,1,1),"ABCDEFGHIJKLMNOPQRSTUVWXYZ")),"")</f>
        <v/>
      </c>
      <c r="H940">
        <f>IF($F940=1,INDEX({10,12,13,14,15,16,17,18,19,20,21,23,24,25,26,27,28,29,30,31,32,34,35,36,37,38},1,FIND(MID($B940,2,1),"ABCDEFGHIJKLMNOPQRSTUVWXYZ")),"")</f>
        <v/>
      </c>
      <c r="I940">
        <f>IF($F940=1,INDEX({10,12,13,14,15,16,17,18,19,20,21,23,24,25,26,27,28,29,30,31,32,34,35,36,37,38},1,FIND(MID($B940,3,1),"ABCDEFGHIJKLMNOPQRSTUVWXYZ")),"")</f>
        <v/>
      </c>
      <c r="J940">
        <f>IF($F940=1,INDEX({10,12,13,14,15,16,17,18,19,20,21,23,24,25,26,27,28,29,30,31,32,34,35,36,37,38},1,FIND(MID($B940,4,1),"ABCDEFGHIJKLMNOPQRSTUVWXYZ")),"")</f>
        <v/>
      </c>
      <c r="K940">
        <f>IF($F940=1,FIND(MID($B940,5,1),"0123456789")-1,"")</f>
        <v/>
      </c>
      <c r="L940">
        <f>IF($F940=1,FIND(MID($B940,6,1),"0123456789")-1,"")</f>
        <v/>
      </c>
      <c r="M940">
        <f>IF($F940=1,FIND(MID($B940,7,1),"0123456789")-1,"")</f>
        <v/>
      </c>
      <c r="N940">
        <f>IF($F940=1,FIND(MID($B940,8,1),"0123456789")-1,"")</f>
        <v/>
      </c>
      <c r="O940">
        <f>IF($F940=1,FIND(MID($B940,9,1),"0123456789")-1,"")</f>
        <v/>
      </c>
      <c r="P940">
        <f>IF($F940=1,FIND(MID($B940,10,1),"0123456789")-1,"")</f>
        <v/>
      </c>
      <c r="Q940">
        <f>IF($F940=1,SUMPRODUCT($G940:$P940,{1,2,4,8,16,32,64,128,256,512}),"")</f>
        <v/>
      </c>
      <c r="R940">
        <f>IF($F940=1,MOD(MOD($Q940,11),10),"")</f>
        <v/>
      </c>
    </row>
    <row r="941">
      <c r="A941" s="6" t="n"/>
      <c r="B941" s="7">
        <f>IF($A941="","",UPPER(SUBSTITUTE(SUBSTITUTE(SUBSTITUTE(SUBSTITUTE(SUBSTITUTE(SUBSTITUTE($A941," ",""),"-",""),".",""),"/",""),"i","I"),"ı","?")))</f>
        <v/>
      </c>
      <c r="C941" s="8">
        <f>IF($F941=1,$R941,"")</f>
        <v/>
      </c>
      <c r="D941" s="7">
        <f>IF($A941="","",IF($F941=0,"Biçim hatalı",IF(FIND(MID($B941,11,1),"0123456789")-1=$R941,"Geçerli","Kontrol hanesi hatalı (doğrusu: "&amp;$R941&amp;")")))</f>
        <v/>
      </c>
      <c r="F941">
        <f>IF($A941="","",IF(AND(LEN($B941)=11,SUMPRODUCT(--ISNUMBER(FIND(MID($B941,{1,2,3},1),"ABCDEFGHIJKLMNOPQRSTUVWXYZ")))=3,ISNUMBER(FIND(MID($B941,4,1),"UJZ")),SUMPRODUCT(--ISNUMBER(FIND(MID($B941,{5,6,7,8,9,10,11},1),"0123456789")))=7),1,0))</f>
        <v/>
      </c>
      <c r="G941">
        <f>IF($F941=1,INDEX({10,12,13,14,15,16,17,18,19,20,21,23,24,25,26,27,28,29,30,31,32,34,35,36,37,38},1,FIND(MID($B941,1,1),"ABCDEFGHIJKLMNOPQRSTUVWXYZ")),"")</f>
        <v/>
      </c>
      <c r="H941">
        <f>IF($F941=1,INDEX({10,12,13,14,15,16,17,18,19,20,21,23,24,25,26,27,28,29,30,31,32,34,35,36,37,38},1,FIND(MID($B941,2,1),"ABCDEFGHIJKLMNOPQRSTUVWXYZ")),"")</f>
        <v/>
      </c>
      <c r="I941">
        <f>IF($F941=1,INDEX({10,12,13,14,15,16,17,18,19,20,21,23,24,25,26,27,28,29,30,31,32,34,35,36,37,38},1,FIND(MID($B941,3,1),"ABCDEFGHIJKLMNOPQRSTUVWXYZ")),"")</f>
        <v/>
      </c>
      <c r="J941">
        <f>IF($F941=1,INDEX({10,12,13,14,15,16,17,18,19,20,21,23,24,25,26,27,28,29,30,31,32,34,35,36,37,38},1,FIND(MID($B941,4,1),"ABCDEFGHIJKLMNOPQRSTUVWXYZ")),"")</f>
        <v/>
      </c>
      <c r="K941">
        <f>IF($F941=1,FIND(MID($B941,5,1),"0123456789")-1,"")</f>
        <v/>
      </c>
      <c r="L941">
        <f>IF($F941=1,FIND(MID($B941,6,1),"0123456789")-1,"")</f>
        <v/>
      </c>
      <c r="M941">
        <f>IF($F941=1,FIND(MID($B941,7,1),"0123456789")-1,"")</f>
        <v/>
      </c>
      <c r="N941">
        <f>IF($F941=1,FIND(MID($B941,8,1),"0123456789")-1,"")</f>
        <v/>
      </c>
      <c r="O941">
        <f>IF($F941=1,FIND(MID($B941,9,1),"0123456789")-1,"")</f>
        <v/>
      </c>
      <c r="P941">
        <f>IF($F941=1,FIND(MID($B941,10,1),"0123456789")-1,"")</f>
        <v/>
      </c>
      <c r="Q941">
        <f>IF($F941=1,SUMPRODUCT($G941:$P941,{1,2,4,8,16,32,64,128,256,512}),"")</f>
        <v/>
      </c>
      <c r="R941">
        <f>IF($F941=1,MOD(MOD($Q941,11),10),"")</f>
        <v/>
      </c>
    </row>
    <row r="942">
      <c r="A942" s="6" t="n"/>
      <c r="B942" s="7">
        <f>IF($A942="","",UPPER(SUBSTITUTE(SUBSTITUTE(SUBSTITUTE(SUBSTITUTE(SUBSTITUTE(SUBSTITUTE($A942," ",""),"-",""),".",""),"/",""),"i","I"),"ı","?")))</f>
        <v/>
      </c>
      <c r="C942" s="8">
        <f>IF($F942=1,$R942,"")</f>
        <v/>
      </c>
      <c r="D942" s="7">
        <f>IF($A942="","",IF($F942=0,"Biçim hatalı",IF(FIND(MID($B942,11,1),"0123456789")-1=$R942,"Geçerli","Kontrol hanesi hatalı (doğrusu: "&amp;$R942&amp;")")))</f>
        <v/>
      </c>
      <c r="F942">
        <f>IF($A942="","",IF(AND(LEN($B942)=11,SUMPRODUCT(--ISNUMBER(FIND(MID($B942,{1,2,3},1),"ABCDEFGHIJKLMNOPQRSTUVWXYZ")))=3,ISNUMBER(FIND(MID($B942,4,1),"UJZ")),SUMPRODUCT(--ISNUMBER(FIND(MID($B942,{5,6,7,8,9,10,11},1),"0123456789")))=7),1,0))</f>
        <v/>
      </c>
      <c r="G942">
        <f>IF($F942=1,INDEX({10,12,13,14,15,16,17,18,19,20,21,23,24,25,26,27,28,29,30,31,32,34,35,36,37,38},1,FIND(MID($B942,1,1),"ABCDEFGHIJKLMNOPQRSTUVWXYZ")),"")</f>
        <v/>
      </c>
      <c r="H942">
        <f>IF($F942=1,INDEX({10,12,13,14,15,16,17,18,19,20,21,23,24,25,26,27,28,29,30,31,32,34,35,36,37,38},1,FIND(MID($B942,2,1),"ABCDEFGHIJKLMNOPQRSTUVWXYZ")),"")</f>
        <v/>
      </c>
      <c r="I942">
        <f>IF($F942=1,INDEX({10,12,13,14,15,16,17,18,19,20,21,23,24,25,26,27,28,29,30,31,32,34,35,36,37,38},1,FIND(MID($B942,3,1),"ABCDEFGHIJKLMNOPQRSTUVWXYZ")),"")</f>
        <v/>
      </c>
      <c r="J942">
        <f>IF($F942=1,INDEX({10,12,13,14,15,16,17,18,19,20,21,23,24,25,26,27,28,29,30,31,32,34,35,36,37,38},1,FIND(MID($B942,4,1),"ABCDEFGHIJKLMNOPQRSTUVWXYZ")),"")</f>
        <v/>
      </c>
      <c r="K942">
        <f>IF($F942=1,FIND(MID($B942,5,1),"0123456789")-1,"")</f>
        <v/>
      </c>
      <c r="L942">
        <f>IF($F942=1,FIND(MID($B942,6,1),"0123456789")-1,"")</f>
        <v/>
      </c>
      <c r="M942">
        <f>IF($F942=1,FIND(MID($B942,7,1),"0123456789")-1,"")</f>
        <v/>
      </c>
      <c r="N942">
        <f>IF($F942=1,FIND(MID($B942,8,1),"0123456789")-1,"")</f>
        <v/>
      </c>
      <c r="O942">
        <f>IF($F942=1,FIND(MID($B942,9,1),"0123456789")-1,"")</f>
        <v/>
      </c>
      <c r="P942">
        <f>IF($F942=1,FIND(MID($B942,10,1),"0123456789")-1,"")</f>
        <v/>
      </c>
      <c r="Q942">
        <f>IF($F942=1,SUMPRODUCT($G942:$P942,{1,2,4,8,16,32,64,128,256,512}),"")</f>
        <v/>
      </c>
      <c r="R942">
        <f>IF($F942=1,MOD(MOD($Q942,11),10),"")</f>
        <v/>
      </c>
    </row>
    <row r="943">
      <c r="A943" s="6" t="n"/>
      <c r="B943" s="7">
        <f>IF($A943="","",UPPER(SUBSTITUTE(SUBSTITUTE(SUBSTITUTE(SUBSTITUTE(SUBSTITUTE(SUBSTITUTE($A943," ",""),"-",""),".",""),"/",""),"i","I"),"ı","?")))</f>
        <v/>
      </c>
      <c r="C943" s="8">
        <f>IF($F943=1,$R943,"")</f>
        <v/>
      </c>
      <c r="D943" s="7">
        <f>IF($A943="","",IF($F943=0,"Biçim hatalı",IF(FIND(MID($B943,11,1),"0123456789")-1=$R943,"Geçerli","Kontrol hanesi hatalı (doğrusu: "&amp;$R943&amp;")")))</f>
        <v/>
      </c>
      <c r="F943">
        <f>IF($A943="","",IF(AND(LEN($B943)=11,SUMPRODUCT(--ISNUMBER(FIND(MID($B943,{1,2,3},1),"ABCDEFGHIJKLMNOPQRSTUVWXYZ")))=3,ISNUMBER(FIND(MID($B943,4,1),"UJZ")),SUMPRODUCT(--ISNUMBER(FIND(MID($B943,{5,6,7,8,9,10,11},1),"0123456789")))=7),1,0))</f>
        <v/>
      </c>
      <c r="G943">
        <f>IF($F943=1,INDEX({10,12,13,14,15,16,17,18,19,20,21,23,24,25,26,27,28,29,30,31,32,34,35,36,37,38},1,FIND(MID($B943,1,1),"ABCDEFGHIJKLMNOPQRSTUVWXYZ")),"")</f>
        <v/>
      </c>
      <c r="H943">
        <f>IF($F943=1,INDEX({10,12,13,14,15,16,17,18,19,20,21,23,24,25,26,27,28,29,30,31,32,34,35,36,37,38},1,FIND(MID($B943,2,1),"ABCDEFGHIJKLMNOPQRSTUVWXYZ")),"")</f>
        <v/>
      </c>
      <c r="I943">
        <f>IF($F943=1,INDEX({10,12,13,14,15,16,17,18,19,20,21,23,24,25,26,27,28,29,30,31,32,34,35,36,37,38},1,FIND(MID($B943,3,1),"ABCDEFGHIJKLMNOPQRSTUVWXYZ")),"")</f>
        <v/>
      </c>
      <c r="J943">
        <f>IF($F943=1,INDEX({10,12,13,14,15,16,17,18,19,20,21,23,24,25,26,27,28,29,30,31,32,34,35,36,37,38},1,FIND(MID($B943,4,1),"ABCDEFGHIJKLMNOPQRSTUVWXYZ")),"")</f>
        <v/>
      </c>
      <c r="K943">
        <f>IF($F943=1,FIND(MID($B943,5,1),"0123456789")-1,"")</f>
        <v/>
      </c>
      <c r="L943">
        <f>IF($F943=1,FIND(MID($B943,6,1),"0123456789")-1,"")</f>
        <v/>
      </c>
      <c r="M943">
        <f>IF($F943=1,FIND(MID($B943,7,1),"0123456789")-1,"")</f>
        <v/>
      </c>
      <c r="N943">
        <f>IF($F943=1,FIND(MID($B943,8,1),"0123456789")-1,"")</f>
        <v/>
      </c>
      <c r="O943">
        <f>IF($F943=1,FIND(MID($B943,9,1),"0123456789")-1,"")</f>
        <v/>
      </c>
      <c r="P943">
        <f>IF($F943=1,FIND(MID($B943,10,1),"0123456789")-1,"")</f>
        <v/>
      </c>
      <c r="Q943">
        <f>IF($F943=1,SUMPRODUCT($G943:$P943,{1,2,4,8,16,32,64,128,256,512}),"")</f>
        <v/>
      </c>
      <c r="R943">
        <f>IF($F943=1,MOD(MOD($Q943,11),10),"")</f>
        <v/>
      </c>
    </row>
    <row r="944">
      <c r="A944" s="6" t="n"/>
      <c r="B944" s="7">
        <f>IF($A944="","",UPPER(SUBSTITUTE(SUBSTITUTE(SUBSTITUTE(SUBSTITUTE(SUBSTITUTE(SUBSTITUTE($A944," ",""),"-",""),".",""),"/",""),"i","I"),"ı","?")))</f>
        <v/>
      </c>
      <c r="C944" s="8">
        <f>IF($F944=1,$R944,"")</f>
        <v/>
      </c>
      <c r="D944" s="7">
        <f>IF($A944="","",IF($F944=0,"Biçim hatalı",IF(FIND(MID($B944,11,1),"0123456789")-1=$R944,"Geçerli","Kontrol hanesi hatalı (doğrusu: "&amp;$R944&amp;")")))</f>
        <v/>
      </c>
      <c r="F944">
        <f>IF($A944="","",IF(AND(LEN($B944)=11,SUMPRODUCT(--ISNUMBER(FIND(MID($B944,{1,2,3},1),"ABCDEFGHIJKLMNOPQRSTUVWXYZ")))=3,ISNUMBER(FIND(MID($B944,4,1),"UJZ")),SUMPRODUCT(--ISNUMBER(FIND(MID($B944,{5,6,7,8,9,10,11},1),"0123456789")))=7),1,0))</f>
        <v/>
      </c>
      <c r="G944">
        <f>IF($F944=1,INDEX({10,12,13,14,15,16,17,18,19,20,21,23,24,25,26,27,28,29,30,31,32,34,35,36,37,38},1,FIND(MID($B944,1,1),"ABCDEFGHIJKLMNOPQRSTUVWXYZ")),"")</f>
        <v/>
      </c>
      <c r="H944">
        <f>IF($F944=1,INDEX({10,12,13,14,15,16,17,18,19,20,21,23,24,25,26,27,28,29,30,31,32,34,35,36,37,38},1,FIND(MID($B944,2,1),"ABCDEFGHIJKLMNOPQRSTUVWXYZ")),"")</f>
        <v/>
      </c>
      <c r="I944">
        <f>IF($F944=1,INDEX({10,12,13,14,15,16,17,18,19,20,21,23,24,25,26,27,28,29,30,31,32,34,35,36,37,38},1,FIND(MID($B944,3,1),"ABCDEFGHIJKLMNOPQRSTUVWXYZ")),"")</f>
        <v/>
      </c>
      <c r="J944">
        <f>IF($F944=1,INDEX({10,12,13,14,15,16,17,18,19,20,21,23,24,25,26,27,28,29,30,31,32,34,35,36,37,38},1,FIND(MID($B944,4,1),"ABCDEFGHIJKLMNOPQRSTUVWXYZ")),"")</f>
        <v/>
      </c>
      <c r="K944">
        <f>IF($F944=1,FIND(MID($B944,5,1),"0123456789")-1,"")</f>
        <v/>
      </c>
      <c r="L944">
        <f>IF($F944=1,FIND(MID($B944,6,1),"0123456789")-1,"")</f>
        <v/>
      </c>
      <c r="M944">
        <f>IF($F944=1,FIND(MID($B944,7,1),"0123456789")-1,"")</f>
        <v/>
      </c>
      <c r="N944">
        <f>IF($F944=1,FIND(MID($B944,8,1),"0123456789")-1,"")</f>
        <v/>
      </c>
      <c r="O944">
        <f>IF($F944=1,FIND(MID($B944,9,1),"0123456789")-1,"")</f>
        <v/>
      </c>
      <c r="P944">
        <f>IF($F944=1,FIND(MID($B944,10,1),"0123456789")-1,"")</f>
        <v/>
      </c>
      <c r="Q944">
        <f>IF($F944=1,SUMPRODUCT($G944:$P944,{1,2,4,8,16,32,64,128,256,512}),"")</f>
        <v/>
      </c>
      <c r="R944">
        <f>IF($F944=1,MOD(MOD($Q944,11),10),"")</f>
        <v/>
      </c>
    </row>
    <row r="945">
      <c r="A945" s="6" t="n"/>
      <c r="B945" s="7">
        <f>IF($A945="","",UPPER(SUBSTITUTE(SUBSTITUTE(SUBSTITUTE(SUBSTITUTE(SUBSTITUTE(SUBSTITUTE($A945," ",""),"-",""),".",""),"/",""),"i","I"),"ı","?")))</f>
        <v/>
      </c>
      <c r="C945" s="8">
        <f>IF($F945=1,$R945,"")</f>
        <v/>
      </c>
      <c r="D945" s="7">
        <f>IF($A945="","",IF($F945=0,"Biçim hatalı",IF(FIND(MID($B945,11,1),"0123456789")-1=$R945,"Geçerli","Kontrol hanesi hatalı (doğrusu: "&amp;$R945&amp;")")))</f>
        <v/>
      </c>
      <c r="F945">
        <f>IF($A945="","",IF(AND(LEN($B945)=11,SUMPRODUCT(--ISNUMBER(FIND(MID($B945,{1,2,3},1),"ABCDEFGHIJKLMNOPQRSTUVWXYZ")))=3,ISNUMBER(FIND(MID($B945,4,1),"UJZ")),SUMPRODUCT(--ISNUMBER(FIND(MID($B945,{5,6,7,8,9,10,11},1),"0123456789")))=7),1,0))</f>
        <v/>
      </c>
      <c r="G945">
        <f>IF($F945=1,INDEX({10,12,13,14,15,16,17,18,19,20,21,23,24,25,26,27,28,29,30,31,32,34,35,36,37,38},1,FIND(MID($B945,1,1),"ABCDEFGHIJKLMNOPQRSTUVWXYZ")),"")</f>
        <v/>
      </c>
      <c r="H945">
        <f>IF($F945=1,INDEX({10,12,13,14,15,16,17,18,19,20,21,23,24,25,26,27,28,29,30,31,32,34,35,36,37,38},1,FIND(MID($B945,2,1),"ABCDEFGHIJKLMNOPQRSTUVWXYZ")),"")</f>
        <v/>
      </c>
      <c r="I945">
        <f>IF($F945=1,INDEX({10,12,13,14,15,16,17,18,19,20,21,23,24,25,26,27,28,29,30,31,32,34,35,36,37,38},1,FIND(MID($B945,3,1),"ABCDEFGHIJKLMNOPQRSTUVWXYZ")),"")</f>
        <v/>
      </c>
      <c r="J945">
        <f>IF($F945=1,INDEX({10,12,13,14,15,16,17,18,19,20,21,23,24,25,26,27,28,29,30,31,32,34,35,36,37,38},1,FIND(MID($B945,4,1),"ABCDEFGHIJKLMNOPQRSTUVWXYZ")),"")</f>
        <v/>
      </c>
      <c r="K945">
        <f>IF($F945=1,FIND(MID($B945,5,1),"0123456789")-1,"")</f>
        <v/>
      </c>
      <c r="L945">
        <f>IF($F945=1,FIND(MID($B945,6,1),"0123456789")-1,"")</f>
        <v/>
      </c>
      <c r="M945">
        <f>IF($F945=1,FIND(MID($B945,7,1),"0123456789")-1,"")</f>
        <v/>
      </c>
      <c r="N945">
        <f>IF($F945=1,FIND(MID($B945,8,1),"0123456789")-1,"")</f>
        <v/>
      </c>
      <c r="O945">
        <f>IF($F945=1,FIND(MID($B945,9,1),"0123456789")-1,"")</f>
        <v/>
      </c>
      <c r="P945">
        <f>IF($F945=1,FIND(MID($B945,10,1),"0123456789")-1,"")</f>
        <v/>
      </c>
      <c r="Q945">
        <f>IF($F945=1,SUMPRODUCT($G945:$P945,{1,2,4,8,16,32,64,128,256,512}),"")</f>
        <v/>
      </c>
      <c r="R945">
        <f>IF($F945=1,MOD(MOD($Q945,11),10),"")</f>
        <v/>
      </c>
    </row>
    <row r="946">
      <c r="A946" s="6" t="n"/>
      <c r="B946" s="7">
        <f>IF($A946="","",UPPER(SUBSTITUTE(SUBSTITUTE(SUBSTITUTE(SUBSTITUTE(SUBSTITUTE(SUBSTITUTE($A946," ",""),"-",""),".",""),"/",""),"i","I"),"ı","?")))</f>
        <v/>
      </c>
      <c r="C946" s="8">
        <f>IF($F946=1,$R946,"")</f>
        <v/>
      </c>
      <c r="D946" s="7">
        <f>IF($A946="","",IF($F946=0,"Biçim hatalı",IF(FIND(MID($B946,11,1),"0123456789")-1=$R946,"Geçerli","Kontrol hanesi hatalı (doğrusu: "&amp;$R946&amp;")")))</f>
        <v/>
      </c>
      <c r="F946">
        <f>IF($A946="","",IF(AND(LEN($B946)=11,SUMPRODUCT(--ISNUMBER(FIND(MID($B946,{1,2,3},1),"ABCDEFGHIJKLMNOPQRSTUVWXYZ")))=3,ISNUMBER(FIND(MID($B946,4,1),"UJZ")),SUMPRODUCT(--ISNUMBER(FIND(MID($B946,{5,6,7,8,9,10,11},1),"0123456789")))=7),1,0))</f>
        <v/>
      </c>
      <c r="G946">
        <f>IF($F946=1,INDEX({10,12,13,14,15,16,17,18,19,20,21,23,24,25,26,27,28,29,30,31,32,34,35,36,37,38},1,FIND(MID($B946,1,1),"ABCDEFGHIJKLMNOPQRSTUVWXYZ")),"")</f>
        <v/>
      </c>
      <c r="H946">
        <f>IF($F946=1,INDEX({10,12,13,14,15,16,17,18,19,20,21,23,24,25,26,27,28,29,30,31,32,34,35,36,37,38},1,FIND(MID($B946,2,1),"ABCDEFGHIJKLMNOPQRSTUVWXYZ")),"")</f>
        <v/>
      </c>
      <c r="I946">
        <f>IF($F946=1,INDEX({10,12,13,14,15,16,17,18,19,20,21,23,24,25,26,27,28,29,30,31,32,34,35,36,37,38},1,FIND(MID($B946,3,1),"ABCDEFGHIJKLMNOPQRSTUVWXYZ")),"")</f>
        <v/>
      </c>
      <c r="J946">
        <f>IF($F946=1,INDEX({10,12,13,14,15,16,17,18,19,20,21,23,24,25,26,27,28,29,30,31,32,34,35,36,37,38},1,FIND(MID($B946,4,1),"ABCDEFGHIJKLMNOPQRSTUVWXYZ")),"")</f>
        <v/>
      </c>
      <c r="K946">
        <f>IF($F946=1,FIND(MID($B946,5,1),"0123456789")-1,"")</f>
        <v/>
      </c>
      <c r="L946">
        <f>IF($F946=1,FIND(MID($B946,6,1),"0123456789")-1,"")</f>
        <v/>
      </c>
      <c r="M946">
        <f>IF($F946=1,FIND(MID($B946,7,1),"0123456789")-1,"")</f>
        <v/>
      </c>
      <c r="N946">
        <f>IF($F946=1,FIND(MID($B946,8,1),"0123456789")-1,"")</f>
        <v/>
      </c>
      <c r="O946">
        <f>IF($F946=1,FIND(MID($B946,9,1),"0123456789")-1,"")</f>
        <v/>
      </c>
      <c r="P946">
        <f>IF($F946=1,FIND(MID($B946,10,1),"0123456789")-1,"")</f>
        <v/>
      </c>
      <c r="Q946">
        <f>IF($F946=1,SUMPRODUCT($G946:$P946,{1,2,4,8,16,32,64,128,256,512}),"")</f>
        <v/>
      </c>
      <c r="R946">
        <f>IF($F946=1,MOD(MOD($Q946,11),10),"")</f>
        <v/>
      </c>
    </row>
    <row r="947">
      <c r="A947" s="6" t="n"/>
      <c r="B947" s="7">
        <f>IF($A947="","",UPPER(SUBSTITUTE(SUBSTITUTE(SUBSTITUTE(SUBSTITUTE(SUBSTITUTE(SUBSTITUTE($A947," ",""),"-",""),".",""),"/",""),"i","I"),"ı","?")))</f>
        <v/>
      </c>
      <c r="C947" s="8">
        <f>IF($F947=1,$R947,"")</f>
        <v/>
      </c>
      <c r="D947" s="7">
        <f>IF($A947="","",IF($F947=0,"Biçim hatalı",IF(FIND(MID($B947,11,1),"0123456789")-1=$R947,"Geçerli","Kontrol hanesi hatalı (doğrusu: "&amp;$R947&amp;")")))</f>
        <v/>
      </c>
      <c r="F947">
        <f>IF($A947="","",IF(AND(LEN($B947)=11,SUMPRODUCT(--ISNUMBER(FIND(MID($B947,{1,2,3},1),"ABCDEFGHIJKLMNOPQRSTUVWXYZ")))=3,ISNUMBER(FIND(MID($B947,4,1),"UJZ")),SUMPRODUCT(--ISNUMBER(FIND(MID($B947,{5,6,7,8,9,10,11},1),"0123456789")))=7),1,0))</f>
        <v/>
      </c>
      <c r="G947">
        <f>IF($F947=1,INDEX({10,12,13,14,15,16,17,18,19,20,21,23,24,25,26,27,28,29,30,31,32,34,35,36,37,38},1,FIND(MID($B947,1,1),"ABCDEFGHIJKLMNOPQRSTUVWXYZ")),"")</f>
        <v/>
      </c>
      <c r="H947">
        <f>IF($F947=1,INDEX({10,12,13,14,15,16,17,18,19,20,21,23,24,25,26,27,28,29,30,31,32,34,35,36,37,38},1,FIND(MID($B947,2,1),"ABCDEFGHIJKLMNOPQRSTUVWXYZ")),"")</f>
        <v/>
      </c>
      <c r="I947">
        <f>IF($F947=1,INDEX({10,12,13,14,15,16,17,18,19,20,21,23,24,25,26,27,28,29,30,31,32,34,35,36,37,38},1,FIND(MID($B947,3,1),"ABCDEFGHIJKLMNOPQRSTUVWXYZ")),"")</f>
        <v/>
      </c>
      <c r="J947">
        <f>IF($F947=1,INDEX({10,12,13,14,15,16,17,18,19,20,21,23,24,25,26,27,28,29,30,31,32,34,35,36,37,38},1,FIND(MID($B947,4,1),"ABCDEFGHIJKLMNOPQRSTUVWXYZ")),"")</f>
        <v/>
      </c>
      <c r="K947">
        <f>IF($F947=1,FIND(MID($B947,5,1),"0123456789")-1,"")</f>
        <v/>
      </c>
      <c r="L947">
        <f>IF($F947=1,FIND(MID($B947,6,1),"0123456789")-1,"")</f>
        <v/>
      </c>
      <c r="M947">
        <f>IF($F947=1,FIND(MID($B947,7,1),"0123456789")-1,"")</f>
        <v/>
      </c>
      <c r="N947">
        <f>IF($F947=1,FIND(MID($B947,8,1),"0123456789")-1,"")</f>
        <v/>
      </c>
      <c r="O947">
        <f>IF($F947=1,FIND(MID($B947,9,1),"0123456789")-1,"")</f>
        <v/>
      </c>
      <c r="P947">
        <f>IF($F947=1,FIND(MID($B947,10,1),"0123456789")-1,"")</f>
        <v/>
      </c>
      <c r="Q947">
        <f>IF($F947=1,SUMPRODUCT($G947:$P947,{1,2,4,8,16,32,64,128,256,512}),"")</f>
        <v/>
      </c>
      <c r="R947">
        <f>IF($F947=1,MOD(MOD($Q947,11),10),"")</f>
        <v/>
      </c>
    </row>
    <row r="948">
      <c r="A948" s="6" t="n"/>
      <c r="B948" s="7">
        <f>IF($A948="","",UPPER(SUBSTITUTE(SUBSTITUTE(SUBSTITUTE(SUBSTITUTE(SUBSTITUTE(SUBSTITUTE($A948," ",""),"-",""),".",""),"/",""),"i","I"),"ı","?")))</f>
        <v/>
      </c>
      <c r="C948" s="8">
        <f>IF($F948=1,$R948,"")</f>
        <v/>
      </c>
      <c r="D948" s="7">
        <f>IF($A948="","",IF($F948=0,"Biçim hatalı",IF(FIND(MID($B948,11,1),"0123456789")-1=$R948,"Geçerli","Kontrol hanesi hatalı (doğrusu: "&amp;$R948&amp;")")))</f>
        <v/>
      </c>
      <c r="F948">
        <f>IF($A948="","",IF(AND(LEN($B948)=11,SUMPRODUCT(--ISNUMBER(FIND(MID($B948,{1,2,3},1),"ABCDEFGHIJKLMNOPQRSTUVWXYZ")))=3,ISNUMBER(FIND(MID($B948,4,1),"UJZ")),SUMPRODUCT(--ISNUMBER(FIND(MID($B948,{5,6,7,8,9,10,11},1),"0123456789")))=7),1,0))</f>
        <v/>
      </c>
      <c r="G948">
        <f>IF($F948=1,INDEX({10,12,13,14,15,16,17,18,19,20,21,23,24,25,26,27,28,29,30,31,32,34,35,36,37,38},1,FIND(MID($B948,1,1),"ABCDEFGHIJKLMNOPQRSTUVWXYZ")),"")</f>
        <v/>
      </c>
      <c r="H948">
        <f>IF($F948=1,INDEX({10,12,13,14,15,16,17,18,19,20,21,23,24,25,26,27,28,29,30,31,32,34,35,36,37,38},1,FIND(MID($B948,2,1),"ABCDEFGHIJKLMNOPQRSTUVWXYZ")),"")</f>
        <v/>
      </c>
      <c r="I948">
        <f>IF($F948=1,INDEX({10,12,13,14,15,16,17,18,19,20,21,23,24,25,26,27,28,29,30,31,32,34,35,36,37,38},1,FIND(MID($B948,3,1),"ABCDEFGHIJKLMNOPQRSTUVWXYZ")),"")</f>
        <v/>
      </c>
      <c r="J948">
        <f>IF($F948=1,INDEX({10,12,13,14,15,16,17,18,19,20,21,23,24,25,26,27,28,29,30,31,32,34,35,36,37,38},1,FIND(MID($B948,4,1),"ABCDEFGHIJKLMNOPQRSTUVWXYZ")),"")</f>
        <v/>
      </c>
      <c r="K948">
        <f>IF($F948=1,FIND(MID($B948,5,1),"0123456789")-1,"")</f>
        <v/>
      </c>
      <c r="L948">
        <f>IF($F948=1,FIND(MID($B948,6,1),"0123456789")-1,"")</f>
        <v/>
      </c>
      <c r="M948">
        <f>IF($F948=1,FIND(MID($B948,7,1),"0123456789")-1,"")</f>
        <v/>
      </c>
      <c r="N948">
        <f>IF($F948=1,FIND(MID($B948,8,1),"0123456789")-1,"")</f>
        <v/>
      </c>
      <c r="O948">
        <f>IF($F948=1,FIND(MID($B948,9,1),"0123456789")-1,"")</f>
        <v/>
      </c>
      <c r="P948">
        <f>IF($F948=1,FIND(MID($B948,10,1),"0123456789")-1,"")</f>
        <v/>
      </c>
      <c r="Q948">
        <f>IF($F948=1,SUMPRODUCT($G948:$P948,{1,2,4,8,16,32,64,128,256,512}),"")</f>
        <v/>
      </c>
      <c r="R948">
        <f>IF($F948=1,MOD(MOD($Q948,11),10),"")</f>
        <v/>
      </c>
    </row>
    <row r="949">
      <c r="A949" s="6" t="n"/>
      <c r="B949" s="7">
        <f>IF($A949="","",UPPER(SUBSTITUTE(SUBSTITUTE(SUBSTITUTE(SUBSTITUTE(SUBSTITUTE(SUBSTITUTE($A949," ",""),"-",""),".",""),"/",""),"i","I"),"ı","?")))</f>
        <v/>
      </c>
      <c r="C949" s="8">
        <f>IF($F949=1,$R949,"")</f>
        <v/>
      </c>
      <c r="D949" s="7">
        <f>IF($A949="","",IF($F949=0,"Biçim hatalı",IF(FIND(MID($B949,11,1),"0123456789")-1=$R949,"Geçerli","Kontrol hanesi hatalı (doğrusu: "&amp;$R949&amp;")")))</f>
        <v/>
      </c>
      <c r="F949">
        <f>IF($A949="","",IF(AND(LEN($B949)=11,SUMPRODUCT(--ISNUMBER(FIND(MID($B949,{1,2,3},1),"ABCDEFGHIJKLMNOPQRSTUVWXYZ")))=3,ISNUMBER(FIND(MID($B949,4,1),"UJZ")),SUMPRODUCT(--ISNUMBER(FIND(MID($B949,{5,6,7,8,9,10,11},1),"0123456789")))=7),1,0))</f>
        <v/>
      </c>
      <c r="G949">
        <f>IF($F949=1,INDEX({10,12,13,14,15,16,17,18,19,20,21,23,24,25,26,27,28,29,30,31,32,34,35,36,37,38},1,FIND(MID($B949,1,1),"ABCDEFGHIJKLMNOPQRSTUVWXYZ")),"")</f>
        <v/>
      </c>
      <c r="H949">
        <f>IF($F949=1,INDEX({10,12,13,14,15,16,17,18,19,20,21,23,24,25,26,27,28,29,30,31,32,34,35,36,37,38},1,FIND(MID($B949,2,1),"ABCDEFGHIJKLMNOPQRSTUVWXYZ")),"")</f>
        <v/>
      </c>
      <c r="I949">
        <f>IF($F949=1,INDEX({10,12,13,14,15,16,17,18,19,20,21,23,24,25,26,27,28,29,30,31,32,34,35,36,37,38},1,FIND(MID($B949,3,1),"ABCDEFGHIJKLMNOPQRSTUVWXYZ")),"")</f>
        <v/>
      </c>
      <c r="J949">
        <f>IF($F949=1,INDEX({10,12,13,14,15,16,17,18,19,20,21,23,24,25,26,27,28,29,30,31,32,34,35,36,37,38},1,FIND(MID($B949,4,1),"ABCDEFGHIJKLMNOPQRSTUVWXYZ")),"")</f>
        <v/>
      </c>
      <c r="K949">
        <f>IF($F949=1,FIND(MID($B949,5,1),"0123456789")-1,"")</f>
        <v/>
      </c>
      <c r="L949">
        <f>IF($F949=1,FIND(MID($B949,6,1),"0123456789")-1,"")</f>
        <v/>
      </c>
      <c r="M949">
        <f>IF($F949=1,FIND(MID($B949,7,1),"0123456789")-1,"")</f>
        <v/>
      </c>
      <c r="N949">
        <f>IF($F949=1,FIND(MID($B949,8,1),"0123456789")-1,"")</f>
        <v/>
      </c>
      <c r="O949">
        <f>IF($F949=1,FIND(MID($B949,9,1),"0123456789")-1,"")</f>
        <v/>
      </c>
      <c r="P949">
        <f>IF($F949=1,FIND(MID($B949,10,1),"0123456789")-1,"")</f>
        <v/>
      </c>
      <c r="Q949">
        <f>IF($F949=1,SUMPRODUCT($G949:$P949,{1,2,4,8,16,32,64,128,256,512}),"")</f>
        <v/>
      </c>
      <c r="R949">
        <f>IF($F949=1,MOD(MOD($Q949,11),10),"")</f>
        <v/>
      </c>
    </row>
    <row r="950">
      <c r="A950" s="6" t="n"/>
      <c r="B950" s="7">
        <f>IF($A950="","",UPPER(SUBSTITUTE(SUBSTITUTE(SUBSTITUTE(SUBSTITUTE(SUBSTITUTE(SUBSTITUTE($A950," ",""),"-",""),".",""),"/",""),"i","I"),"ı","?")))</f>
        <v/>
      </c>
      <c r="C950" s="8">
        <f>IF($F950=1,$R950,"")</f>
        <v/>
      </c>
      <c r="D950" s="7">
        <f>IF($A950="","",IF($F950=0,"Biçim hatalı",IF(FIND(MID($B950,11,1),"0123456789")-1=$R950,"Geçerli","Kontrol hanesi hatalı (doğrusu: "&amp;$R950&amp;")")))</f>
        <v/>
      </c>
      <c r="F950">
        <f>IF($A950="","",IF(AND(LEN($B950)=11,SUMPRODUCT(--ISNUMBER(FIND(MID($B950,{1,2,3},1),"ABCDEFGHIJKLMNOPQRSTUVWXYZ")))=3,ISNUMBER(FIND(MID($B950,4,1),"UJZ")),SUMPRODUCT(--ISNUMBER(FIND(MID($B950,{5,6,7,8,9,10,11},1),"0123456789")))=7),1,0))</f>
        <v/>
      </c>
      <c r="G950">
        <f>IF($F950=1,INDEX({10,12,13,14,15,16,17,18,19,20,21,23,24,25,26,27,28,29,30,31,32,34,35,36,37,38},1,FIND(MID($B950,1,1),"ABCDEFGHIJKLMNOPQRSTUVWXYZ")),"")</f>
        <v/>
      </c>
      <c r="H950">
        <f>IF($F950=1,INDEX({10,12,13,14,15,16,17,18,19,20,21,23,24,25,26,27,28,29,30,31,32,34,35,36,37,38},1,FIND(MID($B950,2,1),"ABCDEFGHIJKLMNOPQRSTUVWXYZ")),"")</f>
        <v/>
      </c>
      <c r="I950">
        <f>IF($F950=1,INDEX({10,12,13,14,15,16,17,18,19,20,21,23,24,25,26,27,28,29,30,31,32,34,35,36,37,38},1,FIND(MID($B950,3,1),"ABCDEFGHIJKLMNOPQRSTUVWXYZ")),"")</f>
        <v/>
      </c>
      <c r="J950">
        <f>IF($F950=1,INDEX({10,12,13,14,15,16,17,18,19,20,21,23,24,25,26,27,28,29,30,31,32,34,35,36,37,38},1,FIND(MID($B950,4,1),"ABCDEFGHIJKLMNOPQRSTUVWXYZ")),"")</f>
        <v/>
      </c>
      <c r="K950">
        <f>IF($F950=1,FIND(MID($B950,5,1),"0123456789")-1,"")</f>
        <v/>
      </c>
      <c r="L950">
        <f>IF($F950=1,FIND(MID($B950,6,1),"0123456789")-1,"")</f>
        <v/>
      </c>
      <c r="M950">
        <f>IF($F950=1,FIND(MID($B950,7,1),"0123456789")-1,"")</f>
        <v/>
      </c>
      <c r="N950">
        <f>IF($F950=1,FIND(MID($B950,8,1),"0123456789")-1,"")</f>
        <v/>
      </c>
      <c r="O950">
        <f>IF($F950=1,FIND(MID($B950,9,1),"0123456789")-1,"")</f>
        <v/>
      </c>
      <c r="P950">
        <f>IF($F950=1,FIND(MID($B950,10,1),"0123456789")-1,"")</f>
        <v/>
      </c>
      <c r="Q950">
        <f>IF($F950=1,SUMPRODUCT($G950:$P950,{1,2,4,8,16,32,64,128,256,512}),"")</f>
        <v/>
      </c>
      <c r="R950">
        <f>IF($F950=1,MOD(MOD($Q950,11),10),"")</f>
        <v/>
      </c>
    </row>
    <row r="951">
      <c r="A951" s="6" t="n"/>
      <c r="B951" s="7">
        <f>IF($A951="","",UPPER(SUBSTITUTE(SUBSTITUTE(SUBSTITUTE(SUBSTITUTE(SUBSTITUTE(SUBSTITUTE($A951," ",""),"-",""),".",""),"/",""),"i","I"),"ı","?")))</f>
        <v/>
      </c>
      <c r="C951" s="8">
        <f>IF($F951=1,$R951,"")</f>
        <v/>
      </c>
      <c r="D951" s="7">
        <f>IF($A951="","",IF($F951=0,"Biçim hatalı",IF(FIND(MID($B951,11,1),"0123456789")-1=$R951,"Geçerli","Kontrol hanesi hatalı (doğrusu: "&amp;$R951&amp;")")))</f>
        <v/>
      </c>
      <c r="F951">
        <f>IF($A951="","",IF(AND(LEN($B951)=11,SUMPRODUCT(--ISNUMBER(FIND(MID($B951,{1,2,3},1),"ABCDEFGHIJKLMNOPQRSTUVWXYZ")))=3,ISNUMBER(FIND(MID($B951,4,1),"UJZ")),SUMPRODUCT(--ISNUMBER(FIND(MID($B951,{5,6,7,8,9,10,11},1),"0123456789")))=7),1,0))</f>
        <v/>
      </c>
      <c r="G951">
        <f>IF($F951=1,INDEX({10,12,13,14,15,16,17,18,19,20,21,23,24,25,26,27,28,29,30,31,32,34,35,36,37,38},1,FIND(MID($B951,1,1),"ABCDEFGHIJKLMNOPQRSTUVWXYZ")),"")</f>
        <v/>
      </c>
      <c r="H951">
        <f>IF($F951=1,INDEX({10,12,13,14,15,16,17,18,19,20,21,23,24,25,26,27,28,29,30,31,32,34,35,36,37,38},1,FIND(MID($B951,2,1),"ABCDEFGHIJKLMNOPQRSTUVWXYZ")),"")</f>
        <v/>
      </c>
      <c r="I951">
        <f>IF($F951=1,INDEX({10,12,13,14,15,16,17,18,19,20,21,23,24,25,26,27,28,29,30,31,32,34,35,36,37,38},1,FIND(MID($B951,3,1),"ABCDEFGHIJKLMNOPQRSTUVWXYZ")),"")</f>
        <v/>
      </c>
      <c r="J951">
        <f>IF($F951=1,INDEX({10,12,13,14,15,16,17,18,19,20,21,23,24,25,26,27,28,29,30,31,32,34,35,36,37,38},1,FIND(MID($B951,4,1),"ABCDEFGHIJKLMNOPQRSTUVWXYZ")),"")</f>
        <v/>
      </c>
      <c r="K951">
        <f>IF($F951=1,FIND(MID($B951,5,1),"0123456789")-1,"")</f>
        <v/>
      </c>
      <c r="L951">
        <f>IF($F951=1,FIND(MID($B951,6,1),"0123456789")-1,"")</f>
        <v/>
      </c>
      <c r="M951">
        <f>IF($F951=1,FIND(MID($B951,7,1),"0123456789")-1,"")</f>
        <v/>
      </c>
      <c r="N951">
        <f>IF($F951=1,FIND(MID($B951,8,1),"0123456789")-1,"")</f>
        <v/>
      </c>
      <c r="O951">
        <f>IF($F951=1,FIND(MID($B951,9,1),"0123456789")-1,"")</f>
        <v/>
      </c>
      <c r="P951">
        <f>IF($F951=1,FIND(MID($B951,10,1),"0123456789")-1,"")</f>
        <v/>
      </c>
      <c r="Q951">
        <f>IF($F951=1,SUMPRODUCT($G951:$P951,{1,2,4,8,16,32,64,128,256,512}),"")</f>
        <v/>
      </c>
      <c r="R951">
        <f>IF($F951=1,MOD(MOD($Q951,11),10),"")</f>
        <v/>
      </c>
    </row>
    <row r="952">
      <c r="A952" s="6" t="n"/>
      <c r="B952" s="7">
        <f>IF($A952="","",UPPER(SUBSTITUTE(SUBSTITUTE(SUBSTITUTE(SUBSTITUTE(SUBSTITUTE(SUBSTITUTE($A952," ",""),"-",""),".",""),"/",""),"i","I"),"ı","?")))</f>
        <v/>
      </c>
      <c r="C952" s="8">
        <f>IF($F952=1,$R952,"")</f>
        <v/>
      </c>
      <c r="D952" s="7">
        <f>IF($A952="","",IF($F952=0,"Biçim hatalı",IF(FIND(MID($B952,11,1),"0123456789")-1=$R952,"Geçerli","Kontrol hanesi hatalı (doğrusu: "&amp;$R952&amp;")")))</f>
        <v/>
      </c>
      <c r="F952">
        <f>IF($A952="","",IF(AND(LEN($B952)=11,SUMPRODUCT(--ISNUMBER(FIND(MID($B952,{1,2,3},1),"ABCDEFGHIJKLMNOPQRSTUVWXYZ")))=3,ISNUMBER(FIND(MID($B952,4,1),"UJZ")),SUMPRODUCT(--ISNUMBER(FIND(MID($B952,{5,6,7,8,9,10,11},1),"0123456789")))=7),1,0))</f>
        <v/>
      </c>
      <c r="G952">
        <f>IF($F952=1,INDEX({10,12,13,14,15,16,17,18,19,20,21,23,24,25,26,27,28,29,30,31,32,34,35,36,37,38},1,FIND(MID($B952,1,1),"ABCDEFGHIJKLMNOPQRSTUVWXYZ")),"")</f>
        <v/>
      </c>
      <c r="H952">
        <f>IF($F952=1,INDEX({10,12,13,14,15,16,17,18,19,20,21,23,24,25,26,27,28,29,30,31,32,34,35,36,37,38},1,FIND(MID($B952,2,1),"ABCDEFGHIJKLMNOPQRSTUVWXYZ")),"")</f>
        <v/>
      </c>
      <c r="I952">
        <f>IF($F952=1,INDEX({10,12,13,14,15,16,17,18,19,20,21,23,24,25,26,27,28,29,30,31,32,34,35,36,37,38},1,FIND(MID($B952,3,1),"ABCDEFGHIJKLMNOPQRSTUVWXYZ")),"")</f>
        <v/>
      </c>
      <c r="J952">
        <f>IF($F952=1,INDEX({10,12,13,14,15,16,17,18,19,20,21,23,24,25,26,27,28,29,30,31,32,34,35,36,37,38},1,FIND(MID($B952,4,1),"ABCDEFGHIJKLMNOPQRSTUVWXYZ")),"")</f>
        <v/>
      </c>
      <c r="K952">
        <f>IF($F952=1,FIND(MID($B952,5,1),"0123456789")-1,"")</f>
        <v/>
      </c>
      <c r="L952">
        <f>IF($F952=1,FIND(MID($B952,6,1),"0123456789")-1,"")</f>
        <v/>
      </c>
      <c r="M952">
        <f>IF($F952=1,FIND(MID($B952,7,1),"0123456789")-1,"")</f>
        <v/>
      </c>
      <c r="N952">
        <f>IF($F952=1,FIND(MID($B952,8,1),"0123456789")-1,"")</f>
        <v/>
      </c>
      <c r="O952">
        <f>IF($F952=1,FIND(MID($B952,9,1),"0123456789")-1,"")</f>
        <v/>
      </c>
      <c r="P952">
        <f>IF($F952=1,FIND(MID($B952,10,1),"0123456789")-1,"")</f>
        <v/>
      </c>
      <c r="Q952">
        <f>IF($F952=1,SUMPRODUCT($G952:$P952,{1,2,4,8,16,32,64,128,256,512}),"")</f>
        <v/>
      </c>
      <c r="R952">
        <f>IF($F952=1,MOD(MOD($Q952,11),10),"")</f>
        <v/>
      </c>
    </row>
    <row r="953">
      <c r="A953" s="6" t="n"/>
      <c r="B953" s="7">
        <f>IF($A953="","",UPPER(SUBSTITUTE(SUBSTITUTE(SUBSTITUTE(SUBSTITUTE(SUBSTITUTE(SUBSTITUTE($A953," ",""),"-",""),".",""),"/",""),"i","I"),"ı","?")))</f>
        <v/>
      </c>
      <c r="C953" s="8">
        <f>IF($F953=1,$R953,"")</f>
        <v/>
      </c>
      <c r="D953" s="7">
        <f>IF($A953="","",IF($F953=0,"Biçim hatalı",IF(FIND(MID($B953,11,1),"0123456789")-1=$R953,"Geçerli","Kontrol hanesi hatalı (doğrusu: "&amp;$R953&amp;")")))</f>
        <v/>
      </c>
      <c r="F953">
        <f>IF($A953="","",IF(AND(LEN($B953)=11,SUMPRODUCT(--ISNUMBER(FIND(MID($B953,{1,2,3},1),"ABCDEFGHIJKLMNOPQRSTUVWXYZ")))=3,ISNUMBER(FIND(MID($B953,4,1),"UJZ")),SUMPRODUCT(--ISNUMBER(FIND(MID($B953,{5,6,7,8,9,10,11},1),"0123456789")))=7),1,0))</f>
        <v/>
      </c>
      <c r="G953">
        <f>IF($F953=1,INDEX({10,12,13,14,15,16,17,18,19,20,21,23,24,25,26,27,28,29,30,31,32,34,35,36,37,38},1,FIND(MID($B953,1,1),"ABCDEFGHIJKLMNOPQRSTUVWXYZ")),"")</f>
        <v/>
      </c>
      <c r="H953">
        <f>IF($F953=1,INDEX({10,12,13,14,15,16,17,18,19,20,21,23,24,25,26,27,28,29,30,31,32,34,35,36,37,38},1,FIND(MID($B953,2,1),"ABCDEFGHIJKLMNOPQRSTUVWXYZ")),"")</f>
        <v/>
      </c>
      <c r="I953">
        <f>IF($F953=1,INDEX({10,12,13,14,15,16,17,18,19,20,21,23,24,25,26,27,28,29,30,31,32,34,35,36,37,38},1,FIND(MID($B953,3,1),"ABCDEFGHIJKLMNOPQRSTUVWXYZ")),"")</f>
        <v/>
      </c>
      <c r="J953">
        <f>IF($F953=1,INDEX({10,12,13,14,15,16,17,18,19,20,21,23,24,25,26,27,28,29,30,31,32,34,35,36,37,38},1,FIND(MID($B953,4,1),"ABCDEFGHIJKLMNOPQRSTUVWXYZ")),"")</f>
        <v/>
      </c>
      <c r="K953">
        <f>IF($F953=1,FIND(MID($B953,5,1),"0123456789")-1,"")</f>
        <v/>
      </c>
      <c r="L953">
        <f>IF($F953=1,FIND(MID($B953,6,1),"0123456789")-1,"")</f>
        <v/>
      </c>
      <c r="M953">
        <f>IF($F953=1,FIND(MID($B953,7,1),"0123456789")-1,"")</f>
        <v/>
      </c>
      <c r="N953">
        <f>IF($F953=1,FIND(MID($B953,8,1),"0123456789")-1,"")</f>
        <v/>
      </c>
      <c r="O953">
        <f>IF($F953=1,FIND(MID($B953,9,1),"0123456789")-1,"")</f>
        <v/>
      </c>
      <c r="P953">
        <f>IF($F953=1,FIND(MID($B953,10,1),"0123456789")-1,"")</f>
        <v/>
      </c>
      <c r="Q953">
        <f>IF($F953=1,SUMPRODUCT($G953:$P953,{1,2,4,8,16,32,64,128,256,512}),"")</f>
        <v/>
      </c>
      <c r="R953">
        <f>IF($F953=1,MOD(MOD($Q953,11),10),"")</f>
        <v/>
      </c>
    </row>
    <row r="954">
      <c r="A954" s="6" t="n"/>
      <c r="B954" s="7">
        <f>IF($A954="","",UPPER(SUBSTITUTE(SUBSTITUTE(SUBSTITUTE(SUBSTITUTE(SUBSTITUTE(SUBSTITUTE($A954," ",""),"-",""),".",""),"/",""),"i","I"),"ı","?")))</f>
        <v/>
      </c>
      <c r="C954" s="8">
        <f>IF($F954=1,$R954,"")</f>
        <v/>
      </c>
      <c r="D954" s="7">
        <f>IF($A954="","",IF($F954=0,"Biçim hatalı",IF(FIND(MID($B954,11,1),"0123456789")-1=$R954,"Geçerli","Kontrol hanesi hatalı (doğrusu: "&amp;$R954&amp;")")))</f>
        <v/>
      </c>
      <c r="F954">
        <f>IF($A954="","",IF(AND(LEN($B954)=11,SUMPRODUCT(--ISNUMBER(FIND(MID($B954,{1,2,3},1),"ABCDEFGHIJKLMNOPQRSTUVWXYZ")))=3,ISNUMBER(FIND(MID($B954,4,1),"UJZ")),SUMPRODUCT(--ISNUMBER(FIND(MID($B954,{5,6,7,8,9,10,11},1),"0123456789")))=7),1,0))</f>
        <v/>
      </c>
      <c r="G954">
        <f>IF($F954=1,INDEX({10,12,13,14,15,16,17,18,19,20,21,23,24,25,26,27,28,29,30,31,32,34,35,36,37,38},1,FIND(MID($B954,1,1),"ABCDEFGHIJKLMNOPQRSTUVWXYZ")),"")</f>
        <v/>
      </c>
      <c r="H954">
        <f>IF($F954=1,INDEX({10,12,13,14,15,16,17,18,19,20,21,23,24,25,26,27,28,29,30,31,32,34,35,36,37,38},1,FIND(MID($B954,2,1),"ABCDEFGHIJKLMNOPQRSTUVWXYZ")),"")</f>
        <v/>
      </c>
      <c r="I954">
        <f>IF($F954=1,INDEX({10,12,13,14,15,16,17,18,19,20,21,23,24,25,26,27,28,29,30,31,32,34,35,36,37,38},1,FIND(MID($B954,3,1),"ABCDEFGHIJKLMNOPQRSTUVWXYZ")),"")</f>
        <v/>
      </c>
      <c r="J954">
        <f>IF($F954=1,INDEX({10,12,13,14,15,16,17,18,19,20,21,23,24,25,26,27,28,29,30,31,32,34,35,36,37,38},1,FIND(MID($B954,4,1),"ABCDEFGHIJKLMNOPQRSTUVWXYZ")),"")</f>
        <v/>
      </c>
      <c r="K954">
        <f>IF($F954=1,FIND(MID($B954,5,1),"0123456789")-1,"")</f>
        <v/>
      </c>
      <c r="L954">
        <f>IF($F954=1,FIND(MID($B954,6,1),"0123456789")-1,"")</f>
        <v/>
      </c>
      <c r="M954">
        <f>IF($F954=1,FIND(MID($B954,7,1),"0123456789")-1,"")</f>
        <v/>
      </c>
      <c r="N954">
        <f>IF($F954=1,FIND(MID($B954,8,1),"0123456789")-1,"")</f>
        <v/>
      </c>
      <c r="O954">
        <f>IF($F954=1,FIND(MID($B954,9,1),"0123456789")-1,"")</f>
        <v/>
      </c>
      <c r="P954">
        <f>IF($F954=1,FIND(MID($B954,10,1),"0123456789")-1,"")</f>
        <v/>
      </c>
      <c r="Q954">
        <f>IF($F954=1,SUMPRODUCT($G954:$P954,{1,2,4,8,16,32,64,128,256,512}),"")</f>
        <v/>
      </c>
      <c r="R954">
        <f>IF($F954=1,MOD(MOD($Q954,11),10),"")</f>
        <v/>
      </c>
    </row>
    <row r="955">
      <c r="A955" s="6" t="n"/>
      <c r="B955" s="7">
        <f>IF($A955="","",UPPER(SUBSTITUTE(SUBSTITUTE(SUBSTITUTE(SUBSTITUTE(SUBSTITUTE(SUBSTITUTE($A955," ",""),"-",""),".",""),"/",""),"i","I"),"ı","?")))</f>
        <v/>
      </c>
      <c r="C955" s="8">
        <f>IF($F955=1,$R955,"")</f>
        <v/>
      </c>
      <c r="D955" s="7">
        <f>IF($A955="","",IF($F955=0,"Biçim hatalı",IF(FIND(MID($B955,11,1),"0123456789")-1=$R955,"Geçerli","Kontrol hanesi hatalı (doğrusu: "&amp;$R955&amp;")")))</f>
        <v/>
      </c>
      <c r="F955">
        <f>IF($A955="","",IF(AND(LEN($B955)=11,SUMPRODUCT(--ISNUMBER(FIND(MID($B955,{1,2,3},1),"ABCDEFGHIJKLMNOPQRSTUVWXYZ")))=3,ISNUMBER(FIND(MID($B955,4,1),"UJZ")),SUMPRODUCT(--ISNUMBER(FIND(MID($B955,{5,6,7,8,9,10,11},1),"0123456789")))=7),1,0))</f>
        <v/>
      </c>
      <c r="G955">
        <f>IF($F955=1,INDEX({10,12,13,14,15,16,17,18,19,20,21,23,24,25,26,27,28,29,30,31,32,34,35,36,37,38},1,FIND(MID($B955,1,1),"ABCDEFGHIJKLMNOPQRSTUVWXYZ")),"")</f>
        <v/>
      </c>
      <c r="H955">
        <f>IF($F955=1,INDEX({10,12,13,14,15,16,17,18,19,20,21,23,24,25,26,27,28,29,30,31,32,34,35,36,37,38},1,FIND(MID($B955,2,1),"ABCDEFGHIJKLMNOPQRSTUVWXYZ")),"")</f>
        <v/>
      </c>
      <c r="I955">
        <f>IF($F955=1,INDEX({10,12,13,14,15,16,17,18,19,20,21,23,24,25,26,27,28,29,30,31,32,34,35,36,37,38},1,FIND(MID($B955,3,1),"ABCDEFGHIJKLMNOPQRSTUVWXYZ")),"")</f>
        <v/>
      </c>
      <c r="J955">
        <f>IF($F955=1,INDEX({10,12,13,14,15,16,17,18,19,20,21,23,24,25,26,27,28,29,30,31,32,34,35,36,37,38},1,FIND(MID($B955,4,1),"ABCDEFGHIJKLMNOPQRSTUVWXYZ")),"")</f>
        <v/>
      </c>
      <c r="K955">
        <f>IF($F955=1,FIND(MID($B955,5,1),"0123456789")-1,"")</f>
        <v/>
      </c>
      <c r="L955">
        <f>IF($F955=1,FIND(MID($B955,6,1),"0123456789")-1,"")</f>
        <v/>
      </c>
      <c r="M955">
        <f>IF($F955=1,FIND(MID($B955,7,1),"0123456789")-1,"")</f>
        <v/>
      </c>
      <c r="N955">
        <f>IF($F955=1,FIND(MID($B955,8,1),"0123456789")-1,"")</f>
        <v/>
      </c>
      <c r="O955">
        <f>IF($F955=1,FIND(MID($B955,9,1),"0123456789")-1,"")</f>
        <v/>
      </c>
      <c r="P955">
        <f>IF($F955=1,FIND(MID($B955,10,1),"0123456789")-1,"")</f>
        <v/>
      </c>
      <c r="Q955">
        <f>IF($F955=1,SUMPRODUCT($G955:$P955,{1,2,4,8,16,32,64,128,256,512}),"")</f>
        <v/>
      </c>
      <c r="R955">
        <f>IF($F955=1,MOD(MOD($Q955,11),10),"")</f>
        <v/>
      </c>
    </row>
    <row r="956">
      <c r="A956" s="6" t="n"/>
      <c r="B956" s="7">
        <f>IF($A956="","",UPPER(SUBSTITUTE(SUBSTITUTE(SUBSTITUTE(SUBSTITUTE(SUBSTITUTE(SUBSTITUTE($A956," ",""),"-",""),".",""),"/",""),"i","I"),"ı","?")))</f>
        <v/>
      </c>
      <c r="C956" s="8">
        <f>IF($F956=1,$R956,"")</f>
        <v/>
      </c>
      <c r="D956" s="7">
        <f>IF($A956="","",IF($F956=0,"Biçim hatalı",IF(FIND(MID($B956,11,1),"0123456789")-1=$R956,"Geçerli","Kontrol hanesi hatalı (doğrusu: "&amp;$R956&amp;")")))</f>
        <v/>
      </c>
      <c r="F956">
        <f>IF($A956="","",IF(AND(LEN($B956)=11,SUMPRODUCT(--ISNUMBER(FIND(MID($B956,{1,2,3},1),"ABCDEFGHIJKLMNOPQRSTUVWXYZ")))=3,ISNUMBER(FIND(MID($B956,4,1),"UJZ")),SUMPRODUCT(--ISNUMBER(FIND(MID($B956,{5,6,7,8,9,10,11},1),"0123456789")))=7),1,0))</f>
        <v/>
      </c>
      <c r="G956">
        <f>IF($F956=1,INDEX({10,12,13,14,15,16,17,18,19,20,21,23,24,25,26,27,28,29,30,31,32,34,35,36,37,38},1,FIND(MID($B956,1,1),"ABCDEFGHIJKLMNOPQRSTUVWXYZ")),"")</f>
        <v/>
      </c>
      <c r="H956">
        <f>IF($F956=1,INDEX({10,12,13,14,15,16,17,18,19,20,21,23,24,25,26,27,28,29,30,31,32,34,35,36,37,38},1,FIND(MID($B956,2,1),"ABCDEFGHIJKLMNOPQRSTUVWXYZ")),"")</f>
        <v/>
      </c>
      <c r="I956">
        <f>IF($F956=1,INDEX({10,12,13,14,15,16,17,18,19,20,21,23,24,25,26,27,28,29,30,31,32,34,35,36,37,38},1,FIND(MID($B956,3,1),"ABCDEFGHIJKLMNOPQRSTUVWXYZ")),"")</f>
        <v/>
      </c>
      <c r="J956">
        <f>IF($F956=1,INDEX({10,12,13,14,15,16,17,18,19,20,21,23,24,25,26,27,28,29,30,31,32,34,35,36,37,38},1,FIND(MID($B956,4,1),"ABCDEFGHIJKLMNOPQRSTUVWXYZ")),"")</f>
        <v/>
      </c>
      <c r="K956">
        <f>IF($F956=1,FIND(MID($B956,5,1),"0123456789")-1,"")</f>
        <v/>
      </c>
      <c r="L956">
        <f>IF($F956=1,FIND(MID($B956,6,1),"0123456789")-1,"")</f>
        <v/>
      </c>
      <c r="M956">
        <f>IF($F956=1,FIND(MID($B956,7,1),"0123456789")-1,"")</f>
        <v/>
      </c>
      <c r="N956">
        <f>IF($F956=1,FIND(MID($B956,8,1),"0123456789")-1,"")</f>
        <v/>
      </c>
      <c r="O956">
        <f>IF($F956=1,FIND(MID($B956,9,1),"0123456789")-1,"")</f>
        <v/>
      </c>
      <c r="P956">
        <f>IF($F956=1,FIND(MID($B956,10,1),"0123456789")-1,"")</f>
        <v/>
      </c>
      <c r="Q956">
        <f>IF($F956=1,SUMPRODUCT($G956:$P956,{1,2,4,8,16,32,64,128,256,512}),"")</f>
        <v/>
      </c>
      <c r="R956">
        <f>IF($F956=1,MOD(MOD($Q956,11),10),"")</f>
        <v/>
      </c>
    </row>
    <row r="957">
      <c r="A957" s="6" t="n"/>
      <c r="B957" s="7">
        <f>IF($A957="","",UPPER(SUBSTITUTE(SUBSTITUTE(SUBSTITUTE(SUBSTITUTE(SUBSTITUTE(SUBSTITUTE($A957," ",""),"-",""),".",""),"/",""),"i","I"),"ı","?")))</f>
        <v/>
      </c>
      <c r="C957" s="8">
        <f>IF($F957=1,$R957,"")</f>
        <v/>
      </c>
      <c r="D957" s="7">
        <f>IF($A957="","",IF($F957=0,"Biçim hatalı",IF(FIND(MID($B957,11,1),"0123456789")-1=$R957,"Geçerli","Kontrol hanesi hatalı (doğrusu: "&amp;$R957&amp;")")))</f>
        <v/>
      </c>
      <c r="F957">
        <f>IF($A957="","",IF(AND(LEN($B957)=11,SUMPRODUCT(--ISNUMBER(FIND(MID($B957,{1,2,3},1),"ABCDEFGHIJKLMNOPQRSTUVWXYZ")))=3,ISNUMBER(FIND(MID($B957,4,1),"UJZ")),SUMPRODUCT(--ISNUMBER(FIND(MID($B957,{5,6,7,8,9,10,11},1),"0123456789")))=7),1,0))</f>
        <v/>
      </c>
      <c r="G957">
        <f>IF($F957=1,INDEX({10,12,13,14,15,16,17,18,19,20,21,23,24,25,26,27,28,29,30,31,32,34,35,36,37,38},1,FIND(MID($B957,1,1),"ABCDEFGHIJKLMNOPQRSTUVWXYZ")),"")</f>
        <v/>
      </c>
      <c r="H957">
        <f>IF($F957=1,INDEX({10,12,13,14,15,16,17,18,19,20,21,23,24,25,26,27,28,29,30,31,32,34,35,36,37,38},1,FIND(MID($B957,2,1),"ABCDEFGHIJKLMNOPQRSTUVWXYZ")),"")</f>
        <v/>
      </c>
      <c r="I957">
        <f>IF($F957=1,INDEX({10,12,13,14,15,16,17,18,19,20,21,23,24,25,26,27,28,29,30,31,32,34,35,36,37,38},1,FIND(MID($B957,3,1),"ABCDEFGHIJKLMNOPQRSTUVWXYZ")),"")</f>
        <v/>
      </c>
      <c r="J957">
        <f>IF($F957=1,INDEX({10,12,13,14,15,16,17,18,19,20,21,23,24,25,26,27,28,29,30,31,32,34,35,36,37,38},1,FIND(MID($B957,4,1),"ABCDEFGHIJKLMNOPQRSTUVWXYZ")),"")</f>
        <v/>
      </c>
      <c r="K957">
        <f>IF($F957=1,FIND(MID($B957,5,1),"0123456789")-1,"")</f>
        <v/>
      </c>
      <c r="L957">
        <f>IF($F957=1,FIND(MID($B957,6,1),"0123456789")-1,"")</f>
        <v/>
      </c>
      <c r="M957">
        <f>IF($F957=1,FIND(MID($B957,7,1),"0123456789")-1,"")</f>
        <v/>
      </c>
      <c r="N957">
        <f>IF($F957=1,FIND(MID($B957,8,1),"0123456789")-1,"")</f>
        <v/>
      </c>
      <c r="O957">
        <f>IF($F957=1,FIND(MID($B957,9,1),"0123456789")-1,"")</f>
        <v/>
      </c>
      <c r="P957">
        <f>IF($F957=1,FIND(MID($B957,10,1),"0123456789")-1,"")</f>
        <v/>
      </c>
      <c r="Q957">
        <f>IF($F957=1,SUMPRODUCT($G957:$P957,{1,2,4,8,16,32,64,128,256,512}),"")</f>
        <v/>
      </c>
      <c r="R957">
        <f>IF($F957=1,MOD(MOD($Q957,11),10),"")</f>
        <v/>
      </c>
    </row>
    <row r="958">
      <c r="A958" s="6" t="n"/>
      <c r="B958" s="7">
        <f>IF($A958="","",UPPER(SUBSTITUTE(SUBSTITUTE(SUBSTITUTE(SUBSTITUTE(SUBSTITUTE(SUBSTITUTE($A958," ",""),"-",""),".",""),"/",""),"i","I"),"ı","?")))</f>
        <v/>
      </c>
      <c r="C958" s="8">
        <f>IF($F958=1,$R958,"")</f>
        <v/>
      </c>
      <c r="D958" s="7">
        <f>IF($A958="","",IF($F958=0,"Biçim hatalı",IF(FIND(MID($B958,11,1),"0123456789")-1=$R958,"Geçerli","Kontrol hanesi hatalı (doğrusu: "&amp;$R958&amp;")")))</f>
        <v/>
      </c>
      <c r="F958">
        <f>IF($A958="","",IF(AND(LEN($B958)=11,SUMPRODUCT(--ISNUMBER(FIND(MID($B958,{1,2,3},1),"ABCDEFGHIJKLMNOPQRSTUVWXYZ")))=3,ISNUMBER(FIND(MID($B958,4,1),"UJZ")),SUMPRODUCT(--ISNUMBER(FIND(MID($B958,{5,6,7,8,9,10,11},1),"0123456789")))=7),1,0))</f>
        <v/>
      </c>
      <c r="G958">
        <f>IF($F958=1,INDEX({10,12,13,14,15,16,17,18,19,20,21,23,24,25,26,27,28,29,30,31,32,34,35,36,37,38},1,FIND(MID($B958,1,1),"ABCDEFGHIJKLMNOPQRSTUVWXYZ")),"")</f>
        <v/>
      </c>
      <c r="H958">
        <f>IF($F958=1,INDEX({10,12,13,14,15,16,17,18,19,20,21,23,24,25,26,27,28,29,30,31,32,34,35,36,37,38},1,FIND(MID($B958,2,1),"ABCDEFGHIJKLMNOPQRSTUVWXYZ")),"")</f>
        <v/>
      </c>
      <c r="I958">
        <f>IF($F958=1,INDEX({10,12,13,14,15,16,17,18,19,20,21,23,24,25,26,27,28,29,30,31,32,34,35,36,37,38},1,FIND(MID($B958,3,1),"ABCDEFGHIJKLMNOPQRSTUVWXYZ")),"")</f>
        <v/>
      </c>
      <c r="J958">
        <f>IF($F958=1,INDEX({10,12,13,14,15,16,17,18,19,20,21,23,24,25,26,27,28,29,30,31,32,34,35,36,37,38},1,FIND(MID($B958,4,1),"ABCDEFGHIJKLMNOPQRSTUVWXYZ")),"")</f>
        <v/>
      </c>
      <c r="K958">
        <f>IF($F958=1,FIND(MID($B958,5,1),"0123456789")-1,"")</f>
        <v/>
      </c>
      <c r="L958">
        <f>IF($F958=1,FIND(MID($B958,6,1),"0123456789")-1,"")</f>
        <v/>
      </c>
      <c r="M958">
        <f>IF($F958=1,FIND(MID($B958,7,1),"0123456789")-1,"")</f>
        <v/>
      </c>
      <c r="N958">
        <f>IF($F958=1,FIND(MID($B958,8,1),"0123456789")-1,"")</f>
        <v/>
      </c>
      <c r="O958">
        <f>IF($F958=1,FIND(MID($B958,9,1),"0123456789")-1,"")</f>
        <v/>
      </c>
      <c r="P958">
        <f>IF($F958=1,FIND(MID($B958,10,1),"0123456789")-1,"")</f>
        <v/>
      </c>
      <c r="Q958">
        <f>IF($F958=1,SUMPRODUCT($G958:$P958,{1,2,4,8,16,32,64,128,256,512}),"")</f>
        <v/>
      </c>
      <c r="R958">
        <f>IF($F958=1,MOD(MOD($Q958,11),10),"")</f>
        <v/>
      </c>
    </row>
    <row r="959">
      <c r="A959" s="6" t="n"/>
      <c r="B959" s="7">
        <f>IF($A959="","",UPPER(SUBSTITUTE(SUBSTITUTE(SUBSTITUTE(SUBSTITUTE(SUBSTITUTE(SUBSTITUTE($A959," ",""),"-",""),".",""),"/",""),"i","I"),"ı","?")))</f>
        <v/>
      </c>
      <c r="C959" s="8">
        <f>IF($F959=1,$R959,"")</f>
        <v/>
      </c>
      <c r="D959" s="7">
        <f>IF($A959="","",IF($F959=0,"Biçim hatalı",IF(FIND(MID($B959,11,1),"0123456789")-1=$R959,"Geçerli","Kontrol hanesi hatalı (doğrusu: "&amp;$R959&amp;")")))</f>
        <v/>
      </c>
      <c r="F959">
        <f>IF($A959="","",IF(AND(LEN($B959)=11,SUMPRODUCT(--ISNUMBER(FIND(MID($B959,{1,2,3},1),"ABCDEFGHIJKLMNOPQRSTUVWXYZ")))=3,ISNUMBER(FIND(MID($B959,4,1),"UJZ")),SUMPRODUCT(--ISNUMBER(FIND(MID($B959,{5,6,7,8,9,10,11},1),"0123456789")))=7),1,0))</f>
        <v/>
      </c>
      <c r="G959">
        <f>IF($F959=1,INDEX({10,12,13,14,15,16,17,18,19,20,21,23,24,25,26,27,28,29,30,31,32,34,35,36,37,38},1,FIND(MID($B959,1,1),"ABCDEFGHIJKLMNOPQRSTUVWXYZ")),"")</f>
        <v/>
      </c>
      <c r="H959">
        <f>IF($F959=1,INDEX({10,12,13,14,15,16,17,18,19,20,21,23,24,25,26,27,28,29,30,31,32,34,35,36,37,38},1,FIND(MID($B959,2,1),"ABCDEFGHIJKLMNOPQRSTUVWXYZ")),"")</f>
        <v/>
      </c>
      <c r="I959">
        <f>IF($F959=1,INDEX({10,12,13,14,15,16,17,18,19,20,21,23,24,25,26,27,28,29,30,31,32,34,35,36,37,38},1,FIND(MID($B959,3,1),"ABCDEFGHIJKLMNOPQRSTUVWXYZ")),"")</f>
        <v/>
      </c>
      <c r="J959">
        <f>IF($F959=1,INDEX({10,12,13,14,15,16,17,18,19,20,21,23,24,25,26,27,28,29,30,31,32,34,35,36,37,38},1,FIND(MID($B959,4,1),"ABCDEFGHIJKLMNOPQRSTUVWXYZ")),"")</f>
        <v/>
      </c>
      <c r="K959">
        <f>IF($F959=1,FIND(MID($B959,5,1),"0123456789")-1,"")</f>
        <v/>
      </c>
      <c r="L959">
        <f>IF($F959=1,FIND(MID($B959,6,1),"0123456789")-1,"")</f>
        <v/>
      </c>
      <c r="M959">
        <f>IF($F959=1,FIND(MID($B959,7,1),"0123456789")-1,"")</f>
        <v/>
      </c>
      <c r="N959">
        <f>IF($F959=1,FIND(MID($B959,8,1),"0123456789")-1,"")</f>
        <v/>
      </c>
      <c r="O959">
        <f>IF($F959=1,FIND(MID($B959,9,1),"0123456789")-1,"")</f>
        <v/>
      </c>
      <c r="P959">
        <f>IF($F959=1,FIND(MID($B959,10,1),"0123456789")-1,"")</f>
        <v/>
      </c>
      <c r="Q959">
        <f>IF($F959=1,SUMPRODUCT($G959:$P959,{1,2,4,8,16,32,64,128,256,512}),"")</f>
        <v/>
      </c>
      <c r="R959">
        <f>IF($F959=1,MOD(MOD($Q959,11),10),"")</f>
        <v/>
      </c>
    </row>
    <row r="960">
      <c r="A960" s="6" t="n"/>
      <c r="B960" s="7">
        <f>IF($A960="","",UPPER(SUBSTITUTE(SUBSTITUTE(SUBSTITUTE(SUBSTITUTE(SUBSTITUTE(SUBSTITUTE($A960," ",""),"-",""),".",""),"/",""),"i","I"),"ı","?")))</f>
        <v/>
      </c>
      <c r="C960" s="8">
        <f>IF($F960=1,$R960,"")</f>
        <v/>
      </c>
      <c r="D960" s="7">
        <f>IF($A960="","",IF($F960=0,"Biçim hatalı",IF(FIND(MID($B960,11,1),"0123456789")-1=$R960,"Geçerli","Kontrol hanesi hatalı (doğrusu: "&amp;$R960&amp;")")))</f>
        <v/>
      </c>
      <c r="F960">
        <f>IF($A960="","",IF(AND(LEN($B960)=11,SUMPRODUCT(--ISNUMBER(FIND(MID($B960,{1,2,3},1),"ABCDEFGHIJKLMNOPQRSTUVWXYZ")))=3,ISNUMBER(FIND(MID($B960,4,1),"UJZ")),SUMPRODUCT(--ISNUMBER(FIND(MID($B960,{5,6,7,8,9,10,11},1),"0123456789")))=7),1,0))</f>
        <v/>
      </c>
      <c r="G960">
        <f>IF($F960=1,INDEX({10,12,13,14,15,16,17,18,19,20,21,23,24,25,26,27,28,29,30,31,32,34,35,36,37,38},1,FIND(MID($B960,1,1),"ABCDEFGHIJKLMNOPQRSTUVWXYZ")),"")</f>
        <v/>
      </c>
      <c r="H960">
        <f>IF($F960=1,INDEX({10,12,13,14,15,16,17,18,19,20,21,23,24,25,26,27,28,29,30,31,32,34,35,36,37,38},1,FIND(MID($B960,2,1),"ABCDEFGHIJKLMNOPQRSTUVWXYZ")),"")</f>
        <v/>
      </c>
      <c r="I960">
        <f>IF($F960=1,INDEX({10,12,13,14,15,16,17,18,19,20,21,23,24,25,26,27,28,29,30,31,32,34,35,36,37,38},1,FIND(MID($B960,3,1),"ABCDEFGHIJKLMNOPQRSTUVWXYZ")),"")</f>
        <v/>
      </c>
      <c r="J960">
        <f>IF($F960=1,INDEX({10,12,13,14,15,16,17,18,19,20,21,23,24,25,26,27,28,29,30,31,32,34,35,36,37,38},1,FIND(MID($B960,4,1),"ABCDEFGHIJKLMNOPQRSTUVWXYZ")),"")</f>
        <v/>
      </c>
      <c r="K960">
        <f>IF($F960=1,FIND(MID($B960,5,1),"0123456789")-1,"")</f>
        <v/>
      </c>
      <c r="L960">
        <f>IF($F960=1,FIND(MID($B960,6,1),"0123456789")-1,"")</f>
        <v/>
      </c>
      <c r="M960">
        <f>IF($F960=1,FIND(MID($B960,7,1),"0123456789")-1,"")</f>
        <v/>
      </c>
      <c r="N960">
        <f>IF($F960=1,FIND(MID($B960,8,1),"0123456789")-1,"")</f>
        <v/>
      </c>
      <c r="O960">
        <f>IF($F960=1,FIND(MID($B960,9,1),"0123456789")-1,"")</f>
        <v/>
      </c>
      <c r="P960">
        <f>IF($F960=1,FIND(MID($B960,10,1),"0123456789")-1,"")</f>
        <v/>
      </c>
      <c r="Q960">
        <f>IF($F960=1,SUMPRODUCT($G960:$P960,{1,2,4,8,16,32,64,128,256,512}),"")</f>
        <v/>
      </c>
      <c r="R960">
        <f>IF($F960=1,MOD(MOD($Q960,11),10),"")</f>
        <v/>
      </c>
    </row>
    <row r="961">
      <c r="A961" s="6" t="n"/>
      <c r="B961" s="7">
        <f>IF($A961="","",UPPER(SUBSTITUTE(SUBSTITUTE(SUBSTITUTE(SUBSTITUTE(SUBSTITUTE(SUBSTITUTE($A961," ",""),"-",""),".",""),"/",""),"i","I"),"ı","?")))</f>
        <v/>
      </c>
      <c r="C961" s="8">
        <f>IF($F961=1,$R961,"")</f>
        <v/>
      </c>
      <c r="D961" s="7">
        <f>IF($A961="","",IF($F961=0,"Biçim hatalı",IF(FIND(MID($B961,11,1),"0123456789")-1=$R961,"Geçerli","Kontrol hanesi hatalı (doğrusu: "&amp;$R961&amp;")")))</f>
        <v/>
      </c>
      <c r="F961">
        <f>IF($A961="","",IF(AND(LEN($B961)=11,SUMPRODUCT(--ISNUMBER(FIND(MID($B961,{1,2,3},1),"ABCDEFGHIJKLMNOPQRSTUVWXYZ")))=3,ISNUMBER(FIND(MID($B961,4,1),"UJZ")),SUMPRODUCT(--ISNUMBER(FIND(MID($B961,{5,6,7,8,9,10,11},1),"0123456789")))=7),1,0))</f>
        <v/>
      </c>
      <c r="G961">
        <f>IF($F961=1,INDEX({10,12,13,14,15,16,17,18,19,20,21,23,24,25,26,27,28,29,30,31,32,34,35,36,37,38},1,FIND(MID($B961,1,1),"ABCDEFGHIJKLMNOPQRSTUVWXYZ")),"")</f>
        <v/>
      </c>
      <c r="H961">
        <f>IF($F961=1,INDEX({10,12,13,14,15,16,17,18,19,20,21,23,24,25,26,27,28,29,30,31,32,34,35,36,37,38},1,FIND(MID($B961,2,1),"ABCDEFGHIJKLMNOPQRSTUVWXYZ")),"")</f>
        <v/>
      </c>
      <c r="I961">
        <f>IF($F961=1,INDEX({10,12,13,14,15,16,17,18,19,20,21,23,24,25,26,27,28,29,30,31,32,34,35,36,37,38},1,FIND(MID($B961,3,1),"ABCDEFGHIJKLMNOPQRSTUVWXYZ")),"")</f>
        <v/>
      </c>
      <c r="J961">
        <f>IF($F961=1,INDEX({10,12,13,14,15,16,17,18,19,20,21,23,24,25,26,27,28,29,30,31,32,34,35,36,37,38},1,FIND(MID($B961,4,1),"ABCDEFGHIJKLMNOPQRSTUVWXYZ")),"")</f>
        <v/>
      </c>
      <c r="K961">
        <f>IF($F961=1,FIND(MID($B961,5,1),"0123456789")-1,"")</f>
        <v/>
      </c>
      <c r="L961">
        <f>IF($F961=1,FIND(MID($B961,6,1),"0123456789")-1,"")</f>
        <v/>
      </c>
      <c r="M961">
        <f>IF($F961=1,FIND(MID($B961,7,1),"0123456789")-1,"")</f>
        <v/>
      </c>
      <c r="N961">
        <f>IF($F961=1,FIND(MID($B961,8,1),"0123456789")-1,"")</f>
        <v/>
      </c>
      <c r="O961">
        <f>IF($F961=1,FIND(MID($B961,9,1),"0123456789")-1,"")</f>
        <v/>
      </c>
      <c r="P961">
        <f>IF($F961=1,FIND(MID($B961,10,1),"0123456789")-1,"")</f>
        <v/>
      </c>
      <c r="Q961">
        <f>IF($F961=1,SUMPRODUCT($G961:$P961,{1,2,4,8,16,32,64,128,256,512}),"")</f>
        <v/>
      </c>
      <c r="R961">
        <f>IF($F961=1,MOD(MOD($Q961,11),10),"")</f>
        <v/>
      </c>
    </row>
    <row r="962">
      <c r="A962" s="6" t="n"/>
      <c r="B962" s="7">
        <f>IF($A962="","",UPPER(SUBSTITUTE(SUBSTITUTE(SUBSTITUTE(SUBSTITUTE(SUBSTITUTE(SUBSTITUTE($A962," ",""),"-",""),".",""),"/",""),"i","I"),"ı","?")))</f>
        <v/>
      </c>
      <c r="C962" s="8">
        <f>IF($F962=1,$R962,"")</f>
        <v/>
      </c>
      <c r="D962" s="7">
        <f>IF($A962="","",IF($F962=0,"Biçim hatalı",IF(FIND(MID($B962,11,1),"0123456789")-1=$R962,"Geçerli","Kontrol hanesi hatalı (doğrusu: "&amp;$R962&amp;")")))</f>
        <v/>
      </c>
      <c r="F962">
        <f>IF($A962="","",IF(AND(LEN($B962)=11,SUMPRODUCT(--ISNUMBER(FIND(MID($B962,{1,2,3},1),"ABCDEFGHIJKLMNOPQRSTUVWXYZ")))=3,ISNUMBER(FIND(MID($B962,4,1),"UJZ")),SUMPRODUCT(--ISNUMBER(FIND(MID($B962,{5,6,7,8,9,10,11},1),"0123456789")))=7),1,0))</f>
        <v/>
      </c>
      <c r="G962">
        <f>IF($F962=1,INDEX({10,12,13,14,15,16,17,18,19,20,21,23,24,25,26,27,28,29,30,31,32,34,35,36,37,38},1,FIND(MID($B962,1,1),"ABCDEFGHIJKLMNOPQRSTUVWXYZ")),"")</f>
        <v/>
      </c>
      <c r="H962">
        <f>IF($F962=1,INDEX({10,12,13,14,15,16,17,18,19,20,21,23,24,25,26,27,28,29,30,31,32,34,35,36,37,38},1,FIND(MID($B962,2,1),"ABCDEFGHIJKLMNOPQRSTUVWXYZ")),"")</f>
        <v/>
      </c>
      <c r="I962">
        <f>IF($F962=1,INDEX({10,12,13,14,15,16,17,18,19,20,21,23,24,25,26,27,28,29,30,31,32,34,35,36,37,38},1,FIND(MID($B962,3,1),"ABCDEFGHIJKLMNOPQRSTUVWXYZ")),"")</f>
        <v/>
      </c>
      <c r="J962">
        <f>IF($F962=1,INDEX({10,12,13,14,15,16,17,18,19,20,21,23,24,25,26,27,28,29,30,31,32,34,35,36,37,38},1,FIND(MID($B962,4,1),"ABCDEFGHIJKLMNOPQRSTUVWXYZ")),"")</f>
        <v/>
      </c>
      <c r="K962">
        <f>IF($F962=1,FIND(MID($B962,5,1),"0123456789")-1,"")</f>
        <v/>
      </c>
      <c r="L962">
        <f>IF($F962=1,FIND(MID($B962,6,1),"0123456789")-1,"")</f>
        <v/>
      </c>
      <c r="M962">
        <f>IF($F962=1,FIND(MID($B962,7,1),"0123456789")-1,"")</f>
        <v/>
      </c>
      <c r="N962">
        <f>IF($F962=1,FIND(MID($B962,8,1),"0123456789")-1,"")</f>
        <v/>
      </c>
      <c r="O962">
        <f>IF($F962=1,FIND(MID($B962,9,1),"0123456789")-1,"")</f>
        <v/>
      </c>
      <c r="P962">
        <f>IF($F962=1,FIND(MID($B962,10,1),"0123456789")-1,"")</f>
        <v/>
      </c>
      <c r="Q962">
        <f>IF($F962=1,SUMPRODUCT($G962:$P962,{1,2,4,8,16,32,64,128,256,512}),"")</f>
        <v/>
      </c>
      <c r="R962">
        <f>IF($F962=1,MOD(MOD($Q962,11),10),"")</f>
        <v/>
      </c>
    </row>
    <row r="963">
      <c r="A963" s="6" t="n"/>
      <c r="B963" s="7">
        <f>IF($A963="","",UPPER(SUBSTITUTE(SUBSTITUTE(SUBSTITUTE(SUBSTITUTE(SUBSTITUTE(SUBSTITUTE($A963," ",""),"-",""),".",""),"/",""),"i","I"),"ı","?")))</f>
        <v/>
      </c>
      <c r="C963" s="8">
        <f>IF($F963=1,$R963,"")</f>
        <v/>
      </c>
      <c r="D963" s="7">
        <f>IF($A963="","",IF($F963=0,"Biçim hatalı",IF(FIND(MID($B963,11,1),"0123456789")-1=$R963,"Geçerli","Kontrol hanesi hatalı (doğrusu: "&amp;$R963&amp;")")))</f>
        <v/>
      </c>
      <c r="F963">
        <f>IF($A963="","",IF(AND(LEN($B963)=11,SUMPRODUCT(--ISNUMBER(FIND(MID($B963,{1,2,3},1),"ABCDEFGHIJKLMNOPQRSTUVWXYZ")))=3,ISNUMBER(FIND(MID($B963,4,1),"UJZ")),SUMPRODUCT(--ISNUMBER(FIND(MID($B963,{5,6,7,8,9,10,11},1),"0123456789")))=7),1,0))</f>
        <v/>
      </c>
      <c r="G963">
        <f>IF($F963=1,INDEX({10,12,13,14,15,16,17,18,19,20,21,23,24,25,26,27,28,29,30,31,32,34,35,36,37,38},1,FIND(MID($B963,1,1),"ABCDEFGHIJKLMNOPQRSTUVWXYZ")),"")</f>
        <v/>
      </c>
      <c r="H963">
        <f>IF($F963=1,INDEX({10,12,13,14,15,16,17,18,19,20,21,23,24,25,26,27,28,29,30,31,32,34,35,36,37,38},1,FIND(MID($B963,2,1),"ABCDEFGHIJKLMNOPQRSTUVWXYZ")),"")</f>
        <v/>
      </c>
      <c r="I963">
        <f>IF($F963=1,INDEX({10,12,13,14,15,16,17,18,19,20,21,23,24,25,26,27,28,29,30,31,32,34,35,36,37,38},1,FIND(MID($B963,3,1),"ABCDEFGHIJKLMNOPQRSTUVWXYZ")),"")</f>
        <v/>
      </c>
      <c r="J963">
        <f>IF($F963=1,INDEX({10,12,13,14,15,16,17,18,19,20,21,23,24,25,26,27,28,29,30,31,32,34,35,36,37,38},1,FIND(MID($B963,4,1),"ABCDEFGHIJKLMNOPQRSTUVWXYZ")),"")</f>
        <v/>
      </c>
      <c r="K963">
        <f>IF($F963=1,FIND(MID($B963,5,1),"0123456789")-1,"")</f>
        <v/>
      </c>
      <c r="L963">
        <f>IF($F963=1,FIND(MID($B963,6,1),"0123456789")-1,"")</f>
        <v/>
      </c>
      <c r="M963">
        <f>IF($F963=1,FIND(MID($B963,7,1),"0123456789")-1,"")</f>
        <v/>
      </c>
      <c r="N963">
        <f>IF($F963=1,FIND(MID($B963,8,1),"0123456789")-1,"")</f>
        <v/>
      </c>
      <c r="O963">
        <f>IF($F963=1,FIND(MID($B963,9,1),"0123456789")-1,"")</f>
        <v/>
      </c>
      <c r="P963">
        <f>IF($F963=1,FIND(MID($B963,10,1),"0123456789")-1,"")</f>
        <v/>
      </c>
      <c r="Q963">
        <f>IF($F963=1,SUMPRODUCT($G963:$P963,{1,2,4,8,16,32,64,128,256,512}),"")</f>
        <v/>
      </c>
      <c r="R963">
        <f>IF($F963=1,MOD(MOD($Q963,11),10),"")</f>
        <v/>
      </c>
    </row>
    <row r="964">
      <c r="A964" s="6" t="n"/>
      <c r="B964" s="7">
        <f>IF($A964="","",UPPER(SUBSTITUTE(SUBSTITUTE(SUBSTITUTE(SUBSTITUTE(SUBSTITUTE(SUBSTITUTE($A964," ",""),"-",""),".",""),"/",""),"i","I"),"ı","?")))</f>
        <v/>
      </c>
      <c r="C964" s="8">
        <f>IF($F964=1,$R964,"")</f>
        <v/>
      </c>
      <c r="D964" s="7">
        <f>IF($A964="","",IF($F964=0,"Biçim hatalı",IF(FIND(MID($B964,11,1),"0123456789")-1=$R964,"Geçerli","Kontrol hanesi hatalı (doğrusu: "&amp;$R964&amp;")")))</f>
        <v/>
      </c>
      <c r="F964">
        <f>IF($A964="","",IF(AND(LEN($B964)=11,SUMPRODUCT(--ISNUMBER(FIND(MID($B964,{1,2,3},1),"ABCDEFGHIJKLMNOPQRSTUVWXYZ")))=3,ISNUMBER(FIND(MID($B964,4,1),"UJZ")),SUMPRODUCT(--ISNUMBER(FIND(MID($B964,{5,6,7,8,9,10,11},1),"0123456789")))=7),1,0))</f>
        <v/>
      </c>
      <c r="G964">
        <f>IF($F964=1,INDEX({10,12,13,14,15,16,17,18,19,20,21,23,24,25,26,27,28,29,30,31,32,34,35,36,37,38},1,FIND(MID($B964,1,1),"ABCDEFGHIJKLMNOPQRSTUVWXYZ")),"")</f>
        <v/>
      </c>
      <c r="H964">
        <f>IF($F964=1,INDEX({10,12,13,14,15,16,17,18,19,20,21,23,24,25,26,27,28,29,30,31,32,34,35,36,37,38},1,FIND(MID($B964,2,1),"ABCDEFGHIJKLMNOPQRSTUVWXYZ")),"")</f>
        <v/>
      </c>
      <c r="I964">
        <f>IF($F964=1,INDEX({10,12,13,14,15,16,17,18,19,20,21,23,24,25,26,27,28,29,30,31,32,34,35,36,37,38},1,FIND(MID($B964,3,1),"ABCDEFGHIJKLMNOPQRSTUVWXYZ")),"")</f>
        <v/>
      </c>
      <c r="J964">
        <f>IF($F964=1,INDEX({10,12,13,14,15,16,17,18,19,20,21,23,24,25,26,27,28,29,30,31,32,34,35,36,37,38},1,FIND(MID($B964,4,1),"ABCDEFGHIJKLMNOPQRSTUVWXYZ")),"")</f>
        <v/>
      </c>
      <c r="K964">
        <f>IF($F964=1,FIND(MID($B964,5,1),"0123456789")-1,"")</f>
        <v/>
      </c>
      <c r="L964">
        <f>IF($F964=1,FIND(MID($B964,6,1),"0123456789")-1,"")</f>
        <v/>
      </c>
      <c r="M964">
        <f>IF($F964=1,FIND(MID($B964,7,1),"0123456789")-1,"")</f>
        <v/>
      </c>
      <c r="N964">
        <f>IF($F964=1,FIND(MID($B964,8,1),"0123456789")-1,"")</f>
        <v/>
      </c>
      <c r="O964">
        <f>IF($F964=1,FIND(MID($B964,9,1),"0123456789")-1,"")</f>
        <v/>
      </c>
      <c r="P964">
        <f>IF($F964=1,FIND(MID($B964,10,1),"0123456789")-1,"")</f>
        <v/>
      </c>
      <c r="Q964">
        <f>IF($F964=1,SUMPRODUCT($G964:$P964,{1,2,4,8,16,32,64,128,256,512}),"")</f>
        <v/>
      </c>
      <c r="R964">
        <f>IF($F964=1,MOD(MOD($Q964,11),10),"")</f>
        <v/>
      </c>
    </row>
    <row r="965">
      <c r="A965" s="6" t="n"/>
      <c r="B965" s="7">
        <f>IF($A965="","",UPPER(SUBSTITUTE(SUBSTITUTE(SUBSTITUTE(SUBSTITUTE(SUBSTITUTE(SUBSTITUTE($A965," ",""),"-",""),".",""),"/",""),"i","I"),"ı","?")))</f>
        <v/>
      </c>
      <c r="C965" s="8">
        <f>IF($F965=1,$R965,"")</f>
        <v/>
      </c>
      <c r="D965" s="7">
        <f>IF($A965="","",IF($F965=0,"Biçim hatalı",IF(FIND(MID($B965,11,1),"0123456789")-1=$R965,"Geçerli","Kontrol hanesi hatalı (doğrusu: "&amp;$R965&amp;")")))</f>
        <v/>
      </c>
      <c r="F965">
        <f>IF($A965="","",IF(AND(LEN($B965)=11,SUMPRODUCT(--ISNUMBER(FIND(MID($B965,{1,2,3},1),"ABCDEFGHIJKLMNOPQRSTUVWXYZ")))=3,ISNUMBER(FIND(MID($B965,4,1),"UJZ")),SUMPRODUCT(--ISNUMBER(FIND(MID($B965,{5,6,7,8,9,10,11},1),"0123456789")))=7),1,0))</f>
        <v/>
      </c>
      <c r="G965">
        <f>IF($F965=1,INDEX({10,12,13,14,15,16,17,18,19,20,21,23,24,25,26,27,28,29,30,31,32,34,35,36,37,38},1,FIND(MID($B965,1,1),"ABCDEFGHIJKLMNOPQRSTUVWXYZ")),"")</f>
        <v/>
      </c>
      <c r="H965">
        <f>IF($F965=1,INDEX({10,12,13,14,15,16,17,18,19,20,21,23,24,25,26,27,28,29,30,31,32,34,35,36,37,38},1,FIND(MID($B965,2,1),"ABCDEFGHIJKLMNOPQRSTUVWXYZ")),"")</f>
        <v/>
      </c>
      <c r="I965">
        <f>IF($F965=1,INDEX({10,12,13,14,15,16,17,18,19,20,21,23,24,25,26,27,28,29,30,31,32,34,35,36,37,38},1,FIND(MID($B965,3,1),"ABCDEFGHIJKLMNOPQRSTUVWXYZ")),"")</f>
        <v/>
      </c>
      <c r="J965">
        <f>IF($F965=1,INDEX({10,12,13,14,15,16,17,18,19,20,21,23,24,25,26,27,28,29,30,31,32,34,35,36,37,38},1,FIND(MID($B965,4,1),"ABCDEFGHIJKLMNOPQRSTUVWXYZ")),"")</f>
        <v/>
      </c>
      <c r="K965">
        <f>IF($F965=1,FIND(MID($B965,5,1),"0123456789")-1,"")</f>
        <v/>
      </c>
      <c r="L965">
        <f>IF($F965=1,FIND(MID($B965,6,1),"0123456789")-1,"")</f>
        <v/>
      </c>
      <c r="M965">
        <f>IF($F965=1,FIND(MID($B965,7,1),"0123456789")-1,"")</f>
        <v/>
      </c>
      <c r="N965">
        <f>IF($F965=1,FIND(MID($B965,8,1),"0123456789")-1,"")</f>
        <v/>
      </c>
      <c r="O965">
        <f>IF($F965=1,FIND(MID($B965,9,1),"0123456789")-1,"")</f>
        <v/>
      </c>
      <c r="P965">
        <f>IF($F965=1,FIND(MID($B965,10,1),"0123456789")-1,"")</f>
        <v/>
      </c>
      <c r="Q965">
        <f>IF($F965=1,SUMPRODUCT($G965:$P965,{1,2,4,8,16,32,64,128,256,512}),"")</f>
        <v/>
      </c>
      <c r="R965">
        <f>IF($F965=1,MOD(MOD($Q965,11),10),"")</f>
        <v/>
      </c>
    </row>
    <row r="966">
      <c r="A966" s="6" t="n"/>
      <c r="B966" s="7">
        <f>IF($A966="","",UPPER(SUBSTITUTE(SUBSTITUTE(SUBSTITUTE(SUBSTITUTE(SUBSTITUTE(SUBSTITUTE($A966," ",""),"-",""),".",""),"/",""),"i","I"),"ı","?")))</f>
        <v/>
      </c>
      <c r="C966" s="8">
        <f>IF($F966=1,$R966,"")</f>
        <v/>
      </c>
      <c r="D966" s="7">
        <f>IF($A966="","",IF($F966=0,"Biçim hatalı",IF(FIND(MID($B966,11,1),"0123456789")-1=$R966,"Geçerli","Kontrol hanesi hatalı (doğrusu: "&amp;$R966&amp;")")))</f>
        <v/>
      </c>
      <c r="F966">
        <f>IF($A966="","",IF(AND(LEN($B966)=11,SUMPRODUCT(--ISNUMBER(FIND(MID($B966,{1,2,3},1),"ABCDEFGHIJKLMNOPQRSTUVWXYZ")))=3,ISNUMBER(FIND(MID($B966,4,1),"UJZ")),SUMPRODUCT(--ISNUMBER(FIND(MID($B966,{5,6,7,8,9,10,11},1),"0123456789")))=7),1,0))</f>
        <v/>
      </c>
      <c r="G966">
        <f>IF($F966=1,INDEX({10,12,13,14,15,16,17,18,19,20,21,23,24,25,26,27,28,29,30,31,32,34,35,36,37,38},1,FIND(MID($B966,1,1),"ABCDEFGHIJKLMNOPQRSTUVWXYZ")),"")</f>
        <v/>
      </c>
      <c r="H966">
        <f>IF($F966=1,INDEX({10,12,13,14,15,16,17,18,19,20,21,23,24,25,26,27,28,29,30,31,32,34,35,36,37,38},1,FIND(MID($B966,2,1),"ABCDEFGHIJKLMNOPQRSTUVWXYZ")),"")</f>
        <v/>
      </c>
      <c r="I966">
        <f>IF($F966=1,INDEX({10,12,13,14,15,16,17,18,19,20,21,23,24,25,26,27,28,29,30,31,32,34,35,36,37,38},1,FIND(MID($B966,3,1),"ABCDEFGHIJKLMNOPQRSTUVWXYZ")),"")</f>
        <v/>
      </c>
      <c r="J966">
        <f>IF($F966=1,INDEX({10,12,13,14,15,16,17,18,19,20,21,23,24,25,26,27,28,29,30,31,32,34,35,36,37,38},1,FIND(MID($B966,4,1),"ABCDEFGHIJKLMNOPQRSTUVWXYZ")),"")</f>
        <v/>
      </c>
      <c r="K966">
        <f>IF($F966=1,FIND(MID($B966,5,1),"0123456789")-1,"")</f>
        <v/>
      </c>
      <c r="L966">
        <f>IF($F966=1,FIND(MID($B966,6,1),"0123456789")-1,"")</f>
        <v/>
      </c>
      <c r="M966">
        <f>IF($F966=1,FIND(MID($B966,7,1),"0123456789")-1,"")</f>
        <v/>
      </c>
      <c r="N966">
        <f>IF($F966=1,FIND(MID($B966,8,1),"0123456789")-1,"")</f>
        <v/>
      </c>
      <c r="O966">
        <f>IF($F966=1,FIND(MID($B966,9,1),"0123456789")-1,"")</f>
        <v/>
      </c>
      <c r="P966">
        <f>IF($F966=1,FIND(MID($B966,10,1),"0123456789")-1,"")</f>
        <v/>
      </c>
      <c r="Q966">
        <f>IF($F966=1,SUMPRODUCT($G966:$P966,{1,2,4,8,16,32,64,128,256,512}),"")</f>
        <v/>
      </c>
      <c r="R966">
        <f>IF($F966=1,MOD(MOD($Q966,11),10),"")</f>
        <v/>
      </c>
    </row>
    <row r="967">
      <c r="A967" s="6" t="n"/>
      <c r="B967" s="7">
        <f>IF($A967="","",UPPER(SUBSTITUTE(SUBSTITUTE(SUBSTITUTE(SUBSTITUTE(SUBSTITUTE(SUBSTITUTE($A967," ",""),"-",""),".",""),"/",""),"i","I"),"ı","?")))</f>
        <v/>
      </c>
      <c r="C967" s="8">
        <f>IF($F967=1,$R967,"")</f>
        <v/>
      </c>
      <c r="D967" s="7">
        <f>IF($A967="","",IF($F967=0,"Biçim hatalı",IF(FIND(MID($B967,11,1),"0123456789")-1=$R967,"Geçerli","Kontrol hanesi hatalı (doğrusu: "&amp;$R967&amp;")")))</f>
        <v/>
      </c>
      <c r="F967">
        <f>IF($A967="","",IF(AND(LEN($B967)=11,SUMPRODUCT(--ISNUMBER(FIND(MID($B967,{1,2,3},1),"ABCDEFGHIJKLMNOPQRSTUVWXYZ")))=3,ISNUMBER(FIND(MID($B967,4,1),"UJZ")),SUMPRODUCT(--ISNUMBER(FIND(MID($B967,{5,6,7,8,9,10,11},1),"0123456789")))=7),1,0))</f>
        <v/>
      </c>
      <c r="G967">
        <f>IF($F967=1,INDEX({10,12,13,14,15,16,17,18,19,20,21,23,24,25,26,27,28,29,30,31,32,34,35,36,37,38},1,FIND(MID($B967,1,1),"ABCDEFGHIJKLMNOPQRSTUVWXYZ")),"")</f>
        <v/>
      </c>
      <c r="H967">
        <f>IF($F967=1,INDEX({10,12,13,14,15,16,17,18,19,20,21,23,24,25,26,27,28,29,30,31,32,34,35,36,37,38},1,FIND(MID($B967,2,1),"ABCDEFGHIJKLMNOPQRSTUVWXYZ")),"")</f>
        <v/>
      </c>
      <c r="I967">
        <f>IF($F967=1,INDEX({10,12,13,14,15,16,17,18,19,20,21,23,24,25,26,27,28,29,30,31,32,34,35,36,37,38},1,FIND(MID($B967,3,1),"ABCDEFGHIJKLMNOPQRSTUVWXYZ")),"")</f>
        <v/>
      </c>
      <c r="J967">
        <f>IF($F967=1,INDEX({10,12,13,14,15,16,17,18,19,20,21,23,24,25,26,27,28,29,30,31,32,34,35,36,37,38},1,FIND(MID($B967,4,1),"ABCDEFGHIJKLMNOPQRSTUVWXYZ")),"")</f>
        <v/>
      </c>
      <c r="K967">
        <f>IF($F967=1,FIND(MID($B967,5,1),"0123456789")-1,"")</f>
        <v/>
      </c>
      <c r="L967">
        <f>IF($F967=1,FIND(MID($B967,6,1),"0123456789")-1,"")</f>
        <v/>
      </c>
      <c r="M967">
        <f>IF($F967=1,FIND(MID($B967,7,1),"0123456789")-1,"")</f>
        <v/>
      </c>
      <c r="N967">
        <f>IF($F967=1,FIND(MID($B967,8,1),"0123456789")-1,"")</f>
        <v/>
      </c>
      <c r="O967">
        <f>IF($F967=1,FIND(MID($B967,9,1),"0123456789")-1,"")</f>
        <v/>
      </c>
      <c r="P967">
        <f>IF($F967=1,FIND(MID($B967,10,1),"0123456789")-1,"")</f>
        <v/>
      </c>
      <c r="Q967">
        <f>IF($F967=1,SUMPRODUCT($G967:$P967,{1,2,4,8,16,32,64,128,256,512}),"")</f>
        <v/>
      </c>
      <c r="R967">
        <f>IF($F967=1,MOD(MOD($Q967,11),10),"")</f>
        <v/>
      </c>
    </row>
    <row r="968">
      <c r="A968" s="6" t="n"/>
      <c r="B968" s="7">
        <f>IF($A968="","",UPPER(SUBSTITUTE(SUBSTITUTE(SUBSTITUTE(SUBSTITUTE(SUBSTITUTE(SUBSTITUTE($A968," ",""),"-",""),".",""),"/",""),"i","I"),"ı","?")))</f>
        <v/>
      </c>
      <c r="C968" s="8">
        <f>IF($F968=1,$R968,"")</f>
        <v/>
      </c>
      <c r="D968" s="7">
        <f>IF($A968="","",IF($F968=0,"Biçim hatalı",IF(FIND(MID($B968,11,1),"0123456789")-1=$R968,"Geçerli","Kontrol hanesi hatalı (doğrusu: "&amp;$R968&amp;")")))</f>
        <v/>
      </c>
      <c r="F968">
        <f>IF($A968="","",IF(AND(LEN($B968)=11,SUMPRODUCT(--ISNUMBER(FIND(MID($B968,{1,2,3},1),"ABCDEFGHIJKLMNOPQRSTUVWXYZ")))=3,ISNUMBER(FIND(MID($B968,4,1),"UJZ")),SUMPRODUCT(--ISNUMBER(FIND(MID($B968,{5,6,7,8,9,10,11},1),"0123456789")))=7),1,0))</f>
        <v/>
      </c>
      <c r="G968">
        <f>IF($F968=1,INDEX({10,12,13,14,15,16,17,18,19,20,21,23,24,25,26,27,28,29,30,31,32,34,35,36,37,38},1,FIND(MID($B968,1,1),"ABCDEFGHIJKLMNOPQRSTUVWXYZ")),"")</f>
        <v/>
      </c>
      <c r="H968">
        <f>IF($F968=1,INDEX({10,12,13,14,15,16,17,18,19,20,21,23,24,25,26,27,28,29,30,31,32,34,35,36,37,38},1,FIND(MID($B968,2,1),"ABCDEFGHIJKLMNOPQRSTUVWXYZ")),"")</f>
        <v/>
      </c>
      <c r="I968">
        <f>IF($F968=1,INDEX({10,12,13,14,15,16,17,18,19,20,21,23,24,25,26,27,28,29,30,31,32,34,35,36,37,38},1,FIND(MID($B968,3,1),"ABCDEFGHIJKLMNOPQRSTUVWXYZ")),"")</f>
        <v/>
      </c>
      <c r="J968">
        <f>IF($F968=1,INDEX({10,12,13,14,15,16,17,18,19,20,21,23,24,25,26,27,28,29,30,31,32,34,35,36,37,38},1,FIND(MID($B968,4,1),"ABCDEFGHIJKLMNOPQRSTUVWXYZ")),"")</f>
        <v/>
      </c>
      <c r="K968">
        <f>IF($F968=1,FIND(MID($B968,5,1),"0123456789")-1,"")</f>
        <v/>
      </c>
      <c r="L968">
        <f>IF($F968=1,FIND(MID($B968,6,1),"0123456789")-1,"")</f>
        <v/>
      </c>
      <c r="M968">
        <f>IF($F968=1,FIND(MID($B968,7,1),"0123456789")-1,"")</f>
        <v/>
      </c>
      <c r="N968">
        <f>IF($F968=1,FIND(MID($B968,8,1),"0123456789")-1,"")</f>
        <v/>
      </c>
      <c r="O968">
        <f>IF($F968=1,FIND(MID($B968,9,1),"0123456789")-1,"")</f>
        <v/>
      </c>
      <c r="P968">
        <f>IF($F968=1,FIND(MID($B968,10,1),"0123456789")-1,"")</f>
        <v/>
      </c>
      <c r="Q968">
        <f>IF($F968=1,SUMPRODUCT($G968:$P968,{1,2,4,8,16,32,64,128,256,512}),"")</f>
        <v/>
      </c>
      <c r="R968">
        <f>IF($F968=1,MOD(MOD($Q968,11),10),"")</f>
        <v/>
      </c>
    </row>
    <row r="969">
      <c r="A969" s="6" t="n"/>
      <c r="B969" s="7">
        <f>IF($A969="","",UPPER(SUBSTITUTE(SUBSTITUTE(SUBSTITUTE(SUBSTITUTE(SUBSTITUTE(SUBSTITUTE($A969," ",""),"-",""),".",""),"/",""),"i","I"),"ı","?")))</f>
        <v/>
      </c>
      <c r="C969" s="8">
        <f>IF($F969=1,$R969,"")</f>
        <v/>
      </c>
      <c r="D969" s="7">
        <f>IF($A969="","",IF($F969=0,"Biçim hatalı",IF(FIND(MID($B969,11,1),"0123456789")-1=$R969,"Geçerli","Kontrol hanesi hatalı (doğrusu: "&amp;$R969&amp;")")))</f>
        <v/>
      </c>
      <c r="F969">
        <f>IF($A969="","",IF(AND(LEN($B969)=11,SUMPRODUCT(--ISNUMBER(FIND(MID($B969,{1,2,3},1),"ABCDEFGHIJKLMNOPQRSTUVWXYZ")))=3,ISNUMBER(FIND(MID($B969,4,1),"UJZ")),SUMPRODUCT(--ISNUMBER(FIND(MID($B969,{5,6,7,8,9,10,11},1),"0123456789")))=7),1,0))</f>
        <v/>
      </c>
      <c r="G969">
        <f>IF($F969=1,INDEX({10,12,13,14,15,16,17,18,19,20,21,23,24,25,26,27,28,29,30,31,32,34,35,36,37,38},1,FIND(MID($B969,1,1),"ABCDEFGHIJKLMNOPQRSTUVWXYZ")),"")</f>
        <v/>
      </c>
      <c r="H969">
        <f>IF($F969=1,INDEX({10,12,13,14,15,16,17,18,19,20,21,23,24,25,26,27,28,29,30,31,32,34,35,36,37,38},1,FIND(MID($B969,2,1),"ABCDEFGHIJKLMNOPQRSTUVWXYZ")),"")</f>
        <v/>
      </c>
      <c r="I969">
        <f>IF($F969=1,INDEX({10,12,13,14,15,16,17,18,19,20,21,23,24,25,26,27,28,29,30,31,32,34,35,36,37,38},1,FIND(MID($B969,3,1),"ABCDEFGHIJKLMNOPQRSTUVWXYZ")),"")</f>
        <v/>
      </c>
      <c r="J969">
        <f>IF($F969=1,INDEX({10,12,13,14,15,16,17,18,19,20,21,23,24,25,26,27,28,29,30,31,32,34,35,36,37,38},1,FIND(MID($B969,4,1),"ABCDEFGHIJKLMNOPQRSTUVWXYZ")),"")</f>
        <v/>
      </c>
      <c r="K969">
        <f>IF($F969=1,FIND(MID($B969,5,1),"0123456789")-1,"")</f>
        <v/>
      </c>
      <c r="L969">
        <f>IF($F969=1,FIND(MID($B969,6,1),"0123456789")-1,"")</f>
        <v/>
      </c>
      <c r="M969">
        <f>IF($F969=1,FIND(MID($B969,7,1),"0123456789")-1,"")</f>
        <v/>
      </c>
      <c r="N969">
        <f>IF($F969=1,FIND(MID($B969,8,1),"0123456789")-1,"")</f>
        <v/>
      </c>
      <c r="O969">
        <f>IF($F969=1,FIND(MID($B969,9,1),"0123456789")-1,"")</f>
        <v/>
      </c>
      <c r="P969">
        <f>IF($F969=1,FIND(MID($B969,10,1),"0123456789")-1,"")</f>
        <v/>
      </c>
      <c r="Q969">
        <f>IF($F969=1,SUMPRODUCT($G969:$P969,{1,2,4,8,16,32,64,128,256,512}),"")</f>
        <v/>
      </c>
      <c r="R969">
        <f>IF($F969=1,MOD(MOD($Q969,11),10),"")</f>
        <v/>
      </c>
    </row>
    <row r="970">
      <c r="A970" s="6" t="n"/>
      <c r="B970" s="7">
        <f>IF($A970="","",UPPER(SUBSTITUTE(SUBSTITUTE(SUBSTITUTE(SUBSTITUTE(SUBSTITUTE(SUBSTITUTE($A970," ",""),"-",""),".",""),"/",""),"i","I"),"ı","?")))</f>
        <v/>
      </c>
      <c r="C970" s="8">
        <f>IF($F970=1,$R970,"")</f>
        <v/>
      </c>
      <c r="D970" s="7">
        <f>IF($A970="","",IF($F970=0,"Biçim hatalı",IF(FIND(MID($B970,11,1),"0123456789")-1=$R970,"Geçerli","Kontrol hanesi hatalı (doğrusu: "&amp;$R970&amp;")")))</f>
        <v/>
      </c>
      <c r="F970">
        <f>IF($A970="","",IF(AND(LEN($B970)=11,SUMPRODUCT(--ISNUMBER(FIND(MID($B970,{1,2,3},1),"ABCDEFGHIJKLMNOPQRSTUVWXYZ")))=3,ISNUMBER(FIND(MID($B970,4,1),"UJZ")),SUMPRODUCT(--ISNUMBER(FIND(MID($B970,{5,6,7,8,9,10,11},1),"0123456789")))=7),1,0))</f>
        <v/>
      </c>
      <c r="G970">
        <f>IF($F970=1,INDEX({10,12,13,14,15,16,17,18,19,20,21,23,24,25,26,27,28,29,30,31,32,34,35,36,37,38},1,FIND(MID($B970,1,1),"ABCDEFGHIJKLMNOPQRSTUVWXYZ")),"")</f>
        <v/>
      </c>
      <c r="H970">
        <f>IF($F970=1,INDEX({10,12,13,14,15,16,17,18,19,20,21,23,24,25,26,27,28,29,30,31,32,34,35,36,37,38},1,FIND(MID($B970,2,1),"ABCDEFGHIJKLMNOPQRSTUVWXYZ")),"")</f>
        <v/>
      </c>
      <c r="I970">
        <f>IF($F970=1,INDEX({10,12,13,14,15,16,17,18,19,20,21,23,24,25,26,27,28,29,30,31,32,34,35,36,37,38},1,FIND(MID($B970,3,1),"ABCDEFGHIJKLMNOPQRSTUVWXYZ")),"")</f>
        <v/>
      </c>
      <c r="J970">
        <f>IF($F970=1,INDEX({10,12,13,14,15,16,17,18,19,20,21,23,24,25,26,27,28,29,30,31,32,34,35,36,37,38},1,FIND(MID($B970,4,1),"ABCDEFGHIJKLMNOPQRSTUVWXYZ")),"")</f>
        <v/>
      </c>
      <c r="K970">
        <f>IF($F970=1,FIND(MID($B970,5,1),"0123456789")-1,"")</f>
        <v/>
      </c>
      <c r="L970">
        <f>IF($F970=1,FIND(MID($B970,6,1),"0123456789")-1,"")</f>
        <v/>
      </c>
      <c r="M970">
        <f>IF($F970=1,FIND(MID($B970,7,1),"0123456789")-1,"")</f>
        <v/>
      </c>
      <c r="N970">
        <f>IF($F970=1,FIND(MID($B970,8,1),"0123456789")-1,"")</f>
        <v/>
      </c>
      <c r="O970">
        <f>IF($F970=1,FIND(MID($B970,9,1),"0123456789")-1,"")</f>
        <v/>
      </c>
      <c r="P970">
        <f>IF($F970=1,FIND(MID($B970,10,1),"0123456789")-1,"")</f>
        <v/>
      </c>
      <c r="Q970">
        <f>IF($F970=1,SUMPRODUCT($G970:$P970,{1,2,4,8,16,32,64,128,256,512}),"")</f>
        <v/>
      </c>
      <c r="R970">
        <f>IF($F970=1,MOD(MOD($Q970,11),10),"")</f>
        <v/>
      </c>
    </row>
    <row r="971">
      <c r="A971" s="6" t="n"/>
      <c r="B971" s="7">
        <f>IF($A971="","",UPPER(SUBSTITUTE(SUBSTITUTE(SUBSTITUTE(SUBSTITUTE(SUBSTITUTE(SUBSTITUTE($A971," ",""),"-",""),".",""),"/",""),"i","I"),"ı","?")))</f>
        <v/>
      </c>
      <c r="C971" s="8">
        <f>IF($F971=1,$R971,"")</f>
        <v/>
      </c>
      <c r="D971" s="7">
        <f>IF($A971="","",IF($F971=0,"Biçim hatalı",IF(FIND(MID($B971,11,1),"0123456789")-1=$R971,"Geçerli","Kontrol hanesi hatalı (doğrusu: "&amp;$R971&amp;")")))</f>
        <v/>
      </c>
      <c r="F971">
        <f>IF($A971="","",IF(AND(LEN($B971)=11,SUMPRODUCT(--ISNUMBER(FIND(MID($B971,{1,2,3},1),"ABCDEFGHIJKLMNOPQRSTUVWXYZ")))=3,ISNUMBER(FIND(MID($B971,4,1),"UJZ")),SUMPRODUCT(--ISNUMBER(FIND(MID($B971,{5,6,7,8,9,10,11},1),"0123456789")))=7),1,0))</f>
        <v/>
      </c>
      <c r="G971">
        <f>IF($F971=1,INDEX({10,12,13,14,15,16,17,18,19,20,21,23,24,25,26,27,28,29,30,31,32,34,35,36,37,38},1,FIND(MID($B971,1,1),"ABCDEFGHIJKLMNOPQRSTUVWXYZ")),"")</f>
        <v/>
      </c>
      <c r="H971">
        <f>IF($F971=1,INDEX({10,12,13,14,15,16,17,18,19,20,21,23,24,25,26,27,28,29,30,31,32,34,35,36,37,38},1,FIND(MID($B971,2,1),"ABCDEFGHIJKLMNOPQRSTUVWXYZ")),"")</f>
        <v/>
      </c>
      <c r="I971">
        <f>IF($F971=1,INDEX({10,12,13,14,15,16,17,18,19,20,21,23,24,25,26,27,28,29,30,31,32,34,35,36,37,38},1,FIND(MID($B971,3,1),"ABCDEFGHIJKLMNOPQRSTUVWXYZ")),"")</f>
        <v/>
      </c>
      <c r="J971">
        <f>IF($F971=1,INDEX({10,12,13,14,15,16,17,18,19,20,21,23,24,25,26,27,28,29,30,31,32,34,35,36,37,38},1,FIND(MID($B971,4,1),"ABCDEFGHIJKLMNOPQRSTUVWXYZ")),"")</f>
        <v/>
      </c>
      <c r="K971">
        <f>IF($F971=1,FIND(MID($B971,5,1),"0123456789")-1,"")</f>
        <v/>
      </c>
      <c r="L971">
        <f>IF($F971=1,FIND(MID($B971,6,1),"0123456789")-1,"")</f>
        <v/>
      </c>
      <c r="M971">
        <f>IF($F971=1,FIND(MID($B971,7,1),"0123456789")-1,"")</f>
        <v/>
      </c>
      <c r="N971">
        <f>IF($F971=1,FIND(MID($B971,8,1),"0123456789")-1,"")</f>
        <v/>
      </c>
      <c r="O971">
        <f>IF($F971=1,FIND(MID($B971,9,1),"0123456789")-1,"")</f>
        <v/>
      </c>
      <c r="P971">
        <f>IF($F971=1,FIND(MID($B971,10,1),"0123456789")-1,"")</f>
        <v/>
      </c>
      <c r="Q971">
        <f>IF($F971=1,SUMPRODUCT($G971:$P971,{1,2,4,8,16,32,64,128,256,512}),"")</f>
        <v/>
      </c>
      <c r="R971">
        <f>IF($F971=1,MOD(MOD($Q971,11),10),"")</f>
        <v/>
      </c>
    </row>
    <row r="972">
      <c r="A972" s="6" t="n"/>
      <c r="B972" s="7">
        <f>IF($A972="","",UPPER(SUBSTITUTE(SUBSTITUTE(SUBSTITUTE(SUBSTITUTE(SUBSTITUTE(SUBSTITUTE($A972," ",""),"-",""),".",""),"/",""),"i","I"),"ı","?")))</f>
        <v/>
      </c>
      <c r="C972" s="8">
        <f>IF($F972=1,$R972,"")</f>
        <v/>
      </c>
      <c r="D972" s="7">
        <f>IF($A972="","",IF($F972=0,"Biçim hatalı",IF(FIND(MID($B972,11,1),"0123456789")-1=$R972,"Geçerli","Kontrol hanesi hatalı (doğrusu: "&amp;$R972&amp;")")))</f>
        <v/>
      </c>
      <c r="F972">
        <f>IF($A972="","",IF(AND(LEN($B972)=11,SUMPRODUCT(--ISNUMBER(FIND(MID($B972,{1,2,3},1),"ABCDEFGHIJKLMNOPQRSTUVWXYZ")))=3,ISNUMBER(FIND(MID($B972,4,1),"UJZ")),SUMPRODUCT(--ISNUMBER(FIND(MID($B972,{5,6,7,8,9,10,11},1),"0123456789")))=7),1,0))</f>
        <v/>
      </c>
      <c r="G972">
        <f>IF($F972=1,INDEX({10,12,13,14,15,16,17,18,19,20,21,23,24,25,26,27,28,29,30,31,32,34,35,36,37,38},1,FIND(MID($B972,1,1),"ABCDEFGHIJKLMNOPQRSTUVWXYZ")),"")</f>
        <v/>
      </c>
      <c r="H972">
        <f>IF($F972=1,INDEX({10,12,13,14,15,16,17,18,19,20,21,23,24,25,26,27,28,29,30,31,32,34,35,36,37,38},1,FIND(MID($B972,2,1),"ABCDEFGHIJKLMNOPQRSTUVWXYZ")),"")</f>
        <v/>
      </c>
      <c r="I972">
        <f>IF($F972=1,INDEX({10,12,13,14,15,16,17,18,19,20,21,23,24,25,26,27,28,29,30,31,32,34,35,36,37,38},1,FIND(MID($B972,3,1),"ABCDEFGHIJKLMNOPQRSTUVWXYZ")),"")</f>
        <v/>
      </c>
      <c r="J972">
        <f>IF($F972=1,INDEX({10,12,13,14,15,16,17,18,19,20,21,23,24,25,26,27,28,29,30,31,32,34,35,36,37,38},1,FIND(MID($B972,4,1),"ABCDEFGHIJKLMNOPQRSTUVWXYZ")),"")</f>
        <v/>
      </c>
      <c r="K972">
        <f>IF($F972=1,FIND(MID($B972,5,1),"0123456789")-1,"")</f>
        <v/>
      </c>
      <c r="L972">
        <f>IF($F972=1,FIND(MID($B972,6,1),"0123456789")-1,"")</f>
        <v/>
      </c>
      <c r="M972">
        <f>IF($F972=1,FIND(MID($B972,7,1),"0123456789")-1,"")</f>
        <v/>
      </c>
      <c r="N972">
        <f>IF($F972=1,FIND(MID($B972,8,1),"0123456789")-1,"")</f>
        <v/>
      </c>
      <c r="O972">
        <f>IF($F972=1,FIND(MID($B972,9,1),"0123456789")-1,"")</f>
        <v/>
      </c>
      <c r="P972">
        <f>IF($F972=1,FIND(MID($B972,10,1),"0123456789")-1,"")</f>
        <v/>
      </c>
      <c r="Q972">
        <f>IF($F972=1,SUMPRODUCT($G972:$P972,{1,2,4,8,16,32,64,128,256,512}),"")</f>
        <v/>
      </c>
      <c r="R972">
        <f>IF($F972=1,MOD(MOD($Q972,11),10),"")</f>
        <v/>
      </c>
    </row>
    <row r="973">
      <c r="A973" s="6" t="n"/>
      <c r="B973" s="7">
        <f>IF($A973="","",UPPER(SUBSTITUTE(SUBSTITUTE(SUBSTITUTE(SUBSTITUTE(SUBSTITUTE(SUBSTITUTE($A973," ",""),"-",""),".",""),"/",""),"i","I"),"ı","?")))</f>
        <v/>
      </c>
      <c r="C973" s="8">
        <f>IF($F973=1,$R973,"")</f>
        <v/>
      </c>
      <c r="D973" s="7">
        <f>IF($A973="","",IF($F973=0,"Biçim hatalı",IF(FIND(MID($B973,11,1),"0123456789")-1=$R973,"Geçerli","Kontrol hanesi hatalı (doğrusu: "&amp;$R973&amp;")")))</f>
        <v/>
      </c>
      <c r="F973">
        <f>IF($A973="","",IF(AND(LEN($B973)=11,SUMPRODUCT(--ISNUMBER(FIND(MID($B973,{1,2,3},1),"ABCDEFGHIJKLMNOPQRSTUVWXYZ")))=3,ISNUMBER(FIND(MID($B973,4,1),"UJZ")),SUMPRODUCT(--ISNUMBER(FIND(MID($B973,{5,6,7,8,9,10,11},1),"0123456789")))=7),1,0))</f>
        <v/>
      </c>
      <c r="G973">
        <f>IF($F973=1,INDEX({10,12,13,14,15,16,17,18,19,20,21,23,24,25,26,27,28,29,30,31,32,34,35,36,37,38},1,FIND(MID($B973,1,1),"ABCDEFGHIJKLMNOPQRSTUVWXYZ")),"")</f>
        <v/>
      </c>
      <c r="H973">
        <f>IF($F973=1,INDEX({10,12,13,14,15,16,17,18,19,20,21,23,24,25,26,27,28,29,30,31,32,34,35,36,37,38},1,FIND(MID($B973,2,1),"ABCDEFGHIJKLMNOPQRSTUVWXYZ")),"")</f>
        <v/>
      </c>
      <c r="I973">
        <f>IF($F973=1,INDEX({10,12,13,14,15,16,17,18,19,20,21,23,24,25,26,27,28,29,30,31,32,34,35,36,37,38},1,FIND(MID($B973,3,1),"ABCDEFGHIJKLMNOPQRSTUVWXYZ")),"")</f>
        <v/>
      </c>
      <c r="J973">
        <f>IF($F973=1,INDEX({10,12,13,14,15,16,17,18,19,20,21,23,24,25,26,27,28,29,30,31,32,34,35,36,37,38},1,FIND(MID($B973,4,1),"ABCDEFGHIJKLMNOPQRSTUVWXYZ")),"")</f>
        <v/>
      </c>
      <c r="K973">
        <f>IF($F973=1,FIND(MID($B973,5,1),"0123456789")-1,"")</f>
        <v/>
      </c>
      <c r="L973">
        <f>IF($F973=1,FIND(MID($B973,6,1),"0123456789")-1,"")</f>
        <v/>
      </c>
      <c r="M973">
        <f>IF($F973=1,FIND(MID($B973,7,1),"0123456789")-1,"")</f>
        <v/>
      </c>
      <c r="N973">
        <f>IF($F973=1,FIND(MID($B973,8,1),"0123456789")-1,"")</f>
        <v/>
      </c>
      <c r="O973">
        <f>IF($F973=1,FIND(MID($B973,9,1),"0123456789")-1,"")</f>
        <v/>
      </c>
      <c r="P973">
        <f>IF($F973=1,FIND(MID($B973,10,1),"0123456789")-1,"")</f>
        <v/>
      </c>
      <c r="Q973">
        <f>IF($F973=1,SUMPRODUCT($G973:$P973,{1,2,4,8,16,32,64,128,256,512}),"")</f>
        <v/>
      </c>
      <c r="R973">
        <f>IF($F973=1,MOD(MOD($Q973,11),10),"")</f>
        <v/>
      </c>
    </row>
    <row r="974">
      <c r="A974" s="6" t="n"/>
      <c r="B974" s="7">
        <f>IF($A974="","",UPPER(SUBSTITUTE(SUBSTITUTE(SUBSTITUTE(SUBSTITUTE(SUBSTITUTE(SUBSTITUTE($A974," ",""),"-",""),".",""),"/",""),"i","I"),"ı","?")))</f>
        <v/>
      </c>
      <c r="C974" s="8">
        <f>IF($F974=1,$R974,"")</f>
        <v/>
      </c>
      <c r="D974" s="7">
        <f>IF($A974="","",IF($F974=0,"Biçim hatalı",IF(FIND(MID($B974,11,1),"0123456789")-1=$R974,"Geçerli","Kontrol hanesi hatalı (doğrusu: "&amp;$R974&amp;")")))</f>
        <v/>
      </c>
      <c r="F974">
        <f>IF($A974="","",IF(AND(LEN($B974)=11,SUMPRODUCT(--ISNUMBER(FIND(MID($B974,{1,2,3},1),"ABCDEFGHIJKLMNOPQRSTUVWXYZ")))=3,ISNUMBER(FIND(MID($B974,4,1),"UJZ")),SUMPRODUCT(--ISNUMBER(FIND(MID($B974,{5,6,7,8,9,10,11},1),"0123456789")))=7),1,0))</f>
        <v/>
      </c>
      <c r="G974">
        <f>IF($F974=1,INDEX({10,12,13,14,15,16,17,18,19,20,21,23,24,25,26,27,28,29,30,31,32,34,35,36,37,38},1,FIND(MID($B974,1,1),"ABCDEFGHIJKLMNOPQRSTUVWXYZ")),"")</f>
        <v/>
      </c>
      <c r="H974">
        <f>IF($F974=1,INDEX({10,12,13,14,15,16,17,18,19,20,21,23,24,25,26,27,28,29,30,31,32,34,35,36,37,38},1,FIND(MID($B974,2,1),"ABCDEFGHIJKLMNOPQRSTUVWXYZ")),"")</f>
        <v/>
      </c>
      <c r="I974">
        <f>IF($F974=1,INDEX({10,12,13,14,15,16,17,18,19,20,21,23,24,25,26,27,28,29,30,31,32,34,35,36,37,38},1,FIND(MID($B974,3,1),"ABCDEFGHIJKLMNOPQRSTUVWXYZ")),"")</f>
        <v/>
      </c>
      <c r="J974">
        <f>IF($F974=1,INDEX({10,12,13,14,15,16,17,18,19,20,21,23,24,25,26,27,28,29,30,31,32,34,35,36,37,38},1,FIND(MID($B974,4,1),"ABCDEFGHIJKLMNOPQRSTUVWXYZ")),"")</f>
        <v/>
      </c>
      <c r="K974">
        <f>IF($F974=1,FIND(MID($B974,5,1),"0123456789")-1,"")</f>
        <v/>
      </c>
      <c r="L974">
        <f>IF($F974=1,FIND(MID($B974,6,1),"0123456789")-1,"")</f>
        <v/>
      </c>
      <c r="M974">
        <f>IF($F974=1,FIND(MID($B974,7,1),"0123456789")-1,"")</f>
        <v/>
      </c>
      <c r="N974">
        <f>IF($F974=1,FIND(MID($B974,8,1),"0123456789")-1,"")</f>
        <v/>
      </c>
      <c r="O974">
        <f>IF($F974=1,FIND(MID($B974,9,1),"0123456789")-1,"")</f>
        <v/>
      </c>
      <c r="P974">
        <f>IF($F974=1,FIND(MID($B974,10,1),"0123456789")-1,"")</f>
        <v/>
      </c>
      <c r="Q974">
        <f>IF($F974=1,SUMPRODUCT($G974:$P974,{1,2,4,8,16,32,64,128,256,512}),"")</f>
        <v/>
      </c>
      <c r="R974">
        <f>IF($F974=1,MOD(MOD($Q974,11),10),"")</f>
        <v/>
      </c>
    </row>
    <row r="975">
      <c r="A975" s="6" t="n"/>
      <c r="B975" s="7">
        <f>IF($A975="","",UPPER(SUBSTITUTE(SUBSTITUTE(SUBSTITUTE(SUBSTITUTE(SUBSTITUTE(SUBSTITUTE($A975," ",""),"-",""),".",""),"/",""),"i","I"),"ı","?")))</f>
        <v/>
      </c>
      <c r="C975" s="8">
        <f>IF($F975=1,$R975,"")</f>
        <v/>
      </c>
      <c r="D975" s="7">
        <f>IF($A975="","",IF($F975=0,"Biçim hatalı",IF(FIND(MID($B975,11,1),"0123456789")-1=$R975,"Geçerli","Kontrol hanesi hatalı (doğrusu: "&amp;$R975&amp;")")))</f>
        <v/>
      </c>
      <c r="F975">
        <f>IF($A975="","",IF(AND(LEN($B975)=11,SUMPRODUCT(--ISNUMBER(FIND(MID($B975,{1,2,3},1),"ABCDEFGHIJKLMNOPQRSTUVWXYZ")))=3,ISNUMBER(FIND(MID($B975,4,1),"UJZ")),SUMPRODUCT(--ISNUMBER(FIND(MID($B975,{5,6,7,8,9,10,11},1),"0123456789")))=7),1,0))</f>
        <v/>
      </c>
      <c r="G975">
        <f>IF($F975=1,INDEX({10,12,13,14,15,16,17,18,19,20,21,23,24,25,26,27,28,29,30,31,32,34,35,36,37,38},1,FIND(MID($B975,1,1),"ABCDEFGHIJKLMNOPQRSTUVWXYZ")),"")</f>
        <v/>
      </c>
      <c r="H975">
        <f>IF($F975=1,INDEX({10,12,13,14,15,16,17,18,19,20,21,23,24,25,26,27,28,29,30,31,32,34,35,36,37,38},1,FIND(MID($B975,2,1),"ABCDEFGHIJKLMNOPQRSTUVWXYZ")),"")</f>
        <v/>
      </c>
      <c r="I975">
        <f>IF($F975=1,INDEX({10,12,13,14,15,16,17,18,19,20,21,23,24,25,26,27,28,29,30,31,32,34,35,36,37,38},1,FIND(MID($B975,3,1),"ABCDEFGHIJKLMNOPQRSTUVWXYZ")),"")</f>
        <v/>
      </c>
      <c r="J975">
        <f>IF($F975=1,INDEX({10,12,13,14,15,16,17,18,19,20,21,23,24,25,26,27,28,29,30,31,32,34,35,36,37,38},1,FIND(MID($B975,4,1),"ABCDEFGHIJKLMNOPQRSTUVWXYZ")),"")</f>
        <v/>
      </c>
      <c r="K975">
        <f>IF($F975=1,FIND(MID($B975,5,1),"0123456789")-1,"")</f>
        <v/>
      </c>
      <c r="L975">
        <f>IF($F975=1,FIND(MID($B975,6,1),"0123456789")-1,"")</f>
        <v/>
      </c>
      <c r="M975">
        <f>IF($F975=1,FIND(MID($B975,7,1),"0123456789")-1,"")</f>
        <v/>
      </c>
      <c r="N975">
        <f>IF($F975=1,FIND(MID($B975,8,1),"0123456789")-1,"")</f>
        <v/>
      </c>
      <c r="O975">
        <f>IF($F975=1,FIND(MID($B975,9,1),"0123456789")-1,"")</f>
        <v/>
      </c>
      <c r="P975">
        <f>IF($F975=1,FIND(MID($B975,10,1),"0123456789")-1,"")</f>
        <v/>
      </c>
      <c r="Q975">
        <f>IF($F975=1,SUMPRODUCT($G975:$P975,{1,2,4,8,16,32,64,128,256,512}),"")</f>
        <v/>
      </c>
      <c r="R975">
        <f>IF($F975=1,MOD(MOD($Q975,11),10),"")</f>
        <v/>
      </c>
    </row>
    <row r="976">
      <c r="A976" s="6" t="n"/>
      <c r="B976" s="7">
        <f>IF($A976="","",UPPER(SUBSTITUTE(SUBSTITUTE(SUBSTITUTE(SUBSTITUTE(SUBSTITUTE(SUBSTITUTE($A976," ",""),"-",""),".",""),"/",""),"i","I"),"ı","?")))</f>
        <v/>
      </c>
      <c r="C976" s="8">
        <f>IF($F976=1,$R976,"")</f>
        <v/>
      </c>
      <c r="D976" s="7">
        <f>IF($A976="","",IF($F976=0,"Biçim hatalı",IF(FIND(MID($B976,11,1),"0123456789")-1=$R976,"Geçerli","Kontrol hanesi hatalı (doğrusu: "&amp;$R976&amp;")")))</f>
        <v/>
      </c>
      <c r="F976">
        <f>IF($A976="","",IF(AND(LEN($B976)=11,SUMPRODUCT(--ISNUMBER(FIND(MID($B976,{1,2,3},1),"ABCDEFGHIJKLMNOPQRSTUVWXYZ")))=3,ISNUMBER(FIND(MID($B976,4,1),"UJZ")),SUMPRODUCT(--ISNUMBER(FIND(MID($B976,{5,6,7,8,9,10,11},1),"0123456789")))=7),1,0))</f>
        <v/>
      </c>
      <c r="G976">
        <f>IF($F976=1,INDEX({10,12,13,14,15,16,17,18,19,20,21,23,24,25,26,27,28,29,30,31,32,34,35,36,37,38},1,FIND(MID($B976,1,1),"ABCDEFGHIJKLMNOPQRSTUVWXYZ")),"")</f>
        <v/>
      </c>
      <c r="H976">
        <f>IF($F976=1,INDEX({10,12,13,14,15,16,17,18,19,20,21,23,24,25,26,27,28,29,30,31,32,34,35,36,37,38},1,FIND(MID($B976,2,1),"ABCDEFGHIJKLMNOPQRSTUVWXYZ")),"")</f>
        <v/>
      </c>
      <c r="I976">
        <f>IF($F976=1,INDEX({10,12,13,14,15,16,17,18,19,20,21,23,24,25,26,27,28,29,30,31,32,34,35,36,37,38},1,FIND(MID($B976,3,1),"ABCDEFGHIJKLMNOPQRSTUVWXYZ")),"")</f>
        <v/>
      </c>
      <c r="J976">
        <f>IF($F976=1,INDEX({10,12,13,14,15,16,17,18,19,20,21,23,24,25,26,27,28,29,30,31,32,34,35,36,37,38},1,FIND(MID($B976,4,1),"ABCDEFGHIJKLMNOPQRSTUVWXYZ")),"")</f>
        <v/>
      </c>
      <c r="K976">
        <f>IF($F976=1,FIND(MID($B976,5,1),"0123456789")-1,"")</f>
        <v/>
      </c>
      <c r="L976">
        <f>IF($F976=1,FIND(MID($B976,6,1),"0123456789")-1,"")</f>
        <v/>
      </c>
      <c r="M976">
        <f>IF($F976=1,FIND(MID($B976,7,1),"0123456789")-1,"")</f>
        <v/>
      </c>
      <c r="N976">
        <f>IF($F976=1,FIND(MID($B976,8,1),"0123456789")-1,"")</f>
        <v/>
      </c>
      <c r="O976">
        <f>IF($F976=1,FIND(MID($B976,9,1),"0123456789")-1,"")</f>
        <v/>
      </c>
      <c r="P976">
        <f>IF($F976=1,FIND(MID($B976,10,1),"0123456789")-1,"")</f>
        <v/>
      </c>
      <c r="Q976">
        <f>IF($F976=1,SUMPRODUCT($G976:$P976,{1,2,4,8,16,32,64,128,256,512}),"")</f>
        <v/>
      </c>
      <c r="R976">
        <f>IF($F976=1,MOD(MOD($Q976,11),10),"")</f>
        <v/>
      </c>
    </row>
    <row r="977">
      <c r="A977" s="6" t="n"/>
      <c r="B977" s="7">
        <f>IF($A977="","",UPPER(SUBSTITUTE(SUBSTITUTE(SUBSTITUTE(SUBSTITUTE(SUBSTITUTE(SUBSTITUTE($A977," ",""),"-",""),".",""),"/",""),"i","I"),"ı","?")))</f>
        <v/>
      </c>
      <c r="C977" s="8">
        <f>IF($F977=1,$R977,"")</f>
        <v/>
      </c>
      <c r="D977" s="7">
        <f>IF($A977="","",IF($F977=0,"Biçim hatalı",IF(FIND(MID($B977,11,1),"0123456789")-1=$R977,"Geçerli","Kontrol hanesi hatalı (doğrusu: "&amp;$R977&amp;")")))</f>
        <v/>
      </c>
      <c r="F977">
        <f>IF($A977="","",IF(AND(LEN($B977)=11,SUMPRODUCT(--ISNUMBER(FIND(MID($B977,{1,2,3},1),"ABCDEFGHIJKLMNOPQRSTUVWXYZ")))=3,ISNUMBER(FIND(MID($B977,4,1),"UJZ")),SUMPRODUCT(--ISNUMBER(FIND(MID($B977,{5,6,7,8,9,10,11},1),"0123456789")))=7),1,0))</f>
        <v/>
      </c>
      <c r="G977">
        <f>IF($F977=1,INDEX({10,12,13,14,15,16,17,18,19,20,21,23,24,25,26,27,28,29,30,31,32,34,35,36,37,38},1,FIND(MID($B977,1,1),"ABCDEFGHIJKLMNOPQRSTUVWXYZ")),"")</f>
        <v/>
      </c>
      <c r="H977">
        <f>IF($F977=1,INDEX({10,12,13,14,15,16,17,18,19,20,21,23,24,25,26,27,28,29,30,31,32,34,35,36,37,38},1,FIND(MID($B977,2,1),"ABCDEFGHIJKLMNOPQRSTUVWXYZ")),"")</f>
        <v/>
      </c>
      <c r="I977">
        <f>IF($F977=1,INDEX({10,12,13,14,15,16,17,18,19,20,21,23,24,25,26,27,28,29,30,31,32,34,35,36,37,38},1,FIND(MID($B977,3,1),"ABCDEFGHIJKLMNOPQRSTUVWXYZ")),"")</f>
        <v/>
      </c>
      <c r="J977">
        <f>IF($F977=1,INDEX({10,12,13,14,15,16,17,18,19,20,21,23,24,25,26,27,28,29,30,31,32,34,35,36,37,38},1,FIND(MID($B977,4,1),"ABCDEFGHIJKLMNOPQRSTUVWXYZ")),"")</f>
        <v/>
      </c>
      <c r="K977">
        <f>IF($F977=1,FIND(MID($B977,5,1),"0123456789")-1,"")</f>
        <v/>
      </c>
      <c r="L977">
        <f>IF($F977=1,FIND(MID($B977,6,1),"0123456789")-1,"")</f>
        <v/>
      </c>
      <c r="M977">
        <f>IF($F977=1,FIND(MID($B977,7,1),"0123456789")-1,"")</f>
        <v/>
      </c>
      <c r="N977">
        <f>IF($F977=1,FIND(MID($B977,8,1),"0123456789")-1,"")</f>
        <v/>
      </c>
      <c r="O977">
        <f>IF($F977=1,FIND(MID($B977,9,1),"0123456789")-1,"")</f>
        <v/>
      </c>
      <c r="P977">
        <f>IF($F977=1,FIND(MID($B977,10,1),"0123456789")-1,"")</f>
        <v/>
      </c>
      <c r="Q977">
        <f>IF($F977=1,SUMPRODUCT($G977:$P977,{1,2,4,8,16,32,64,128,256,512}),"")</f>
        <v/>
      </c>
      <c r="R977">
        <f>IF($F977=1,MOD(MOD($Q977,11),10),"")</f>
        <v/>
      </c>
    </row>
    <row r="978">
      <c r="A978" s="6" t="n"/>
      <c r="B978" s="7">
        <f>IF($A978="","",UPPER(SUBSTITUTE(SUBSTITUTE(SUBSTITUTE(SUBSTITUTE(SUBSTITUTE(SUBSTITUTE($A978," ",""),"-",""),".",""),"/",""),"i","I"),"ı","?")))</f>
        <v/>
      </c>
      <c r="C978" s="8">
        <f>IF($F978=1,$R978,"")</f>
        <v/>
      </c>
      <c r="D978" s="7">
        <f>IF($A978="","",IF($F978=0,"Biçim hatalı",IF(FIND(MID($B978,11,1),"0123456789")-1=$R978,"Geçerli","Kontrol hanesi hatalı (doğrusu: "&amp;$R978&amp;")")))</f>
        <v/>
      </c>
      <c r="F978">
        <f>IF($A978="","",IF(AND(LEN($B978)=11,SUMPRODUCT(--ISNUMBER(FIND(MID($B978,{1,2,3},1),"ABCDEFGHIJKLMNOPQRSTUVWXYZ")))=3,ISNUMBER(FIND(MID($B978,4,1),"UJZ")),SUMPRODUCT(--ISNUMBER(FIND(MID($B978,{5,6,7,8,9,10,11},1),"0123456789")))=7),1,0))</f>
        <v/>
      </c>
      <c r="G978">
        <f>IF($F978=1,INDEX({10,12,13,14,15,16,17,18,19,20,21,23,24,25,26,27,28,29,30,31,32,34,35,36,37,38},1,FIND(MID($B978,1,1),"ABCDEFGHIJKLMNOPQRSTUVWXYZ")),"")</f>
        <v/>
      </c>
      <c r="H978">
        <f>IF($F978=1,INDEX({10,12,13,14,15,16,17,18,19,20,21,23,24,25,26,27,28,29,30,31,32,34,35,36,37,38},1,FIND(MID($B978,2,1),"ABCDEFGHIJKLMNOPQRSTUVWXYZ")),"")</f>
        <v/>
      </c>
      <c r="I978">
        <f>IF($F978=1,INDEX({10,12,13,14,15,16,17,18,19,20,21,23,24,25,26,27,28,29,30,31,32,34,35,36,37,38},1,FIND(MID($B978,3,1),"ABCDEFGHIJKLMNOPQRSTUVWXYZ")),"")</f>
        <v/>
      </c>
      <c r="J978">
        <f>IF($F978=1,INDEX({10,12,13,14,15,16,17,18,19,20,21,23,24,25,26,27,28,29,30,31,32,34,35,36,37,38},1,FIND(MID($B978,4,1),"ABCDEFGHIJKLMNOPQRSTUVWXYZ")),"")</f>
        <v/>
      </c>
      <c r="K978">
        <f>IF($F978=1,FIND(MID($B978,5,1),"0123456789")-1,"")</f>
        <v/>
      </c>
      <c r="L978">
        <f>IF($F978=1,FIND(MID($B978,6,1),"0123456789")-1,"")</f>
        <v/>
      </c>
      <c r="M978">
        <f>IF($F978=1,FIND(MID($B978,7,1),"0123456789")-1,"")</f>
        <v/>
      </c>
      <c r="N978">
        <f>IF($F978=1,FIND(MID($B978,8,1),"0123456789")-1,"")</f>
        <v/>
      </c>
      <c r="O978">
        <f>IF($F978=1,FIND(MID($B978,9,1),"0123456789")-1,"")</f>
        <v/>
      </c>
      <c r="P978">
        <f>IF($F978=1,FIND(MID($B978,10,1),"0123456789")-1,"")</f>
        <v/>
      </c>
      <c r="Q978">
        <f>IF($F978=1,SUMPRODUCT($G978:$P978,{1,2,4,8,16,32,64,128,256,512}),"")</f>
        <v/>
      </c>
      <c r="R978">
        <f>IF($F978=1,MOD(MOD($Q978,11),10),"")</f>
        <v/>
      </c>
    </row>
    <row r="979">
      <c r="A979" s="6" t="n"/>
      <c r="B979" s="7">
        <f>IF($A979="","",UPPER(SUBSTITUTE(SUBSTITUTE(SUBSTITUTE(SUBSTITUTE(SUBSTITUTE(SUBSTITUTE($A979," ",""),"-",""),".",""),"/",""),"i","I"),"ı","?")))</f>
        <v/>
      </c>
      <c r="C979" s="8">
        <f>IF($F979=1,$R979,"")</f>
        <v/>
      </c>
      <c r="D979" s="7">
        <f>IF($A979="","",IF($F979=0,"Biçim hatalı",IF(FIND(MID($B979,11,1),"0123456789")-1=$R979,"Geçerli","Kontrol hanesi hatalı (doğrusu: "&amp;$R979&amp;")")))</f>
        <v/>
      </c>
      <c r="F979">
        <f>IF($A979="","",IF(AND(LEN($B979)=11,SUMPRODUCT(--ISNUMBER(FIND(MID($B979,{1,2,3},1),"ABCDEFGHIJKLMNOPQRSTUVWXYZ")))=3,ISNUMBER(FIND(MID($B979,4,1),"UJZ")),SUMPRODUCT(--ISNUMBER(FIND(MID($B979,{5,6,7,8,9,10,11},1),"0123456789")))=7),1,0))</f>
        <v/>
      </c>
      <c r="G979">
        <f>IF($F979=1,INDEX({10,12,13,14,15,16,17,18,19,20,21,23,24,25,26,27,28,29,30,31,32,34,35,36,37,38},1,FIND(MID($B979,1,1),"ABCDEFGHIJKLMNOPQRSTUVWXYZ")),"")</f>
        <v/>
      </c>
      <c r="H979">
        <f>IF($F979=1,INDEX({10,12,13,14,15,16,17,18,19,20,21,23,24,25,26,27,28,29,30,31,32,34,35,36,37,38},1,FIND(MID($B979,2,1),"ABCDEFGHIJKLMNOPQRSTUVWXYZ")),"")</f>
        <v/>
      </c>
      <c r="I979">
        <f>IF($F979=1,INDEX({10,12,13,14,15,16,17,18,19,20,21,23,24,25,26,27,28,29,30,31,32,34,35,36,37,38},1,FIND(MID($B979,3,1),"ABCDEFGHIJKLMNOPQRSTUVWXYZ")),"")</f>
        <v/>
      </c>
      <c r="J979">
        <f>IF($F979=1,INDEX({10,12,13,14,15,16,17,18,19,20,21,23,24,25,26,27,28,29,30,31,32,34,35,36,37,38},1,FIND(MID($B979,4,1),"ABCDEFGHIJKLMNOPQRSTUVWXYZ")),"")</f>
        <v/>
      </c>
      <c r="K979">
        <f>IF($F979=1,FIND(MID($B979,5,1),"0123456789")-1,"")</f>
        <v/>
      </c>
      <c r="L979">
        <f>IF($F979=1,FIND(MID($B979,6,1),"0123456789")-1,"")</f>
        <v/>
      </c>
      <c r="M979">
        <f>IF($F979=1,FIND(MID($B979,7,1),"0123456789")-1,"")</f>
        <v/>
      </c>
      <c r="N979">
        <f>IF($F979=1,FIND(MID($B979,8,1),"0123456789")-1,"")</f>
        <v/>
      </c>
      <c r="O979">
        <f>IF($F979=1,FIND(MID($B979,9,1),"0123456789")-1,"")</f>
        <v/>
      </c>
      <c r="P979">
        <f>IF($F979=1,FIND(MID($B979,10,1),"0123456789")-1,"")</f>
        <v/>
      </c>
      <c r="Q979">
        <f>IF($F979=1,SUMPRODUCT($G979:$P979,{1,2,4,8,16,32,64,128,256,512}),"")</f>
        <v/>
      </c>
      <c r="R979">
        <f>IF($F979=1,MOD(MOD($Q979,11),10),"")</f>
        <v/>
      </c>
    </row>
    <row r="980">
      <c r="A980" s="6" t="n"/>
      <c r="B980" s="7">
        <f>IF($A980="","",UPPER(SUBSTITUTE(SUBSTITUTE(SUBSTITUTE(SUBSTITUTE(SUBSTITUTE(SUBSTITUTE($A980," ",""),"-",""),".",""),"/",""),"i","I"),"ı","?")))</f>
        <v/>
      </c>
      <c r="C980" s="8">
        <f>IF($F980=1,$R980,"")</f>
        <v/>
      </c>
      <c r="D980" s="7">
        <f>IF($A980="","",IF($F980=0,"Biçim hatalı",IF(FIND(MID($B980,11,1),"0123456789")-1=$R980,"Geçerli","Kontrol hanesi hatalı (doğrusu: "&amp;$R980&amp;")")))</f>
        <v/>
      </c>
      <c r="F980">
        <f>IF($A980="","",IF(AND(LEN($B980)=11,SUMPRODUCT(--ISNUMBER(FIND(MID($B980,{1,2,3},1),"ABCDEFGHIJKLMNOPQRSTUVWXYZ")))=3,ISNUMBER(FIND(MID($B980,4,1),"UJZ")),SUMPRODUCT(--ISNUMBER(FIND(MID($B980,{5,6,7,8,9,10,11},1),"0123456789")))=7),1,0))</f>
        <v/>
      </c>
      <c r="G980">
        <f>IF($F980=1,INDEX({10,12,13,14,15,16,17,18,19,20,21,23,24,25,26,27,28,29,30,31,32,34,35,36,37,38},1,FIND(MID($B980,1,1),"ABCDEFGHIJKLMNOPQRSTUVWXYZ")),"")</f>
        <v/>
      </c>
      <c r="H980">
        <f>IF($F980=1,INDEX({10,12,13,14,15,16,17,18,19,20,21,23,24,25,26,27,28,29,30,31,32,34,35,36,37,38},1,FIND(MID($B980,2,1),"ABCDEFGHIJKLMNOPQRSTUVWXYZ")),"")</f>
        <v/>
      </c>
      <c r="I980">
        <f>IF($F980=1,INDEX({10,12,13,14,15,16,17,18,19,20,21,23,24,25,26,27,28,29,30,31,32,34,35,36,37,38},1,FIND(MID($B980,3,1),"ABCDEFGHIJKLMNOPQRSTUVWXYZ")),"")</f>
        <v/>
      </c>
      <c r="J980">
        <f>IF($F980=1,INDEX({10,12,13,14,15,16,17,18,19,20,21,23,24,25,26,27,28,29,30,31,32,34,35,36,37,38},1,FIND(MID($B980,4,1),"ABCDEFGHIJKLMNOPQRSTUVWXYZ")),"")</f>
        <v/>
      </c>
      <c r="K980">
        <f>IF($F980=1,FIND(MID($B980,5,1),"0123456789")-1,"")</f>
        <v/>
      </c>
      <c r="L980">
        <f>IF($F980=1,FIND(MID($B980,6,1),"0123456789")-1,"")</f>
        <v/>
      </c>
      <c r="M980">
        <f>IF($F980=1,FIND(MID($B980,7,1),"0123456789")-1,"")</f>
        <v/>
      </c>
      <c r="N980">
        <f>IF($F980=1,FIND(MID($B980,8,1),"0123456789")-1,"")</f>
        <v/>
      </c>
      <c r="O980">
        <f>IF($F980=1,FIND(MID($B980,9,1),"0123456789")-1,"")</f>
        <v/>
      </c>
      <c r="P980">
        <f>IF($F980=1,FIND(MID($B980,10,1),"0123456789")-1,"")</f>
        <v/>
      </c>
      <c r="Q980">
        <f>IF($F980=1,SUMPRODUCT($G980:$P980,{1,2,4,8,16,32,64,128,256,512}),"")</f>
        <v/>
      </c>
      <c r="R980">
        <f>IF($F980=1,MOD(MOD($Q980,11),10),"")</f>
        <v/>
      </c>
    </row>
    <row r="981">
      <c r="A981" s="6" t="n"/>
      <c r="B981" s="7">
        <f>IF($A981="","",UPPER(SUBSTITUTE(SUBSTITUTE(SUBSTITUTE(SUBSTITUTE(SUBSTITUTE(SUBSTITUTE($A981," ",""),"-",""),".",""),"/",""),"i","I"),"ı","?")))</f>
        <v/>
      </c>
      <c r="C981" s="8">
        <f>IF($F981=1,$R981,"")</f>
        <v/>
      </c>
      <c r="D981" s="7">
        <f>IF($A981="","",IF($F981=0,"Biçim hatalı",IF(FIND(MID($B981,11,1),"0123456789")-1=$R981,"Geçerli","Kontrol hanesi hatalı (doğrusu: "&amp;$R981&amp;")")))</f>
        <v/>
      </c>
      <c r="F981">
        <f>IF($A981="","",IF(AND(LEN($B981)=11,SUMPRODUCT(--ISNUMBER(FIND(MID($B981,{1,2,3},1),"ABCDEFGHIJKLMNOPQRSTUVWXYZ")))=3,ISNUMBER(FIND(MID($B981,4,1),"UJZ")),SUMPRODUCT(--ISNUMBER(FIND(MID($B981,{5,6,7,8,9,10,11},1),"0123456789")))=7),1,0))</f>
        <v/>
      </c>
      <c r="G981">
        <f>IF($F981=1,INDEX({10,12,13,14,15,16,17,18,19,20,21,23,24,25,26,27,28,29,30,31,32,34,35,36,37,38},1,FIND(MID($B981,1,1),"ABCDEFGHIJKLMNOPQRSTUVWXYZ")),"")</f>
        <v/>
      </c>
      <c r="H981">
        <f>IF($F981=1,INDEX({10,12,13,14,15,16,17,18,19,20,21,23,24,25,26,27,28,29,30,31,32,34,35,36,37,38},1,FIND(MID($B981,2,1),"ABCDEFGHIJKLMNOPQRSTUVWXYZ")),"")</f>
        <v/>
      </c>
      <c r="I981">
        <f>IF($F981=1,INDEX({10,12,13,14,15,16,17,18,19,20,21,23,24,25,26,27,28,29,30,31,32,34,35,36,37,38},1,FIND(MID($B981,3,1),"ABCDEFGHIJKLMNOPQRSTUVWXYZ")),"")</f>
        <v/>
      </c>
      <c r="J981">
        <f>IF($F981=1,INDEX({10,12,13,14,15,16,17,18,19,20,21,23,24,25,26,27,28,29,30,31,32,34,35,36,37,38},1,FIND(MID($B981,4,1),"ABCDEFGHIJKLMNOPQRSTUVWXYZ")),"")</f>
        <v/>
      </c>
      <c r="K981">
        <f>IF($F981=1,FIND(MID($B981,5,1),"0123456789")-1,"")</f>
        <v/>
      </c>
      <c r="L981">
        <f>IF($F981=1,FIND(MID($B981,6,1),"0123456789")-1,"")</f>
        <v/>
      </c>
      <c r="M981">
        <f>IF($F981=1,FIND(MID($B981,7,1),"0123456789")-1,"")</f>
        <v/>
      </c>
      <c r="N981">
        <f>IF($F981=1,FIND(MID($B981,8,1),"0123456789")-1,"")</f>
        <v/>
      </c>
      <c r="O981">
        <f>IF($F981=1,FIND(MID($B981,9,1),"0123456789")-1,"")</f>
        <v/>
      </c>
      <c r="P981">
        <f>IF($F981=1,FIND(MID($B981,10,1),"0123456789")-1,"")</f>
        <v/>
      </c>
      <c r="Q981">
        <f>IF($F981=1,SUMPRODUCT($G981:$P981,{1,2,4,8,16,32,64,128,256,512}),"")</f>
        <v/>
      </c>
      <c r="R981">
        <f>IF($F981=1,MOD(MOD($Q981,11),10),"")</f>
        <v/>
      </c>
    </row>
    <row r="982">
      <c r="A982" s="6" t="n"/>
      <c r="B982" s="7">
        <f>IF($A982="","",UPPER(SUBSTITUTE(SUBSTITUTE(SUBSTITUTE(SUBSTITUTE(SUBSTITUTE(SUBSTITUTE($A982," ",""),"-",""),".",""),"/",""),"i","I"),"ı","?")))</f>
        <v/>
      </c>
      <c r="C982" s="8">
        <f>IF($F982=1,$R982,"")</f>
        <v/>
      </c>
      <c r="D982" s="7">
        <f>IF($A982="","",IF($F982=0,"Biçim hatalı",IF(FIND(MID($B982,11,1),"0123456789")-1=$R982,"Geçerli","Kontrol hanesi hatalı (doğrusu: "&amp;$R982&amp;")")))</f>
        <v/>
      </c>
      <c r="F982">
        <f>IF($A982="","",IF(AND(LEN($B982)=11,SUMPRODUCT(--ISNUMBER(FIND(MID($B982,{1,2,3},1),"ABCDEFGHIJKLMNOPQRSTUVWXYZ")))=3,ISNUMBER(FIND(MID($B982,4,1),"UJZ")),SUMPRODUCT(--ISNUMBER(FIND(MID($B982,{5,6,7,8,9,10,11},1),"0123456789")))=7),1,0))</f>
        <v/>
      </c>
      <c r="G982">
        <f>IF($F982=1,INDEX({10,12,13,14,15,16,17,18,19,20,21,23,24,25,26,27,28,29,30,31,32,34,35,36,37,38},1,FIND(MID($B982,1,1),"ABCDEFGHIJKLMNOPQRSTUVWXYZ")),"")</f>
        <v/>
      </c>
      <c r="H982">
        <f>IF($F982=1,INDEX({10,12,13,14,15,16,17,18,19,20,21,23,24,25,26,27,28,29,30,31,32,34,35,36,37,38},1,FIND(MID($B982,2,1),"ABCDEFGHIJKLMNOPQRSTUVWXYZ")),"")</f>
        <v/>
      </c>
      <c r="I982">
        <f>IF($F982=1,INDEX({10,12,13,14,15,16,17,18,19,20,21,23,24,25,26,27,28,29,30,31,32,34,35,36,37,38},1,FIND(MID($B982,3,1),"ABCDEFGHIJKLMNOPQRSTUVWXYZ")),"")</f>
        <v/>
      </c>
      <c r="J982">
        <f>IF($F982=1,INDEX({10,12,13,14,15,16,17,18,19,20,21,23,24,25,26,27,28,29,30,31,32,34,35,36,37,38},1,FIND(MID($B982,4,1),"ABCDEFGHIJKLMNOPQRSTUVWXYZ")),"")</f>
        <v/>
      </c>
      <c r="K982">
        <f>IF($F982=1,FIND(MID($B982,5,1),"0123456789")-1,"")</f>
        <v/>
      </c>
      <c r="L982">
        <f>IF($F982=1,FIND(MID($B982,6,1),"0123456789")-1,"")</f>
        <v/>
      </c>
      <c r="M982">
        <f>IF($F982=1,FIND(MID($B982,7,1),"0123456789")-1,"")</f>
        <v/>
      </c>
      <c r="N982">
        <f>IF($F982=1,FIND(MID($B982,8,1),"0123456789")-1,"")</f>
        <v/>
      </c>
      <c r="O982">
        <f>IF($F982=1,FIND(MID($B982,9,1),"0123456789")-1,"")</f>
        <v/>
      </c>
      <c r="P982">
        <f>IF($F982=1,FIND(MID($B982,10,1),"0123456789")-1,"")</f>
        <v/>
      </c>
      <c r="Q982">
        <f>IF($F982=1,SUMPRODUCT($G982:$P982,{1,2,4,8,16,32,64,128,256,512}),"")</f>
        <v/>
      </c>
      <c r="R982">
        <f>IF($F982=1,MOD(MOD($Q982,11),10),"")</f>
        <v/>
      </c>
    </row>
    <row r="983">
      <c r="A983" s="6" t="n"/>
      <c r="B983" s="7">
        <f>IF($A983="","",UPPER(SUBSTITUTE(SUBSTITUTE(SUBSTITUTE(SUBSTITUTE(SUBSTITUTE(SUBSTITUTE($A983," ",""),"-",""),".",""),"/",""),"i","I"),"ı","?")))</f>
        <v/>
      </c>
      <c r="C983" s="8">
        <f>IF($F983=1,$R983,"")</f>
        <v/>
      </c>
      <c r="D983" s="7">
        <f>IF($A983="","",IF($F983=0,"Biçim hatalı",IF(FIND(MID($B983,11,1),"0123456789")-1=$R983,"Geçerli","Kontrol hanesi hatalı (doğrusu: "&amp;$R983&amp;")")))</f>
        <v/>
      </c>
      <c r="F983">
        <f>IF($A983="","",IF(AND(LEN($B983)=11,SUMPRODUCT(--ISNUMBER(FIND(MID($B983,{1,2,3},1),"ABCDEFGHIJKLMNOPQRSTUVWXYZ")))=3,ISNUMBER(FIND(MID($B983,4,1),"UJZ")),SUMPRODUCT(--ISNUMBER(FIND(MID($B983,{5,6,7,8,9,10,11},1),"0123456789")))=7),1,0))</f>
        <v/>
      </c>
      <c r="G983">
        <f>IF($F983=1,INDEX({10,12,13,14,15,16,17,18,19,20,21,23,24,25,26,27,28,29,30,31,32,34,35,36,37,38},1,FIND(MID($B983,1,1),"ABCDEFGHIJKLMNOPQRSTUVWXYZ")),"")</f>
        <v/>
      </c>
      <c r="H983">
        <f>IF($F983=1,INDEX({10,12,13,14,15,16,17,18,19,20,21,23,24,25,26,27,28,29,30,31,32,34,35,36,37,38},1,FIND(MID($B983,2,1),"ABCDEFGHIJKLMNOPQRSTUVWXYZ")),"")</f>
        <v/>
      </c>
      <c r="I983">
        <f>IF($F983=1,INDEX({10,12,13,14,15,16,17,18,19,20,21,23,24,25,26,27,28,29,30,31,32,34,35,36,37,38},1,FIND(MID($B983,3,1),"ABCDEFGHIJKLMNOPQRSTUVWXYZ")),"")</f>
        <v/>
      </c>
      <c r="J983">
        <f>IF($F983=1,INDEX({10,12,13,14,15,16,17,18,19,20,21,23,24,25,26,27,28,29,30,31,32,34,35,36,37,38},1,FIND(MID($B983,4,1),"ABCDEFGHIJKLMNOPQRSTUVWXYZ")),"")</f>
        <v/>
      </c>
      <c r="K983">
        <f>IF($F983=1,FIND(MID($B983,5,1),"0123456789")-1,"")</f>
        <v/>
      </c>
      <c r="L983">
        <f>IF($F983=1,FIND(MID($B983,6,1),"0123456789")-1,"")</f>
        <v/>
      </c>
      <c r="M983">
        <f>IF($F983=1,FIND(MID($B983,7,1),"0123456789")-1,"")</f>
        <v/>
      </c>
      <c r="N983">
        <f>IF($F983=1,FIND(MID($B983,8,1),"0123456789")-1,"")</f>
        <v/>
      </c>
      <c r="O983">
        <f>IF($F983=1,FIND(MID($B983,9,1),"0123456789")-1,"")</f>
        <v/>
      </c>
      <c r="P983">
        <f>IF($F983=1,FIND(MID($B983,10,1),"0123456789")-1,"")</f>
        <v/>
      </c>
      <c r="Q983">
        <f>IF($F983=1,SUMPRODUCT($G983:$P983,{1,2,4,8,16,32,64,128,256,512}),"")</f>
        <v/>
      </c>
      <c r="R983">
        <f>IF($F983=1,MOD(MOD($Q983,11),10),"")</f>
        <v/>
      </c>
    </row>
    <row r="984">
      <c r="A984" s="6" t="n"/>
      <c r="B984" s="7">
        <f>IF($A984="","",UPPER(SUBSTITUTE(SUBSTITUTE(SUBSTITUTE(SUBSTITUTE(SUBSTITUTE(SUBSTITUTE($A984," ",""),"-",""),".",""),"/",""),"i","I"),"ı","?")))</f>
        <v/>
      </c>
      <c r="C984" s="8">
        <f>IF($F984=1,$R984,"")</f>
        <v/>
      </c>
      <c r="D984" s="7">
        <f>IF($A984="","",IF($F984=0,"Biçim hatalı",IF(FIND(MID($B984,11,1),"0123456789")-1=$R984,"Geçerli","Kontrol hanesi hatalı (doğrusu: "&amp;$R984&amp;")")))</f>
        <v/>
      </c>
      <c r="F984">
        <f>IF($A984="","",IF(AND(LEN($B984)=11,SUMPRODUCT(--ISNUMBER(FIND(MID($B984,{1,2,3},1),"ABCDEFGHIJKLMNOPQRSTUVWXYZ")))=3,ISNUMBER(FIND(MID($B984,4,1),"UJZ")),SUMPRODUCT(--ISNUMBER(FIND(MID($B984,{5,6,7,8,9,10,11},1),"0123456789")))=7),1,0))</f>
        <v/>
      </c>
      <c r="G984">
        <f>IF($F984=1,INDEX({10,12,13,14,15,16,17,18,19,20,21,23,24,25,26,27,28,29,30,31,32,34,35,36,37,38},1,FIND(MID($B984,1,1),"ABCDEFGHIJKLMNOPQRSTUVWXYZ")),"")</f>
        <v/>
      </c>
      <c r="H984">
        <f>IF($F984=1,INDEX({10,12,13,14,15,16,17,18,19,20,21,23,24,25,26,27,28,29,30,31,32,34,35,36,37,38},1,FIND(MID($B984,2,1),"ABCDEFGHIJKLMNOPQRSTUVWXYZ")),"")</f>
        <v/>
      </c>
      <c r="I984">
        <f>IF($F984=1,INDEX({10,12,13,14,15,16,17,18,19,20,21,23,24,25,26,27,28,29,30,31,32,34,35,36,37,38},1,FIND(MID($B984,3,1),"ABCDEFGHIJKLMNOPQRSTUVWXYZ")),"")</f>
        <v/>
      </c>
      <c r="J984">
        <f>IF($F984=1,INDEX({10,12,13,14,15,16,17,18,19,20,21,23,24,25,26,27,28,29,30,31,32,34,35,36,37,38},1,FIND(MID($B984,4,1),"ABCDEFGHIJKLMNOPQRSTUVWXYZ")),"")</f>
        <v/>
      </c>
      <c r="K984">
        <f>IF($F984=1,FIND(MID($B984,5,1),"0123456789")-1,"")</f>
        <v/>
      </c>
      <c r="L984">
        <f>IF($F984=1,FIND(MID($B984,6,1),"0123456789")-1,"")</f>
        <v/>
      </c>
      <c r="M984">
        <f>IF($F984=1,FIND(MID($B984,7,1),"0123456789")-1,"")</f>
        <v/>
      </c>
      <c r="N984">
        <f>IF($F984=1,FIND(MID($B984,8,1),"0123456789")-1,"")</f>
        <v/>
      </c>
      <c r="O984">
        <f>IF($F984=1,FIND(MID($B984,9,1),"0123456789")-1,"")</f>
        <v/>
      </c>
      <c r="P984">
        <f>IF($F984=1,FIND(MID($B984,10,1),"0123456789")-1,"")</f>
        <v/>
      </c>
      <c r="Q984">
        <f>IF($F984=1,SUMPRODUCT($G984:$P984,{1,2,4,8,16,32,64,128,256,512}),"")</f>
        <v/>
      </c>
      <c r="R984">
        <f>IF($F984=1,MOD(MOD($Q984,11),10),"")</f>
        <v/>
      </c>
    </row>
    <row r="985">
      <c r="A985" s="6" t="n"/>
      <c r="B985" s="7">
        <f>IF($A985="","",UPPER(SUBSTITUTE(SUBSTITUTE(SUBSTITUTE(SUBSTITUTE(SUBSTITUTE(SUBSTITUTE($A985," ",""),"-",""),".",""),"/",""),"i","I"),"ı","?")))</f>
        <v/>
      </c>
      <c r="C985" s="8">
        <f>IF($F985=1,$R985,"")</f>
        <v/>
      </c>
      <c r="D985" s="7">
        <f>IF($A985="","",IF($F985=0,"Biçim hatalı",IF(FIND(MID($B985,11,1),"0123456789")-1=$R985,"Geçerli","Kontrol hanesi hatalı (doğrusu: "&amp;$R985&amp;")")))</f>
        <v/>
      </c>
      <c r="F985">
        <f>IF($A985="","",IF(AND(LEN($B985)=11,SUMPRODUCT(--ISNUMBER(FIND(MID($B985,{1,2,3},1),"ABCDEFGHIJKLMNOPQRSTUVWXYZ")))=3,ISNUMBER(FIND(MID($B985,4,1),"UJZ")),SUMPRODUCT(--ISNUMBER(FIND(MID($B985,{5,6,7,8,9,10,11},1),"0123456789")))=7),1,0))</f>
        <v/>
      </c>
      <c r="G985">
        <f>IF($F985=1,INDEX({10,12,13,14,15,16,17,18,19,20,21,23,24,25,26,27,28,29,30,31,32,34,35,36,37,38},1,FIND(MID($B985,1,1),"ABCDEFGHIJKLMNOPQRSTUVWXYZ")),"")</f>
        <v/>
      </c>
      <c r="H985">
        <f>IF($F985=1,INDEX({10,12,13,14,15,16,17,18,19,20,21,23,24,25,26,27,28,29,30,31,32,34,35,36,37,38},1,FIND(MID($B985,2,1),"ABCDEFGHIJKLMNOPQRSTUVWXYZ")),"")</f>
        <v/>
      </c>
      <c r="I985">
        <f>IF($F985=1,INDEX({10,12,13,14,15,16,17,18,19,20,21,23,24,25,26,27,28,29,30,31,32,34,35,36,37,38},1,FIND(MID($B985,3,1),"ABCDEFGHIJKLMNOPQRSTUVWXYZ")),"")</f>
        <v/>
      </c>
      <c r="J985">
        <f>IF($F985=1,INDEX({10,12,13,14,15,16,17,18,19,20,21,23,24,25,26,27,28,29,30,31,32,34,35,36,37,38},1,FIND(MID($B985,4,1),"ABCDEFGHIJKLMNOPQRSTUVWXYZ")),"")</f>
        <v/>
      </c>
      <c r="K985">
        <f>IF($F985=1,FIND(MID($B985,5,1),"0123456789")-1,"")</f>
        <v/>
      </c>
      <c r="L985">
        <f>IF($F985=1,FIND(MID($B985,6,1),"0123456789")-1,"")</f>
        <v/>
      </c>
      <c r="M985">
        <f>IF($F985=1,FIND(MID($B985,7,1),"0123456789")-1,"")</f>
        <v/>
      </c>
      <c r="N985">
        <f>IF($F985=1,FIND(MID($B985,8,1),"0123456789")-1,"")</f>
        <v/>
      </c>
      <c r="O985">
        <f>IF($F985=1,FIND(MID($B985,9,1),"0123456789")-1,"")</f>
        <v/>
      </c>
      <c r="P985">
        <f>IF($F985=1,FIND(MID($B985,10,1),"0123456789")-1,"")</f>
        <v/>
      </c>
      <c r="Q985">
        <f>IF($F985=1,SUMPRODUCT($G985:$P985,{1,2,4,8,16,32,64,128,256,512}),"")</f>
        <v/>
      </c>
      <c r="R985">
        <f>IF($F985=1,MOD(MOD($Q985,11),10),"")</f>
        <v/>
      </c>
    </row>
    <row r="986">
      <c r="A986" s="6" t="n"/>
      <c r="B986" s="7">
        <f>IF($A986="","",UPPER(SUBSTITUTE(SUBSTITUTE(SUBSTITUTE(SUBSTITUTE(SUBSTITUTE(SUBSTITUTE($A986," ",""),"-",""),".",""),"/",""),"i","I"),"ı","?")))</f>
        <v/>
      </c>
      <c r="C986" s="8">
        <f>IF($F986=1,$R986,"")</f>
        <v/>
      </c>
      <c r="D986" s="7">
        <f>IF($A986="","",IF($F986=0,"Biçim hatalı",IF(FIND(MID($B986,11,1),"0123456789")-1=$R986,"Geçerli","Kontrol hanesi hatalı (doğrusu: "&amp;$R986&amp;")")))</f>
        <v/>
      </c>
      <c r="F986">
        <f>IF($A986="","",IF(AND(LEN($B986)=11,SUMPRODUCT(--ISNUMBER(FIND(MID($B986,{1,2,3},1),"ABCDEFGHIJKLMNOPQRSTUVWXYZ")))=3,ISNUMBER(FIND(MID($B986,4,1),"UJZ")),SUMPRODUCT(--ISNUMBER(FIND(MID($B986,{5,6,7,8,9,10,11},1),"0123456789")))=7),1,0))</f>
        <v/>
      </c>
      <c r="G986">
        <f>IF($F986=1,INDEX({10,12,13,14,15,16,17,18,19,20,21,23,24,25,26,27,28,29,30,31,32,34,35,36,37,38},1,FIND(MID($B986,1,1),"ABCDEFGHIJKLMNOPQRSTUVWXYZ")),"")</f>
        <v/>
      </c>
      <c r="H986">
        <f>IF($F986=1,INDEX({10,12,13,14,15,16,17,18,19,20,21,23,24,25,26,27,28,29,30,31,32,34,35,36,37,38},1,FIND(MID($B986,2,1),"ABCDEFGHIJKLMNOPQRSTUVWXYZ")),"")</f>
        <v/>
      </c>
      <c r="I986">
        <f>IF($F986=1,INDEX({10,12,13,14,15,16,17,18,19,20,21,23,24,25,26,27,28,29,30,31,32,34,35,36,37,38},1,FIND(MID($B986,3,1),"ABCDEFGHIJKLMNOPQRSTUVWXYZ")),"")</f>
        <v/>
      </c>
      <c r="J986">
        <f>IF($F986=1,INDEX({10,12,13,14,15,16,17,18,19,20,21,23,24,25,26,27,28,29,30,31,32,34,35,36,37,38},1,FIND(MID($B986,4,1),"ABCDEFGHIJKLMNOPQRSTUVWXYZ")),"")</f>
        <v/>
      </c>
      <c r="K986">
        <f>IF($F986=1,FIND(MID($B986,5,1),"0123456789")-1,"")</f>
        <v/>
      </c>
      <c r="L986">
        <f>IF($F986=1,FIND(MID($B986,6,1),"0123456789")-1,"")</f>
        <v/>
      </c>
      <c r="M986">
        <f>IF($F986=1,FIND(MID($B986,7,1),"0123456789")-1,"")</f>
        <v/>
      </c>
      <c r="N986">
        <f>IF($F986=1,FIND(MID($B986,8,1),"0123456789")-1,"")</f>
        <v/>
      </c>
      <c r="O986">
        <f>IF($F986=1,FIND(MID($B986,9,1),"0123456789")-1,"")</f>
        <v/>
      </c>
      <c r="P986">
        <f>IF($F986=1,FIND(MID($B986,10,1),"0123456789")-1,"")</f>
        <v/>
      </c>
      <c r="Q986">
        <f>IF($F986=1,SUMPRODUCT($G986:$P986,{1,2,4,8,16,32,64,128,256,512}),"")</f>
        <v/>
      </c>
      <c r="R986">
        <f>IF($F986=1,MOD(MOD($Q986,11),10),"")</f>
        <v/>
      </c>
    </row>
    <row r="987">
      <c r="A987" s="6" t="n"/>
      <c r="B987" s="7">
        <f>IF($A987="","",UPPER(SUBSTITUTE(SUBSTITUTE(SUBSTITUTE(SUBSTITUTE(SUBSTITUTE(SUBSTITUTE($A987," ",""),"-",""),".",""),"/",""),"i","I"),"ı","?")))</f>
        <v/>
      </c>
      <c r="C987" s="8">
        <f>IF($F987=1,$R987,"")</f>
        <v/>
      </c>
      <c r="D987" s="7">
        <f>IF($A987="","",IF($F987=0,"Biçim hatalı",IF(FIND(MID($B987,11,1),"0123456789")-1=$R987,"Geçerli","Kontrol hanesi hatalı (doğrusu: "&amp;$R987&amp;")")))</f>
        <v/>
      </c>
      <c r="F987">
        <f>IF($A987="","",IF(AND(LEN($B987)=11,SUMPRODUCT(--ISNUMBER(FIND(MID($B987,{1,2,3},1),"ABCDEFGHIJKLMNOPQRSTUVWXYZ")))=3,ISNUMBER(FIND(MID($B987,4,1),"UJZ")),SUMPRODUCT(--ISNUMBER(FIND(MID($B987,{5,6,7,8,9,10,11},1),"0123456789")))=7),1,0))</f>
        <v/>
      </c>
      <c r="G987">
        <f>IF($F987=1,INDEX({10,12,13,14,15,16,17,18,19,20,21,23,24,25,26,27,28,29,30,31,32,34,35,36,37,38},1,FIND(MID($B987,1,1),"ABCDEFGHIJKLMNOPQRSTUVWXYZ")),"")</f>
        <v/>
      </c>
      <c r="H987">
        <f>IF($F987=1,INDEX({10,12,13,14,15,16,17,18,19,20,21,23,24,25,26,27,28,29,30,31,32,34,35,36,37,38},1,FIND(MID($B987,2,1),"ABCDEFGHIJKLMNOPQRSTUVWXYZ")),"")</f>
        <v/>
      </c>
      <c r="I987">
        <f>IF($F987=1,INDEX({10,12,13,14,15,16,17,18,19,20,21,23,24,25,26,27,28,29,30,31,32,34,35,36,37,38},1,FIND(MID($B987,3,1),"ABCDEFGHIJKLMNOPQRSTUVWXYZ")),"")</f>
        <v/>
      </c>
      <c r="J987">
        <f>IF($F987=1,INDEX({10,12,13,14,15,16,17,18,19,20,21,23,24,25,26,27,28,29,30,31,32,34,35,36,37,38},1,FIND(MID($B987,4,1),"ABCDEFGHIJKLMNOPQRSTUVWXYZ")),"")</f>
        <v/>
      </c>
      <c r="K987">
        <f>IF($F987=1,FIND(MID($B987,5,1),"0123456789")-1,"")</f>
        <v/>
      </c>
      <c r="L987">
        <f>IF($F987=1,FIND(MID($B987,6,1),"0123456789")-1,"")</f>
        <v/>
      </c>
      <c r="M987">
        <f>IF($F987=1,FIND(MID($B987,7,1),"0123456789")-1,"")</f>
        <v/>
      </c>
      <c r="N987">
        <f>IF($F987=1,FIND(MID($B987,8,1),"0123456789")-1,"")</f>
        <v/>
      </c>
      <c r="O987">
        <f>IF($F987=1,FIND(MID($B987,9,1),"0123456789")-1,"")</f>
        <v/>
      </c>
      <c r="P987">
        <f>IF($F987=1,FIND(MID($B987,10,1),"0123456789")-1,"")</f>
        <v/>
      </c>
      <c r="Q987">
        <f>IF($F987=1,SUMPRODUCT($G987:$P987,{1,2,4,8,16,32,64,128,256,512}),"")</f>
        <v/>
      </c>
      <c r="R987">
        <f>IF($F987=1,MOD(MOD($Q987,11),10),"")</f>
        <v/>
      </c>
    </row>
    <row r="988">
      <c r="A988" s="6" t="n"/>
      <c r="B988" s="7">
        <f>IF($A988="","",UPPER(SUBSTITUTE(SUBSTITUTE(SUBSTITUTE(SUBSTITUTE(SUBSTITUTE(SUBSTITUTE($A988," ",""),"-",""),".",""),"/",""),"i","I"),"ı","?")))</f>
        <v/>
      </c>
      <c r="C988" s="8">
        <f>IF($F988=1,$R988,"")</f>
        <v/>
      </c>
      <c r="D988" s="7">
        <f>IF($A988="","",IF($F988=0,"Biçim hatalı",IF(FIND(MID($B988,11,1),"0123456789")-1=$R988,"Geçerli","Kontrol hanesi hatalı (doğrusu: "&amp;$R988&amp;")")))</f>
        <v/>
      </c>
      <c r="F988">
        <f>IF($A988="","",IF(AND(LEN($B988)=11,SUMPRODUCT(--ISNUMBER(FIND(MID($B988,{1,2,3},1),"ABCDEFGHIJKLMNOPQRSTUVWXYZ")))=3,ISNUMBER(FIND(MID($B988,4,1),"UJZ")),SUMPRODUCT(--ISNUMBER(FIND(MID($B988,{5,6,7,8,9,10,11},1),"0123456789")))=7),1,0))</f>
        <v/>
      </c>
      <c r="G988">
        <f>IF($F988=1,INDEX({10,12,13,14,15,16,17,18,19,20,21,23,24,25,26,27,28,29,30,31,32,34,35,36,37,38},1,FIND(MID($B988,1,1),"ABCDEFGHIJKLMNOPQRSTUVWXYZ")),"")</f>
        <v/>
      </c>
      <c r="H988">
        <f>IF($F988=1,INDEX({10,12,13,14,15,16,17,18,19,20,21,23,24,25,26,27,28,29,30,31,32,34,35,36,37,38},1,FIND(MID($B988,2,1),"ABCDEFGHIJKLMNOPQRSTUVWXYZ")),"")</f>
        <v/>
      </c>
      <c r="I988">
        <f>IF($F988=1,INDEX({10,12,13,14,15,16,17,18,19,20,21,23,24,25,26,27,28,29,30,31,32,34,35,36,37,38},1,FIND(MID($B988,3,1),"ABCDEFGHIJKLMNOPQRSTUVWXYZ")),"")</f>
        <v/>
      </c>
      <c r="J988">
        <f>IF($F988=1,INDEX({10,12,13,14,15,16,17,18,19,20,21,23,24,25,26,27,28,29,30,31,32,34,35,36,37,38},1,FIND(MID($B988,4,1),"ABCDEFGHIJKLMNOPQRSTUVWXYZ")),"")</f>
        <v/>
      </c>
      <c r="K988">
        <f>IF($F988=1,FIND(MID($B988,5,1),"0123456789")-1,"")</f>
        <v/>
      </c>
      <c r="L988">
        <f>IF($F988=1,FIND(MID($B988,6,1),"0123456789")-1,"")</f>
        <v/>
      </c>
      <c r="M988">
        <f>IF($F988=1,FIND(MID($B988,7,1),"0123456789")-1,"")</f>
        <v/>
      </c>
      <c r="N988">
        <f>IF($F988=1,FIND(MID($B988,8,1),"0123456789")-1,"")</f>
        <v/>
      </c>
      <c r="O988">
        <f>IF($F988=1,FIND(MID($B988,9,1),"0123456789")-1,"")</f>
        <v/>
      </c>
      <c r="P988">
        <f>IF($F988=1,FIND(MID($B988,10,1),"0123456789")-1,"")</f>
        <v/>
      </c>
      <c r="Q988">
        <f>IF($F988=1,SUMPRODUCT($G988:$P988,{1,2,4,8,16,32,64,128,256,512}),"")</f>
        <v/>
      </c>
      <c r="R988">
        <f>IF($F988=1,MOD(MOD($Q988,11),10),"")</f>
        <v/>
      </c>
    </row>
    <row r="989">
      <c r="A989" s="6" t="n"/>
      <c r="B989" s="7">
        <f>IF($A989="","",UPPER(SUBSTITUTE(SUBSTITUTE(SUBSTITUTE(SUBSTITUTE(SUBSTITUTE(SUBSTITUTE($A989," ",""),"-",""),".",""),"/",""),"i","I"),"ı","?")))</f>
        <v/>
      </c>
      <c r="C989" s="8">
        <f>IF($F989=1,$R989,"")</f>
        <v/>
      </c>
      <c r="D989" s="7">
        <f>IF($A989="","",IF($F989=0,"Biçim hatalı",IF(FIND(MID($B989,11,1),"0123456789")-1=$R989,"Geçerli","Kontrol hanesi hatalı (doğrusu: "&amp;$R989&amp;")")))</f>
        <v/>
      </c>
      <c r="F989">
        <f>IF($A989="","",IF(AND(LEN($B989)=11,SUMPRODUCT(--ISNUMBER(FIND(MID($B989,{1,2,3},1),"ABCDEFGHIJKLMNOPQRSTUVWXYZ")))=3,ISNUMBER(FIND(MID($B989,4,1),"UJZ")),SUMPRODUCT(--ISNUMBER(FIND(MID($B989,{5,6,7,8,9,10,11},1),"0123456789")))=7),1,0))</f>
        <v/>
      </c>
      <c r="G989">
        <f>IF($F989=1,INDEX({10,12,13,14,15,16,17,18,19,20,21,23,24,25,26,27,28,29,30,31,32,34,35,36,37,38},1,FIND(MID($B989,1,1),"ABCDEFGHIJKLMNOPQRSTUVWXYZ")),"")</f>
        <v/>
      </c>
      <c r="H989">
        <f>IF($F989=1,INDEX({10,12,13,14,15,16,17,18,19,20,21,23,24,25,26,27,28,29,30,31,32,34,35,36,37,38},1,FIND(MID($B989,2,1),"ABCDEFGHIJKLMNOPQRSTUVWXYZ")),"")</f>
        <v/>
      </c>
      <c r="I989">
        <f>IF($F989=1,INDEX({10,12,13,14,15,16,17,18,19,20,21,23,24,25,26,27,28,29,30,31,32,34,35,36,37,38},1,FIND(MID($B989,3,1),"ABCDEFGHIJKLMNOPQRSTUVWXYZ")),"")</f>
        <v/>
      </c>
      <c r="J989">
        <f>IF($F989=1,INDEX({10,12,13,14,15,16,17,18,19,20,21,23,24,25,26,27,28,29,30,31,32,34,35,36,37,38},1,FIND(MID($B989,4,1),"ABCDEFGHIJKLMNOPQRSTUVWXYZ")),"")</f>
        <v/>
      </c>
      <c r="K989">
        <f>IF($F989=1,FIND(MID($B989,5,1),"0123456789")-1,"")</f>
        <v/>
      </c>
      <c r="L989">
        <f>IF($F989=1,FIND(MID($B989,6,1),"0123456789")-1,"")</f>
        <v/>
      </c>
      <c r="M989">
        <f>IF($F989=1,FIND(MID($B989,7,1),"0123456789")-1,"")</f>
        <v/>
      </c>
      <c r="N989">
        <f>IF($F989=1,FIND(MID($B989,8,1),"0123456789")-1,"")</f>
        <v/>
      </c>
      <c r="O989">
        <f>IF($F989=1,FIND(MID($B989,9,1),"0123456789")-1,"")</f>
        <v/>
      </c>
      <c r="P989">
        <f>IF($F989=1,FIND(MID($B989,10,1),"0123456789")-1,"")</f>
        <v/>
      </c>
      <c r="Q989">
        <f>IF($F989=1,SUMPRODUCT($G989:$P989,{1,2,4,8,16,32,64,128,256,512}),"")</f>
        <v/>
      </c>
      <c r="R989">
        <f>IF($F989=1,MOD(MOD($Q989,11),10),"")</f>
        <v/>
      </c>
    </row>
    <row r="990">
      <c r="A990" s="6" t="n"/>
      <c r="B990" s="7">
        <f>IF($A990="","",UPPER(SUBSTITUTE(SUBSTITUTE(SUBSTITUTE(SUBSTITUTE(SUBSTITUTE(SUBSTITUTE($A990," ",""),"-",""),".",""),"/",""),"i","I"),"ı","?")))</f>
        <v/>
      </c>
      <c r="C990" s="8">
        <f>IF($F990=1,$R990,"")</f>
        <v/>
      </c>
      <c r="D990" s="7">
        <f>IF($A990="","",IF($F990=0,"Biçim hatalı",IF(FIND(MID($B990,11,1),"0123456789")-1=$R990,"Geçerli","Kontrol hanesi hatalı (doğrusu: "&amp;$R990&amp;")")))</f>
        <v/>
      </c>
      <c r="F990">
        <f>IF($A990="","",IF(AND(LEN($B990)=11,SUMPRODUCT(--ISNUMBER(FIND(MID($B990,{1,2,3},1),"ABCDEFGHIJKLMNOPQRSTUVWXYZ")))=3,ISNUMBER(FIND(MID($B990,4,1),"UJZ")),SUMPRODUCT(--ISNUMBER(FIND(MID($B990,{5,6,7,8,9,10,11},1),"0123456789")))=7),1,0))</f>
        <v/>
      </c>
      <c r="G990">
        <f>IF($F990=1,INDEX({10,12,13,14,15,16,17,18,19,20,21,23,24,25,26,27,28,29,30,31,32,34,35,36,37,38},1,FIND(MID($B990,1,1),"ABCDEFGHIJKLMNOPQRSTUVWXYZ")),"")</f>
        <v/>
      </c>
      <c r="H990">
        <f>IF($F990=1,INDEX({10,12,13,14,15,16,17,18,19,20,21,23,24,25,26,27,28,29,30,31,32,34,35,36,37,38},1,FIND(MID($B990,2,1),"ABCDEFGHIJKLMNOPQRSTUVWXYZ")),"")</f>
        <v/>
      </c>
      <c r="I990">
        <f>IF($F990=1,INDEX({10,12,13,14,15,16,17,18,19,20,21,23,24,25,26,27,28,29,30,31,32,34,35,36,37,38},1,FIND(MID($B990,3,1),"ABCDEFGHIJKLMNOPQRSTUVWXYZ")),"")</f>
        <v/>
      </c>
      <c r="J990">
        <f>IF($F990=1,INDEX({10,12,13,14,15,16,17,18,19,20,21,23,24,25,26,27,28,29,30,31,32,34,35,36,37,38},1,FIND(MID($B990,4,1),"ABCDEFGHIJKLMNOPQRSTUVWXYZ")),"")</f>
        <v/>
      </c>
      <c r="K990">
        <f>IF($F990=1,FIND(MID($B990,5,1),"0123456789")-1,"")</f>
        <v/>
      </c>
      <c r="L990">
        <f>IF($F990=1,FIND(MID($B990,6,1),"0123456789")-1,"")</f>
        <v/>
      </c>
      <c r="M990">
        <f>IF($F990=1,FIND(MID($B990,7,1),"0123456789")-1,"")</f>
        <v/>
      </c>
      <c r="N990">
        <f>IF($F990=1,FIND(MID($B990,8,1),"0123456789")-1,"")</f>
        <v/>
      </c>
      <c r="O990">
        <f>IF($F990=1,FIND(MID($B990,9,1),"0123456789")-1,"")</f>
        <v/>
      </c>
      <c r="P990">
        <f>IF($F990=1,FIND(MID($B990,10,1),"0123456789")-1,"")</f>
        <v/>
      </c>
      <c r="Q990">
        <f>IF($F990=1,SUMPRODUCT($G990:$P990,{1,2,4,8,16,32,64,128,256,512}),"")</f>
        <v/>
      </c>
      <c r="R990">
        <f>IF($F990=1,MOD(MOD($Q990,11),10),"")</f>
        <v/>
      </c>
    </row>
    <row r="991">
      <c r="A991" s="6" t="n"/>
      <c r="B991" s="7">
        <f>IF($A991="","",UPPER(SUBSTITUTE(SUBSTITUTE(SUBSTITUTE(SUBSTITUTE(SUBSTITUTE(SUBSTITUTE($A991," ",""),"-",""),".",""),"/",""),"i","I"),"ı","?")))</f>
        <v/>
      </c>
      <c r="C991" s="8">
        <f>IF($F991=1,$R991,"")</f>
        <v/>
      </c>
      <c r="D991" s="7">
        <f>IF($A991="","",IF($F991=0,"Biçim hatalı",IF(FIND(MID($B991,11,1),"0123456789")-1=$R991,"Geçerli","Kontrol hanesi hatalı (doğrusu: "&amp;$R991&amp;")")))</f>
        <v/>
      </c>
      <c r="F991">
        <f>IF($A991="","",IF(AND(LEN($B991)=11,SUMPRODUCT(--ISNUMBER(FIND(MID($B991,{1,2,3},1),"ABCDEFGHIJKLMNOPQRSTUVWXYZ")))=3,ISNUMBER(FIND(MID($B991,4,1),"UJZ")),SUMPRODUCT(--ISNUMBER(FIND(MID($B991,{5,6,7,8,9,10,11},1),"0123456789")))=7),1,0))</f>
        <v/>
      </c>
      <c r="G991">
        <f>IF($F991=1,INDEX({10,12,13,14,15,16,17,18,19,20,21,23,24,25,26,27,28,29,30,31,32,34,35,36,37,38},1,FIND(MID($B991,1,1),"ABCDEFGHIJKLMNOPQRSTUVWXYZ")),"")</f>
        <v/>
      </c>
      <c r="H991">
        <f>IF($F991=1,INDEX({10,12,13,14,15,16,17,18,19,20,21,23,24,25,26,27,28,29,30,31,32,34,35,36,37,38},1,FIND(MID($B991,2,1),"ABCDEFGHIJKLMNOPQRSTUVWXYZ")),"")</f>
        <v/>
      </c>
      <c r="I991">
        <f>IF($F991=1,INDEX({10,12,13,14,15,16,17,18,19,20,21,23,24,25,26,27,28,29,30,31,32,34,35,36,37,38},1,FIND(MID($B991,3,1),"ABCDEFGHIJKLMNOPQRSTUVWXYZ")),"")</f>
        <v/>
      </c>
      <c r="J991">
        <f>IF($F991=1,INDEX({10,12,13,14,15,16,17,18,19,20,21,23,24,25,26,27,28,29,30,31,32,34,35,36,37,38},1,FIND(MID($B991,4,1),"ABCDEFGHIJKLMNOPQRSTUVWXYZ")),"")</f>
        <v/>
      </c>
      <c r="K991">
        <f>IF($F991=1,FIND(MID($B991,5,1),"0123456789")-1,"")</f>
        <v/>
      </c>
      <c r="L991">
        <f>IF($F991=1,FIND(MID($B991,6,1),"0123456789")-1,"")</f>
        <v/>
      </c>
      <c r="M991">
        <f>IF($F991=1,FIND(MID($B991,7,1),"0123456789")-1,"")</f>
        <v/>
      </c>
      <c r="N991">
        <f>IF($F991=1,FIND(MID($B991,8,1),"0123456789")-1,"")</f>
        <v/>
      </c>
      <c r="O991">
        <f>IF($F991=1,FIND(MID($B991,9,1),"0123456789")-1,"")</f>
        <v/>
      </c>
      <c r="P991">
        <f>IF($F991=1,FIND(MID($B991,10,1),"0123456789")-1,"")</f>
        <v/>
      </c>
      <c r="Q991">
        <f>IF($F991=1,SUMPRODUCT($G991:$P991,{1,2,4,8,16,32,64,128,256,512}),"")</f>
        <v/>
      </c>
      <c r="R991">
        <f>IF($F991=1,MOD(MOD($Q991,11),10),"")</f>
        <v/>
      </c>
    </row>
    <row r="992">
      <c r="A992" s="6" t="n"/>
      <c r="B992" s="7">
        <f>IF($A992="","",UPPER(SUBSTITUTE(SUBSTITUTE(SUBSTITUTE(SUBSTITUTE(SUBSTITUTE(SUBSTITUTE($A992," ",""),"-",""),".",""),"/",""),"i","I"),"ı","?")))</f>
        <v/>
      </c>
      <c r="C992" s="8">
        <f>IF($F992=1,$R992,"")</f>
        <v/>
      </c>
      <c r="D992" s="7">
        <f>IF($A992="","",IF($F992=0,"Biçim hatalı",IF(FIND(MID($B992,11,1),"0123456789")-1=$R992,"Geçerli","Kontrol hanesi hatalı (doğrusu: "&amp;$R992&amp;")")))</f>
        <v/>
      </c>
      <c r="F992">
        <f>IF($A992="","",IF(AND(LEN($B992)=11,SUMPRODUCT(--ISNUMBER(FIND(MID($B992,{1,2,3},1),"ABCDEFGHIJKLMNOPQRSTUVWXYZ")))=3,ISNUMBER(FIND(MID($B992,4,1),"UJZ")),SUMPRODUCT(--ISNUMBER(FIND(MID($B992,{5,6,7,8,9,10,11},1),"0123456789")))=7),1,0))</f>
        <v/>
      </c>
      <c r="G992">
        <f>IF($F992=1,INDEX({10,12,13,14,15,16,17,18,19,20,21,23,24,25,26,27,28,29,30,31,32,34,35,36,37,38},1,FIND(MID($B992,1,1),"ABCDEFGHIJKLMNOPQRSTUVWXYZ")),"")</f>
        <v/>
      </c>
      <c r="H992">
        <f>IF($F992=1,INDEX({10,12,13,14,15,16,17,18,19,20,21,23,24,25,26,27,28,29,30,31,32,34,35,36,37,38},1,FIND(MID($B992,2,1),"ABCDEFGHIJKLMNOPQRSTUVWXYZ")),"")</f>
        <v/>
      </c>
      <c r="I992">
        <f>IF($F992=1,INDEX({10,12,13,14,15,16,17,18,19,20,21,23,24,25,26,27,28,29,30,31,32,34,35,36,37,38},1,FIND(MID($B992,3,1),"ABCDEFGHIJKLMNOPQRSTUVWXYZ")),"")</f>
        <v/>
      </c>
      <c r="J992">
        <f>IF($F992=1,INDEX({10,12,13,14,15,16,17,18,19,20,21,23,24,25,26,27,28,29,30,31,32,34,35,36,37,38},1,FIND(MID($B992,4,1),"ABCDEFGHIJKLMNOPQRSTUVWXYZ")),"")</f>
        <v/>
      </c>
      <c r="K992">
        <f>IF($F992=1,FIND(MID($B992,5,1),"0123456789")-1,"")</f>
        <v/>
      </c>
      <c r="L992">
        <f>IF($F992=1,FIND(MID($B992,6,1),"0123456789")-1,"")</f>
        <v/>
      </c>
      <c r="M992">
        <f>IF($F992=1,FIND(MID($B992,7,1),"0123456789")-1,"")</f>
        <v/>
      </c>
      <c r="N992">
        <f>IF($F992=1,FIND(MID($B992,8,1),"0123456789")-1,"")</f>
        <v/>
      </c>
      <c r="O992">
        <f>IF($F992=1,FIND(MID($B992,9,1),"0123456789")-1,"")</f>
        <v/>
      </c>
      <c r="P992">
        <f>IF($F992=1,FIND(MID($B992,10,1),"0123456789")-1,"")</f>
        <v/>
      </c>
      <c r="Q992">
        <f>IF($F992=1,SUMPRODUCT($G992:$P992,{1,2,4,8,16,32,64,128,256,512}),"")</f>
        <v/>
      </c>
      <c r="R992">
        <f>IF($F992=1,MOD(MOD($Q992,11),10),"")</f>
        <v/>
      </c>
    </row>
    <row r="993">
      <c r="A993" s="6" t="n"/>
      <c r="B993" s="7">
        <f>IF($A993="","",UPPER(SUBSTITUTE(SUBSTITUTE(SUBSTITUTE(SUBSTITUTE(SUBSTITUTE(SUBSTITUTE($A993," ",""),"-",""),".",""),"/",""),"i","I"),"ı","?")))</f>
        <v/>
      </c>
      <c r="C993" s="8">
        <f>IF($F993=1,$R993,"")</f>
        <v/>
      </c>
      <c r="D993" s="7">
        <f>IF($A993="","",IF($F993=0,"Biçim hatalı",IF(FIND(MID($B993,11,1),"0123456789")-1=$R993,"Geçerli","Kontrol hanesi hatalı (doğrusu: "&amp;$R993&amp;")")))</f>
        <v/>
      </c>
      <c r="F993">
        <f>IF($A993="","",IF(AND(LEN($B993)=11,SUMPRODUCT(--ISNUMBER(FIND(MID($B993,{1,2,3},1),"ABCDEFGHIJKLMNOPQRSTUVWXYZ")))=3,ISNUMBER(FIND(MID($B993,4,1),"UJZ")),SUMPRODUCT(--ISNUMBER(FIND(MID($B993,{5,6,7,8,9,10,11},1),"0123456789")))=7),1,0))</f>
        <v/>
      </c>
      <c r="G993">
        <f>IF($F993=1,INDEX({10,12,13,14,15,16,17,18,19,20,21,23,24,25,26,27,28,29,30,31,32,34,35,36,37,38},1,FIND(MID($B993,1,1),"ABCDEFGHIJKLMNOPQRSTUVWXYZ")),"")</f>
        <v/>
      </c>
      <c r="H993">
        <f>IF($F993=1,INDEX({10,12,13,14,15,16,17,18,19,20,21,23,24,25,26,27,28,29,30,31,32,34,35,36,37,38},1,FIND(MID($B993,2,1),"ABCDEFGHIJKLMNOPQRSTUVWXYZ")),"")</f>
        <v/>
      </c>
      <c r="I993">
        <f>IF($F993=1,INDEX({10,12,13,14,15,16,17,18,19,20,21,23,24,25,26,27,28,29,30,31,32,34,35,36,37,38},1,FIND(MID($B993,3,1),"ABCDEFGHIJKLMNOPQRSTUVWXYZ")),"")</f>
        <v/>
      </c>
      <c r="J993">
        <f>IF($F993=1,INDEX({10,12,13,14,15,16,17,18,19,20,21,23,24,25,26,27,28,29,30,31,32,34,35,36,37,38},1,FIND(MID($B993,4,1),"ABCDEFGHIJKLMNOPQRSTUVWXYZ")),"")</f>
        <v/>
      </c>
      <c r="K993">
        <f>IF($F993=1,FIND(MID($B993,5,1),"0123456789")-1,"")</f>
        <v/>
      </c>
      <c r="L993">
        <f>IF($F993=1,FIND(MID($B993,6,1),"0123456789")-1,"")</f>
        <v/>
      </c>
      <c r="M993">
        <f>IF($F993=1,FIND(MID($B993,7,1),"0123456789")-1,"")</f>
        <v/>
      </c>
      <c r="N993">
        <f>IF($F993=1,FIND(MID($B993,8,1),"0123456789")-1,"")</f>
        <v/>
      </c>
      <c r="O993">
        <f>IF($F993=1,FIND(MID($B993,9,1),"0123456789")-1,"")</f>
        <v/>
      </c>
      <c r="P993">
        <f>IF($F993=1,FIND(MID($B993,10,1),"0123456789")-1,"")</f>
        <v/>
      </c>
      <c r="Q993">
        <f>IF($F993=1,SUMPRODUCT($G993:$P993,{1,2,4,8,16,32,64,128,256,512}),"")</f>
        <v/>
      </c>
      <c r="R993">
        <f>IF($F993=1,MOD(MOD($Q993,11),10),"")</f>
        <v/>
      </c>
    </row>
    <row r="994">
      <c r="A994" s="6" t="n"/>
      <c r="B994" s="7">
        <f>IF($A994="","",UPPER(SUBSTITUTE(SUBSTITUTE(SUBSTITUTE(SUBSTITUTE(SUBSTITUTE(SUBSTITUTE($A994," ",""),"-",""),".",""),"/",""),"i","I"),"ı","?")))</f>
        <v/>
      </c>
      <c r="C994" s="8">
        <f>IF($F994=1,$R994,"")</f>
        <v/>
      </c>
      <c r="D994" s="7">
        <f>IF($A994="","",IF($F994=0,"Biçim hatalı",IF(FIND(MID($B994,11,1),"0123456789")-1=$R994,"Geçerli","Kontrol hanesi hatalı (doğrusu: "&amp;$R994&amp;")")))</f>
        <v/>
      </c>
      <c r="F994">
        <f>IF($A994="","",IF(AND(LEN($B994)=11,SUMPRODUCT(--ISNUMBER(FIND(MID($B994,{1,2,3},1),"ABCDEFGHIJKLMNOPQRSTUVWXYZ")))=3,ISNUMBER(FIND(MID($B994,4,1),"UJZ")),SUMPRODUCT(--ISNUMBER(FIND(MID($B994,{5,6,7,8,9,10,11},1),"0123456789")))=7),1,0))</f>
        <v/>
      </c>
      <c r="G994">
        <f>IF($F994=1,INDEX({10,12,13,14,15,16,17,18,19,20,21,23,24,25,26,27,28,29,30,31,32,34,35,36,37,38},1,FIND(MID($B994,1,1),"ABCDEFGHIJKLMNOPQRSTUVWXYZ")),"")</f>
        <v/>
      </c>
      <c r="H994">
        <f>IF($F994=1,INDEX({10,12,13,14,15,16,17,18,19,20,21,23,24,25,26,27,28,29,30,31,32,34,35,36,37,38},1,FIND(MID($B994,2,1),"ABCDEFGHIJKLMNOPQRSTUVWXYZ")),"")</f>
        <v/>
      </c>
      <c r="I994">
        <f>IF($F994=1,INDEX({10,12,13,14,15,16,17,18,19,20,21,23,24,25,26,27,28,29,30,31,32,34,35,36,37,38},1,FIND(MID($B994,3,1),"ABCDEFGHIJKLMNOPQRSTUVWXYZ")),"")</f>
        <v/>
      </c>
      <c r="J994">
        <f>IF($F994=1,INDEX({10,12,13,14,15,16,17,18,19,20,21,23,24,25,26,27,28,29,30,31,32,34,35,36,37,38},1,FIND(MID($B994,4,1),"ABCDEFGHIJKLMNOPQRSTUVWXYZ")),"")</f>
        <v/>
      </c>
      <c r="K994">
        <f>IF($F994=1,FIND(MID($B994,5,1),"0123456789")-1,"")</f>
        <v/>
      </c>
      <c r="L994">
        <f>IF($F994=1,FIND(MID($B994,6,1),"0123456789")-1,"")</f>
        <v/>
      </c>
      <c r="M994">
        <f>IF($F994=1,FIND(MID($B994,7,1),"0123456789")-1,"")</f>
        <v/>
      </c>
      <c r="N994">
        <f>IF($F994=1,FIND(MID($B994,8,1),"0123456789")-1,"")</f>
        <v/>
      </c>
      <c r="O994">
        <f>IF($F994=1,FIND(MID($B994,9,1),"0123456789")-1,"")</f>
        <v/>
      </c>
      <c r="P994">
        <f>IF($F994=1,FIND(MID($B994,10,1),"0123456789")-1,"")</f>
        <v/>
      </c>
      <c r="Q994">
        <f>IF($F994=1,SUMPRODUCT($G994:$P994,{1,2,4,8,16,32,64,128,256,512}),"")</f>
        <v/>
      </c>
      <c r="R994">
        <f>IF($F994=1,MOD(MOD($Q994,11),10),"")</f>
        <v/>
      </c>
    </row>
    <row r="995">
      <c r="A995" s="6" t="n"/>
      <c r="B995" s="7">
        <f>IF($A995="","",UPPER(SUBSTITUTE(SUBSTITUTE(SUBSTITUTE(SUBSTITUTE(SUBSTITUTE(SUBSTITUTE($A995," ",""),"-",""),".",""),"/",""),"i","I"),"ı","?")))</f>
        <v/>
      </c>
      <c r="C995" s="8">
        <f>IF($F995=1,$R995,"")</f>
        <v/>
      </c>
      <c r="D995" s="7">
        <f>IF($A995="","",IF($F995=0,"Biçim hatalı",IF(FIND(MID($B995,11,1),"0123456789")-1=$R995,"Geçerli","Kontrol hanesi hatalı (doğrusu: "&amp;$R995&amp;")")))</f>
        <v/>
      </c>
      <c r="F995">
        <f>IF($A995="","",IF(AND(LEN($B995)=11,SUMPRODUCT(--ISNUMBER(FIND(MID($B995,{1,2,3},1),"ABCDEFGHIJKLMNOPQRSTUVWXYZ")))=3,ISNUMBER(FIND(MID($B995,4,1),"UJZ")),SUMPRODUCT(--ISNUMBER(FIND(MID($B995,{5,6,7,8,9,10,11},1),"0123456789")))=7),1,0))</f>
        <v/>
      </c>
      <c r="G995">
        <f>IF($F995=1,INDEX({10,12,13,14,15,16,17,18,19,20,21,23,24,25,26,27,28,29,30,31,32,34,35,36,37,38},1,FIND(MID($B995,1,1),"ABCDEFGHIJKLMNOPQRSTUVWXYZ")),"")</f>
        <v/>
      </c>
      <c r="H995">
        <f>IF($F995=1,INDEX({10,12,13,14,15,16,17,18,19,20,21,23,24,25,26,27,28,29,30,31,32,34,35,36,37,38},1,FIND(MID($B995,2,1),"ABCDEFGHIJKLMNOPQRSTUVWXYZ")),"")</f>
        <v/>
      </c>
      <c r="I995">
        <f>IF($F995=1,INDEX({10,12,13,14,15,16,17,18,19,20,21,23,24,25,26,27,28,29,30,31,32,34,35,36,37,38},1,FIND(MID($B995,3,1),"ABCDEFGHIJKLMNOPQRSTUVWXYZ")),"")</f>
        <v/>
      </c>
      <c r="J995">
        <f>IF($F995=1,INDEX({10,12,13,14,15,16,17,18,19,20,21,23,24,25,26,27,28,29,30,31,32,34,35,36,37,38},1,FIND(MID($B995,4,1),"ABCDEFGHIJKLMNOPQRSTUVWXYZ")),"")</f>
        <v/>
      </c>
      <c r="K995">
        <f>IF($F995=1,FIND(MID($B995,5,1),"0123456789")-1,"")</f>
        <v/>
      </c>
      <c r="L995">
        <f>IF($F995=1,FIND(MID($B995,6,1),"0123456789")-1,"")</f>
        <v/>
      </c>
      <c r="M995">
        <f>IF($F995=1,FIND(MID($B995,7,1),"0123456789")-1,"")</f>
        <v/>
      </c>
      <c r="N995">
        <f>IF($F995=1,FIND(MID($B995,8,1),"0123456789")-1,"")</f>
        <v/>
      </c>
      <c r="O995">
        <f>IF($F995=1,FIND(MID($B995,9,1),"0123456789")-1,"")</f>
        <v/>
      </c>
      <c r="P995">
        <f>IF($F995=1,FIND(MID($B995,10,1),"0123456789")-1,"")</f>
        <v/>
      </c>
      <c r="Q995">
        <f>IF($F995=1,SUMPRODUCT($G995:$P995,{1,2,4,8,16,32,64,128,256,512}),"")</f>
        <v/>
      </c>
      <c r="R995">
        <f>IF($F995=1,MOD(MOD($Q995,11),10),"")</f>
        <v/>
      </c>
    </row>
    <row r="996">
      <c r="A996" s="6" t="n"/>
      <c r="B996" s="7">
        <f>IF($A996="","",UPPER(SUBSTITUTE(SUBSTITUTE(SUBSTITUTE(SUBSTITUTE(SUBSTITUTE(SUBSTITUTE($A996," ",""),"-",""),".",""),"/",""),"i","I"),"ı","?")))</f>
        <v/>
      </c>
      <c r="C996" s="8">
        <f>IF($F996=1,$R996,"")</f>
        <v/>
      </c>
      <c r="D996" s="7">
        <f>IF($A996="","",IF($F996=0,"Biçim hatalı",IF(FIND(MID($B996,11,1),"0123456789")-1=$R996,"Geçerli","Kontrol hanesi hatalı (doğrusu: "&amp;$R996&amp;")")))</f>
        <v/>
      </c>
      <c r="F996">
        <f>IF($A996="","",IF(AND(LEN($B996)=11,SUMPRODUCT(--ISNUMBER(FIND(MID($B996,{1,2,3},1),"ABCDEFGHIJKLMNOPQRSTUVWXYZ")))=3,ISNUMBER(FIND(MID($B996,4,1),"UJZ")),SUMPRODUCT(--ISNUMBER(FIND(MID($B996,{5,6,7,8,9,10,11},1),"0123456789")))=7),1,0))</f>
        <v/>
      </c>
      <c r="G996">
        <f>IF($F996=1,INDEX({10,12,13,14,15,16,17,18,19,20,21,23,24,25,26,27,28,29,30,31,32,34,35,36,37,38},1,FIND(MID($B996,1,1),"ABCDEFGHIJKLMNOPQRSTUVWXYZ")),"")</f>
        <v/>
      </c>
      <c r="H996">
        <f>IF($F996=1,INDEX({10,12,13,14,15,16,17,18,19,20,21,23,24,25,26,27,28,29,30,31,32,34,35,36,37,38},1,FIND(MID($B996,2,1),"ABCDEFGHIJKLMNOPQRSTUVWXYZ")),"")</f>
        <v/>
      </c>
      <c r="I996">
        <f>IF($F996=1,INDEX({10,12,13,14,15,16,17,18,19,20,21,23,24,25,26,27,28,29,30,31,32,34,35,36,37,38},1,FIND(MID($B996,3,1),"ABCDEFGHIJKLMNOPQRSTUVWXYZ")),"")</f>
        <v/>
      </c>
      <c r="J996">
        <f>IF($F996=1,INDEX({10,12,13,14,15,16,17,18,19,20,21,23,24,25,26,27,28,29,30,31,32,34,35,36,37,38},1,FIND(MID($B996,4,1),"ABCDEFGHIJKLMNOPQRSTUVWXYZ")),"")</f>
        <v/>
      </c>
      <c r="K996">
        <f>IF($F996=1,FIND(MID($B996,5,1),"0123456789")-1,"")</f>
        <v/>
      </c>
      <c r="L996">
        <f>IF($F996=1,FIND(MID($B996,6,1),"0123456789")-1,"")</f>
        <v/>
      </c>
      <c r="M996">
        <f>IF($F996=1,FIND(MID($B996,7,1),"0123456789")-1,"")</f>
        <v/>
      </c>
      <c r="N996">
        <f>IF($F996=1,FIND(MID($B996,8,1),"0123456789")-1,"")</f>
        <v/>
      </c>
      <c r="O996">
        <f>IF($F996=1,FIND(MID($B996,9,1),"0123456789")-1,"")</f>
        <v/>
      </c>
      <c r="P996">
        <f>IF($F996=1,FIND(MID($B996,10,1),"0123456789")-1,"")</f>
        <v/>
      </c>
      <c r="Q996">
        <f>IF($F996=1,SUMPRODUCT($G996:$P996,{1,2,4,8,16,32,64,128,256,512}),"")</f>
        <v/>
      </c>
      <c r="R996">
        <f>IF($F996=1,MOD(MOD($Q996,11),10),"")</f>
        <v/>
      </c>
    </row>
    <row r="997">
      <c r="A997" s="6" t="n"/>
      <c r="B997" s="7">
        <f>IF($A997="","",UPPER(SUBSTITUTE(SUBSTITUTE(SUBSTITUTE(SUBSTITUTE(SUBSTITUTE(SUBSTITUTE($A997," ",""),"-",""),".",""),"/",""),"i","I"),"ı","?")))</f>
        <v/>
      </c>
      <c r="C997" s="8">
        <f>IF($F997=1,$R997,"")</f>
        <v/>
      </c>
      <c r="D997" s="7">
        <f>IF($A997="","",IF($F997=0,"Biçim hatalı",IF(FIND(MID($B997,11,1),"0123456789")-1=$R997,"Geçerli","Kontrol hanesi hatalı (doğrusu: "&amp;$R997&amp;")")))</f>
        <v/>
      </c>
      <c r="F997">
        <f>IF($A997="","",IF(AND(LEN($B997)=11,SUMPRODUCT(--ISNUMBER(FIND(MID($B997,{1,2,3},1),"ABCDEFGHIJKLMNOPQRSTUVWXYZ")))=3,ISNUMBER(FIND(MID($B997,4,1),"UJZ")),SUMPRODUCT(--ISNUMBER(FIND(MID($B997,{5,6,7,8,9,10,11},1),"0123456789")))=7),1,0))</f>
        <v/>
      </c>
      <c r="G997">
        <f>IF($F997=1,INDEX({10,12,13,14,15,16,17,18,19,20,21,23,24,25,26,27,28,29,30,31,32,34,35,36,37,38},1,FIND(MID($B997,1,1),"ABCDEFGHIJKLMNOPQRSTUVWXYZ")),"")</f>
        <v/>
      </c>
      <c r="H997">
        <f>IF($F997=1,INDEX({10,12,13,14,15,16,17,18,19,20,21,23,24,25,26,27,28,29,30,31,32,34,35,36,37,38},1,FIND(MID($B997,2,1),"ABCDEFGHIJKLMNOPQRSTUVWXYZ")),"")</f>
        <v/>
      </c>
      <c r="I997">
        <f>IF($F997=1,INDEX({10,12,13,14,15,16,17,18,19,20,21,23,24,25,26,27,28,29,30,31,32,34,35,36,37,38},1,FIND(MID($B997,3,1),"ABCDEFGHIJKLMNOPQRSTUVWXYZ")),"")</f>
        <v/>
      </c>
      <c r="J997">
        <f>IF($F997=1,INDEX({10,12,13,14,15,16,17,18,19,20,21,23,24,25,26,27,28,29,30,31,32,34,35,36,37,38},1,FIND(MID($B997,4,1),"ABCDEFGHIJKLMNOPQRSTUVWXYZ")),"")</f>
        <v/>
      </c>
      <c r="K997">
        <f>IF($F997=1,FIND(MID($B997,5,1),"0123456789")-1,"")</f>
        <v/>
      </c>
      <c r="L997">
        <f>IF($F997=1,FIND(MID($B997,6,1),"0123456789")-1,"")</f>
        <v/>
      </c>
      <c r="M997">
        <f>IF($F997=1,FIND(MID($B997,7,1),"0123456789")-1,"")</f>
        <v/>
      </c>
      <c r="N997">
        <f>IF($F997=1,FIND(MID($B997,8,1),"0123456789")-1,"")</f>
        <v/>
      </c>
      <c r="O997">
        <f>IF($F997=1,FIND(MID($B997,9,1),"0123456789")-1,"")</f>
        <v/>
      </c>
      <c r="P997">
        <f>IF($F997=1,FIND(MID($B997,10,1),"0123456789")-1,"")</f>
        <v/>
      </c>
      <c r="Q997">
        <f>IF($F997=1,SUMPRODUCT($G997:$P997,{1,2,4,8,16,32,64,128,256,512}),"")</f>
        <v/>
      </c>
      <c r="R997">
        <f>IF($F997=1,MOD(MOD($Q997,11),10),"")</f>
        <v/>
      </c>
    </row>
    <row r="998">
      <c r="A998" s="6" t="n"/>
      <c r="B998" s="7">
        <f>IF($A998="","",UPPER(SUBSTITUTE(SUBSTITUTE(SUBSTITUTE(SUBSTITUTE(SUBSTITUTE(SUBSTITUTE($A998," ",""),"-",""),".",""),"/",""),"i","I"),"ı","?")))</f>
        <v/>
      </c>
      <c r="C998" s="8">
        <f>IF($F998=1,$R998,"")</f>
        <v/>
      </c>
      <c r="D998" s="7">
        <f>IF($A998="","",IF($F998=0,"Biçim hatalı",IF(FIND(MID($B998,11,1),"0123456789")-1=$R998,"Geçerli","Kontrol hanesi hatalı (doğrusu: "&amp;$R998&amp;")")))</f>
        <v/>
      </c>
      <c r="F998">
        <f>IF($A998="","",IF(AND(LEN($B998)=11,SUMPRODUCT(--ISNUMBER(FIND(MID($B998,{1,2,3},1),"ABCDEFGHIJKLMNOPQRSTUVWXYZ")))=3,ISNUMBER(FIND(MID($B998,4,1),"UJZ")),SUMPRODUCT(--ISNUMBER(FIND(MID($B998,{5,6,7,8,9,10,11},1),"0123456789")))=7),1,0))</f>
        <v/>
      </c>
      <c r="G998">
        <f>IF($F998=1,INDEX({10,12,13,14,15,16,17,18,19,20,21,23,24,25,26,27,28,29,30,31,32,34,35,36,37,38},1,FIND(MID($B998,1,1),"ABCDEFGHIJKLMNOPQRSTUVWXYZ")),"")</f>
        <v/>
      </c>
      <c r="H998">
        <f>IF($F998=1,INDEX({10,12,13,14,15,16,17,18,19,20,21,23,24,25,26,27,28,29,30,31,32,34,35,36,37,38},1,FIND(MID($B998,2,1),"ABCDEFGHIJKLMNOPQRSTUVWXYZ")),"")</f>
        <v/>
      </c>
      <c r="I998">
        <f>IF($F998=1,INDEX({10,12,13,14,15,16,17,18,19,20,21,23,24,25,26,27,28,29,30,31,32,34,35,36,37,38},1,FIND(MID($B998,3,1),"ABCDEFGHIJKLMNOPQRSTUVWXYZ")),"")</f>
        <v/>
      </c>
      <c r="J998">
        <f>IF($F998=1,INDEX({10,12,13,14,15,16,17,18,19,20,21,23,24,25,26,27,28,29,30,31,32,34,35,36,37,38},1,FIND(MID($B998,4,1),"ABCDEFGHIJKLMNOPQRSTUVWXYZ")),"")</f>
        <v/>
      </c>
      <c r="K998">
        <f>IF($F998=1,FIND(MID($B998,5,1),"0123456789")-1,"")</f>
        <v/>
      </c>
      <c r="L998">
        <f>IF($F998=1,FIND(MID($B998,6,1),"0123456789")-1,"")</f>
        <v/>
      </c>
      <c r="M998">
        <f>IF($F998=1,FIND(MID($B998,7,1),"0123456789")-1,"")</f>
        <v/>
      </c>
      <c r="N998">
        <f>IF($F998=1,FIND(MID($B998,8,1),"0123456789")-1,"")</f>
        <v/>
      </c>
      <c r="O998">
        <f>IF($F998=1,FIND(MID($B998,9,1),"0123456789")-1,"")</f>
        <v/>
      </c>
      <c r="P998">
        <f>IF($F998=1,FIND(MID($B998,10,1),"0123456789")-1,"")</f>
        <v/>
      </c>
      <c r="Q998">
        <f>IF($F998=1,SUMPRODUCT($G998:$P998,{1,2,4,8,16,32,64,128,256,512}),"")</f>
        <v/>
      </c>
      <c r="R998">
        <f>IF($F998=1,MOD(MOD($Q998,11),10),"")</f>
        <v/>
      </c>
    </row>
    <row r="999">
      <c r="A999" s="6" t="n"/>
      <c r="B999" s="7">
        <f>IF($A999="","",UPPER(SUBSTITUTE(SUBSTITUTE(SUBSTITUTE(SUBSTITUTE(SUBSTITUTE(SUBSTITUTE($A999," ",""),"-",""),".",""),"/",""),"i","I"),"ı","?")))</f>
        <v/>
      </c>
      <c r="C999" s="8">
        <f>IF($F999=1,$R999,"")</f>
        <v/>
      </c>
      <c r="D999" s="7">
        <f>IF($A999="","",IF($F999=0,"Biçim hatalı",IF(FIND(MID($B999,11,1),"0123456789")-1=$R999,"Geçerli","Kontrol hanesi hatalı (doğrusu: "&amp;$R999&amp;")")))</f>
        <v/>
      </c>
      <c r="F999">
        <f>IF($A999="","",IF(AND(LEN($B999)=11,SUMPRODUCT(--ISNUMBER(FIND(MID($B999,{1,2,3},1),"ABCDEFGHIJKLMNOPQRSTUVWXYZ")))=3,ISNUMBER(FIND(MID($B999,4,1),"UJZ")),SUMPRODUCT(--ISNUMBER(FIND(MID($B999,{5,6,7,8,9,10,11},1),"0123456789")))=7),1,0))</f>
        <v/>
      </c>
      <c r="G999">
        <f>IF($F999=1,INDEX({10,12,13,14,15,16,17,18,19,20,21,23,24,25,26,27,28,29,30,31,32,34,35,36,37,38},1,FIND(MID($B999,1,1),"ABCDEFGHIJKLMNOPQRSTUVWXYZ")),"")</f>
        <v/>
      </c>
      <c r="H999">
        <f>IF($F999=1,INDEX({10,12,13,14,15,16,17,18,19,20,21,23,24,25,26,27,28,29,30,31,32,34,35,36,37,38},1,FIND(MID($B999,2,1),"ABCDEFGHIJKLMNOPQRSTUVWXYZ")),"")</f>
        <v/>
      </c>
      <c r="I999">
        <f>IF($F999=1,INDEX({10,12,13,14,15,16,17,18,19,20,21,23,24,25,26,27,28,29,30,31,32,34,35,36,37,38},1,FIND(MID($B999,3,1),"ABCDEFGHIJKLMNOPQRSTUVWXYZ")),"")</f>
        <v/>
      </c>
      <c r="J999">
        <f>IF($F999=1,INDEX({10,12,13,14,15,16,17,18,19,20,21,23,24,25,26,27,28,29,30,31,32,34,35,36,37,38},1,FIND(MID($B999,4,1),"ABCDEFGHIJKLMNOPQRSTUVWXYZ")),"")</f>
        <v/>
      </c>
      <c r="K999">
        <f>IF($F999=1,FIND(MID($B999,5,1),"0123456789")-1,"")</f>
        <v/>
      </c>
      <c r="L999">
        <f>IF($F999=1,FIND(MID($B999,6,1),"0123456789")-1,"")</f>
        <v/>
      </c>
      <c r="M999">
        <f>IF($F999=1,FIND(MID($B999,7,1),"0123456789")-1,"")</f>
        <v/>
      </c>
      <c r="N999">
        <f>IF($F999=1,FIND(MID($B999,8,1),"0123456789")-1,"")</f>
        <v/>
      </c>
      <c r="O999">
        <f>IF($F999=1,FIND(MID($B999,9,1),"0123456789")-1,"")</f>
        <v/>
      </c>
      <c r="P999">
        <f>IF($F999=1,FIND(MID($B999,10,1),"0123456789")-1,"")</f>
        <v/>
      </c>
      <c r="Q999">
        <f>IF($F999=1,SUMPRODUCT($G999:$P999,{1,2,4,8,16,32,64,128,256,512}),"")</f>
        <v/>
      </c>
      <c r="R999">
        <f>IF($F999=1,MOD(MOD($Q999,11),10),"")</f>
        <v/>
      </c>
    </row>
    <row r="1000">
      <c r="A1000" s="6" t="n"/>
      <c r="B1000" s="7">
        <f>IF($A1000="","",UPPER(SUBSTITUTE(SUBSTITUTE(SUBSTITUTE(SUBSTITUTE(SUBSTITUTE(SUBSTITUTE($A1000," ",""),"-",""),".",""),"/",""),"i","I"),"ı","?")))</f>
        <v/>
      </c>
      <c r="C1000" s="8">
        <f>IF($F1000=1,$R1000,"")</f>
        <v/>
      </c>
      <c r="D1000" s="7">
        <f>IF($A1000="","",IF($F1000=0,"Biçim hatalı",IF(FIND(MID($B1000,11,1),"0123456789")-1=$R1000,"Geçerli","Kontrol hanesi hatalı (doğrusu: "&amp;$R1000&amp;")")))</f>
        <v/>
      </c>
      <c r="F1000">
        <f>IF($A1000="","",IF(AND(LEN($B1000)=11,SUMPRODUCT(--ISNUMBER(FIND(MID($B1000,{1,2,3},1),"ABCDEFGHIJKLMNOPQRSTUVWXYZ")))=3,ISNUMBER(FIND(MID($B1000,4,1),"UJZ")),SUMPRODUCT(--ISNUMBER(FIND(MID($B1000,{5,6,7,8,9,10,11},1),"0123456789")))=7),1,0))</f>
        <v/>
      </c>
      <c r="G1000">
        <f>IF($F1000=1,INDEX({10,12,13,14,15,16,17,18,19,20,21,23,24,25,26,27,28,29,30,31,32,34,35,36,37,38},1,FIND(MID($B1000,1,1),"ABCDEFGHIJKLMNOPQRSTUVWXYZ")),"")</f>
        <v/>
      </c>
      <c r="H1000">
        <f>IF($F1000=1,INDEX({10,12,13,14,15,16,17,18,19,20,21,23,24,25,26,27,28,29,30,31,32,34,35,36,37,38},1,FIND(MID($B1000,2,1),"ABCDEFGHIJKLMNOPQRSTUVWXYZ")),"")</f>
        <v/>
      </c>
      <c r="I1000">
        <f>IF($F1000=1,INDEX({10,12,13,14,15,16,17,18,19,20,21,23,24,25,26,27,28,29,30,31,32,34,35,36,37,38},1,FIND(MID($B1000,3,1),"ABCDEFGHIJKLMNOPQRSTUVWXYZ")),"")</f>
        <v/>
      </c>
      <c r="J1000">
        <f>IF($F1000=1,INDEX({10,12,13,14,15,16,17,18,19,20,21,23,24,25,26,27,28,29,30,31,32,34,35,36,37,38},1,FIND(MID($B1000,4,1),"ABCDEFGHIJKLMNOPQRSTUVWXYZ")),"")</f>
        <v/>
      </c>
      <c r="K1000">
        <f>IF($F1000=1,FIND(MID($B1000,5,1),"0123456789")-1,"")</f>
        <v/>
      </c>
      <c r="L1000">
        <f>IF($F1000=1,FIND(MID($B1000,6,1),"0123456789")-1,"")</f>
        <v/>
      </c>
      <c r="M1000">
        <f>IF($F1000=1,FIND(MID($B1000,7,1),"0123456789")-1,"")</f>
        <v/>
      </c>
      <c r="N1000">
        <f>IF($F1000=1,FIND(MID($B1000,8,1),"0123456789")-1,"")</f>
        <v/>
      </c>
      <c r="O1000">
        <f>IF($F1000=1,FIND(MID($B1000,9,1),"0123456789")-1,"")</f>
        <v/>
      </c>
      <c r="P1000">
        <f>IF($F1000=1,FIND(MID($B1000,10,1),"0123456789")-1,"")</f>
        <v/>
      </c>
      <c r="Q1000">
        <f>IF($F1000=1,SUMPRODUCT($G1000:$P1000,{1,2,4,8,16,32,64,128,256,512}),"")</f>
        <v/>
      </c>
      <c r="R1000">
        <f>IF($F1000=1,MOD(MOD($Q1000,11),10),"")</f>
        <v/>
      </c>
    </row>
    <row r="1001">
      <c r="A1001" s="6" t="n"/>
      <c r="B1001" s="7">
        <f>IF($A1001="","",UPPER(SUBSTITUTE(SUBSTITUTE(SUBSTITUTE(SUBSTITUTE(SUBSTITUTE(SUBSTITUTE($A1001," ",""),"-",""),".",""),"/",""),"i","I"),"ı","?")))</f>
        <v/>
      </c>
      <c r="C1001" s="8">
        <f>IF($F1001=1,$R1001,"")</f>
        <v/>
      </c>
      <c r="D1001" s="7">
        <f>IF($A1001="","",IF($F1001=0,"Biçim hatalı",IF(FIND(MID($B1001,11,1),"0123456789")-1=$R1001,"Geçerli","Kontrol hanesi hatalı (doğrusu: "&amp;$R1001&amp;")")))</f>
        <v/>
      </c>
      <c r="F1001">
        <f>IF($A1001="","",IF(AND(LEN($B1001)=11,SUMPRODUCT(--ISNUMBER(FIND(MID($B1001,{1,2,3},1),"ABCDEFGHIJKLMNOPQRSTUVWXYZ")))=3,ISNUMBER(FIND(MID($B1001,4,1),"UJZ")),SUMPRODUCT(--ISNUMBER(FIND(MID($B1001,{5,6,7,8,9,10,11},1),"0123456789")))=7),1,0))</f>
        <v/>
      </c>
      <c r="G1001">
        <f>IF($F1001=1,INDEX({10,12,13,14,15,16,17,18,19,20,21,23,24,25,26,27,28,29,30,31,32,34,35,36,37,38},1,FIND(MID($B1001,1,1),"ABCDEFGHIJKLMNOPQRSTUVWXYZ")),"")</f>
        <v/>
      </c>
      <c r="H1001">
        <f>IF($F1001=1,INDEX({10,12,13,14,15,16,17,18,19,20,21,23,24,25,26,27,28,29,30,31,32,34,35,36,37,38},1,FIND(MID($B1001,2,1),"ABCDEFGHIJKLMNOPQRSTUVWXYZ")),"")</f>
        <v/>
      </c>
      <c r="I1001">
        <f>IF($F1001=1,INDEX({10,12,13,14,15,16,17,18,19,20,21,23,24,25,26,27,28,29,30,31,32,34,35,36,37,38},1,FIND(MID($B1001,3,1),"ABCDEFGHIJKLMNOPQRSTUVWXYZ")),"")</f>
        <v/>
      </c>
      <c r="J1001">
        <f>IF($F1001=1,INDEX({10,12,13,14,15,16,17,18,19,20,21,23,24,25,26,27,28,29,30,31,32,34,35,36,37,38},1,FIND(MID($B1001,4,1),"ABCDEFGHIJKLMNOPQRSTUVWXYZ")),"")</f>
        <v/>
      </c>
      <c r="K1001">
        <f>IF($F1001=1,FIND(MID($B1001,5,1),"0123456789")-1,"")</f>
        <v/>
      </c>
      <c r="L1001">
        <f>IF($F1001=1,FIND(MID($B1001,6,1),"0123456789")-1,"")</f>
        <v/>
      </c>
      <c r="M1001">
        <f>IF($F1001=1,FIND(MID($B1001,7,1),"0123456789")-1,"")</f>
        <v/>
      </c>
      <c r="N1001">
        <f>IF($F1001=1,FIND(MID($B1001,8,1),"0123456789")-1,"")</f>
        <v/>
      </c>
      <c r="O1001">
        <f>IF($F1001=1,FIND(MID($B1001,9,1),"0123456789")-1,"")</f>
        <v/>
      </c>
      <c r="P1001">
        <f>IF($F1001=1,FIND(MID($B1001,10,1),"0123456789")-1,"")</f>
        <v/>
      </c>
      <c r="Q1001">
        <f>IF($F1001=1,SUMPRODUCT($G1001:$P1001,{1,2,4,8,16,32,64,128,256,512}),"")</f>
        <v/>
      </c>
      <c r="R1001">
        <f>IF($F1001=1,MOD(MOD($Q1001,11),10),"")</f>
        <v/>
      </c>
    </row>
    <row r="1002">
      <c r="A1002" s="6" t="n"/>
      <c r="B1002" s="7">
        <f>IF($A1002="","",UPPER(SUBSTITUTE(SUBSTITUTE(SUBSTITUTE(SUBSTITUTE(SUBSTITUTE(SUBSTITUTE($A1002," ",""),"-",""),".",""),"/",""),"i","I"),"ı","?")))</f>
        <v/>
      </c>
      <c r="C1002" s="8">
        <f>IF($F1002=1,$R1002,"")</f>
        <v/>
      </c>
      <c r="D1002" s="7">
        <f>IF($A1002="","",IF($F1002=0,"Biçim hatalı",IF(FIND(MID($B1002,11,1),"0123456789")-1=$R1002,"Geçerli","Kontrol hanesi hatalı (doğrusu: "&amp;$R1002&amp;")")))</f>
        <v/>
      </c>
      <c r="F1002">
        <f>IF($A1002="","",IF(AND(LEN($B1002)=11,SUMPRODUCT(--ISNUMBER(FIND(MID($B1002,{1,2,3},1),"ABCDEFGHIJKLMNOPQRSTUVWXYZ")))=3,ISNUMBER(FIND(MID($B1002,4,1),"UJZ")),SUMPRODUCT(--ISNUMBER(FIND(MID($B1002,{5,6,7,8,9,10,11},1),"0123456789")))=7),1,0))</f>
        <v/>
      </c>
      <c r="G1002">
        <f>IF($F1002=1,INDEX({10,12,13,14,15,16,17,18,19,20,21,23,24,25,26,27,28,29,30,31,32,34,35,36,37,38},1,FIND(MID($B1002,1,1),"ABCDEFGHIJKLMNOPQRSTUVWXYZ")),"")</f>
        <v/>
      </c>
      <c r="H1002">
        <f>IF($F1002=1,INDEX({10,12,13,14,15,16,17,18,19,20,21,23,24,25,26,27,28,29,30,31,32,34,35,36,37,38},1,FIND(MID($B1002,2,1),"ABCDEFGHIJKLMNOPQRSTUVWXYZ")),"")</f>
        <v/>
      </c>
      <c r="I1002">
        <f>IF($F1002=1,INDEX({10,12,13,14,15,16,17,18,19,20,21,23,24,25,26,27,28,29,30,31,32,34,35,36,37,38},1,FIND(MID($B1002,3,1),"ABCDEFGHIJKLMNOPQRSTUVWXYZ")),"")</f>
        <v/>
      </c>
      <c r="J1002">
        <f>IF($F1002=1,INDEX({10,12,13,14,15,16,17,18,19,20,21,23,24,25,26,27,28,29,30,31,32,34,35,36,37,38},1,FIND(MID($B1002,4,1),"ABCDEFGHIJKLMNOPQRSTUVWXYZ")),"")</f>
        <v/>
      </c>
      <c r="K1002">
        <f>IF($F1002=1,FIND(MID($B1002,5,1),"0123456789")-1,"")</f>
        <v/>
      </c>
      <c r="L1002">
        <f>IF($F1002=1,FIND(MID($B1002,6,1),"0123456789")-1,"")</f>
        <v/>
      </c>
      <c r="M1002">
        <f>IF($F1002=1,FIND(MID($B1002,7,1),"0123456789")-1,"")</f>
        <v/>
      </c>
      <c r="N1002">
        <f>IF($F1002=1,FIND(MID($B1002,8,1),"0123456789")-1,"")</f>
        <v/>
      </c>
      <c r="O1002">
        <f>IF($F1002=1,FIND(MID($B1002,9,1),"0123456789")-1,"")</f>
        <v/>
      </c>
      <c r="P1002">
        <f>IF($F1002=1,FIND(MID($B1002,10,1),"0123456789")-1,"")</f>
        <v/>
      </c>
      <c r="Q1002">
        <f>IF($F1002=1,SUMPRODUCT($G1002:$P1002,{1,2,4,8,16,32,64,128,256,512}),"")</f>
        <v/>
      </c>
      <c r="R1002">
        <f>IF($F1002=1,MOD(MOD($Q1002,11),10),"")</f>
        <v/>
      </c>
    </row>
    <row r="1003">
      <c r="A1003" s="6" t="n"/>
      <c r="B1003" s="7">
        <f>IF($A1003="","",UPPER(SUBSTITUTE(SUBSTITUTE(SUBSTITUTE(SUBSTITUTE(SUBSTITUTE(SUBSTITUTE($A1003," ",""),"-",""),".",""),"/",""),"i","I"),"ı","?")))</f>
        <v/>
      </c>
      <c r="C1003" s="8">
        <f>IF($F1003=1,$R1003,"")</f>
        <v/>
      </c>
      <c r="D1003" s="7">
        <f>IF($A1003="","",IF($F1003=0,"Biçim hatalı",IF(FIND(MID($B1003,11,1),"0123456789")-1=$R1003,"Geçerli","Kontrol hanesi hatalı (doğrusu: "&amp;$R1003&amp;")")))</f>
        <v/>
      </c>
      <c r="F1003">
        <f>IF($A1003="","",IF(AND(LEN($B1003)=11,SUMPRODUCT(--ISNUMBER(FIND(MID($B1003,{1,2,3},1),"ABCDEFGHIJKLMNOPQRSTUVWXYZ")))=3,ISNUMBER(FIND(MID($B1003,4,1),"UJZ")),SUMPRODUCT(--ISNUMBER(FIND(MID($B1003,{5,6,7,8,9,10,11},1),"0123456789")))=7),1,0))</f>
        <v/>
      </c>
      <c r="G1003">
        <f>IF($F1003=1,INDEX({10,12,13,14,15,16,17,18,19,20,21,23,24,25,26,27,28,29,30,31,32,34,35,36,37,38},1,FIND(MID($B1003,1,1),"ABCDEFGHIJKLMNOPQRSTUVWXYZ")),"")</f>
        <v/>
      </c>
      <c r="H1003">
        <f>IF($F1003=1,INDEX({10,12,13,14,15,16,17,18,19,20,21,23,24,25,26,27,28,29,30,31,32,34,35,36,37,38},1,FIND(MID($B1003,2,1),"ABCDEFGHIJKLMNOPQRSTUVWXYZ")),"")</f>
        <v/>
      </c>
      <c r="I1003">
        <f>IF($F1003=1,INDEX({10,12,13,14,15,16,17,18,19,20,21,23,24,25,26,27,28,29,30,31,32,34,35,36,37,38},1,FIND(MID($B1003,3,1),"ABCDEFGHIJKLMNOPQRSTUVWXYZ")),"")</f>
        <v/>
      </c>
      <c r="J1003">
        <f>IF($F1003=1,INDEX({10,12,13,14,15,16,17,18,19,20,21,23,24,25,26,27,28,29,30,31,32,34,35,36,37,38},1,FIND(MID($B1003,4,1),"ABCDEFGHIJKLMNOPQRSTUVWXYZ")),"")</f>
        <v/>
      </c>
      <c r="K1003">
        <f>IF($F1003=1,FIND(MID($B1003,5,1),"0123456789")-1,"")</f>
        <v/>
      </c>
      <c r="L1003">
        <f>IF($F1003=1,FIND(MID($B1003,6,1),"0123456789")-1,"")</f>
        <v/>
      </c>
      <c r="M1003">
        <f>IF($F1003=1,FIND(MID($B1003,7,1),"0123456789")-1,"")</f>
        <v/>
      </c>
      <c r="N1003">
        <f>IF($F1003=1,FIND(MID($B1003,8,1),"0123456789")-1,"")</f>
        <v/>
      </c>
      <c r="O1003">
        <f>IF($F1003=1,FIND(MID($B1003,9,1),"0123456789")-1,"")</f>
        <v/>
      </c>
      <c r="P1003">
        <f>IF($F1003=1,FIND(MID($B1003,10,1),"0123456789")-1,"")</f>
        <v/>
      </c>
      <c r="Q1003">
        <f>IF($F1003=1,SUMPRODUCT($G1003:$P1003,{1,2,4,8,16,32,64,128,256,512}),"")</f>
        <v/>
      </c>
      <c r="R1003">
        <f>IF($F1003=1,MOD(MOD($Q1003,11),10),"")</f>
        <v/>
      </c>
    </row>
    <row r="1004">
      <c r="A1004" s="6" t="n"/>
      <c r="B1004" s="7">
        <f>IF($A1004="","",UPPER(SUBSTITUTE(SUBSTITUTE(SUBSTITUTE(SUBSTITUTE(SUBSTITUTE(SUBSTITUTE($A1004," ",""),"-",""),".",""),"/",""),"i","I"),"ı","?")))</f>
        <v/>
      </c>
      <c r="C1004" s="8">
        <f>IF($F1004=1,$R1004,"")</f>
        <v/>
      </c>
      <c r="D1004" s="7">
        <f>IF($A1004="","",IF($F1004=0,"Biçim hatalı",IF(FIND(MID($B1004,11,1),"0123456789")-1=$R1004,"Geçerli","Kontrol hanesi hatalı (doğrusu: "&amp;$R1004&amp;")")))</f>
        <v/>
      </c>
      <c r="F1004">
        <f>IF($A1004="","",IF(AND(LEN($B1004)=11,SUMPRODUCT(--ISNUMBER(FIND(MID($B1004,{1,2,3},1),"ABCDEFGHIJKLMNOPQRSTUVWXYZ")))=3,ISNUMBER(FIND(MID($B1004,4,1),"UJZ")),SUMPRODUCT(--ISNUMBER(FIND(MID($B1004,{5,6,7,8,9,10,11},1),"0123456789")))=7),1,0))</f>
        <v/>
      </c>
      <c r="G1004">
        <f>IF($F1004=1,INDEX({10,12,13,14,15,16,17,18,19,20,21,23,24,25,26,27,28,29,30,31,32,34,35,36,37,38},1,FIND(MID($B1004,1,1),"ABCDEFGHIJKLMNOPQRSTUVWXYZ")),"")</f>
        <v/>
      </c>
      <c r="H1004">
        <f>IF($F1004=1,INDEX({10,12,13,14,15,16,17,18,19,20,21,23,24,25,26,27,28,29,30,31,32,34,35,36,37,38},1,FIND(MID($B1004,2,1),"ABCDEFGHIJKLMNOPQRSTUVWXYZ")),"")</f>
        <v/>
      </c>
      <c r="I1004">
        <f>IF($F1004=1,INDEX({10,12,13,14,15,16,17,18,19,20,21,23,24,25,26,27,28,29,30,31,32,34,35,36,37,38},1,FIND(MID($B1004,3,1),"ABCDEFGHIJKLMNOPQRSTUVWXYZ")),"")</f>
        <v/>
      </c>
      <c r="J1004">
        <f>IF($F1004=1,INDEX({10,12,13,14,15,16,17,18,19,20,21,23,24,25,26,27,28,29,30,31,32,34,35,36,37,38},1,FIND(MID($B1004,4,1),"ABCDEFGHIJKLMNOPQRSTUVWXYZ")),"")</f>
        <v/>
      </c>
      <c r="K1004">
        <f>IF($F1004=1,FIND(MID($B1004,5,1),"0123456789")-1,"")</f>
        <v/>
      </c>
      <c r="L1004">
        <f>IF($F1004=1,FIND(MID($B1004,6,1),"0123456789")-1,"")</f>
        <v/>
      </c>
      <c r="M1004">
        <f>IF($F1004=1,FIND(MID($B1004,7,1),"0123456789")-1,"")</f>
        <v/>
      </c>
      <c r="N1004">
        <f>IF($F1004=1,FIND(MID($B1004,8,1),"0123456789")-1,"")</f>
        <v/>
      </c>
      <c r="O1004">
        <f>IF($F1004=1,FIND(MID($B1004,9,1),"0123456789")-1,"")</f>
        <v/>
      </c>
      <c r="P1004">
        <f>IF($F1004=1,FIND(MID($B1004,10,1),"0123456789")-1,"")</f>
        <v/>
      </c>
      <c r="Q1004">
        <f>IF($F1004=1,SUMPRODUCT($G1004:$P1004,{1,2,4,8,16,32,64,128,256,512}),"")</f>
        <v/>
      </c>
      <c r="R1004">
        <f>IF($F1004=1,MOD(MOD($Q1004,11),10),"")</f>
        <v/>
      </c>
    </row>
  </sheetData>
  <mergeCells count="2">
    <mergeCell ref="A3:D3"/>
    <mergeCell ref="A2:D2"/>
  </mergeCells>
  <conditionalFormatting sqref="A5:D1004">
    <cfRule type="expression" priority="1" dxfId="0" stopIfTrue="0">
      <formula>$D5="Geçerli"</formula>
    </cfRule>
    <cfRule type="expression" priority="2" dxfId="1" stopIfTrue="0">
      <formula>AND($D5&lt;&gt;"",$D5&lt;&gt;"Geçerli")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H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44" customWidth="1" min="4" max="4"/>
    <col hidden="1" outlineLevel="1" width="13" customWidth="1" min="6" max="8"/>
  </cols>
  <sheetData>
    <row r="1">
      <c r="A1" s="1" t="inlineStr">
        <is>
          <t>Hava konşimentosu (AWB) numarası kontrolü</t>
        </is>
      </c>
    </row>
    <row r="2" ht="48" customHeight="1">
      <c r="A2" s="2" t="inlineStr">
        <is>
          <t>AWB numaralarını A5 hücresinden başlayarak A sütununa yapıştırın (en çok 1000 satır). Numara 11 rakamdır: 3 haneli havayolu öneki ve 8 haneli seri numarası. Tire ve boşluk fark etmez (örnek: 020-12345675).</t>
        </is>
      </c>
    </row>
    <row r="3" ht="48" customHeight="1">
      <c r="A3" s="2" t="inlineStr">
        <is>
          <t>Seri numarasının 8. hanesi, ilk 7 hanenin 7'ye bölümünden kalana eşit olmalıdır. Sayı olarak yapıştırırsanız baştaki sıfır kaybolabilir, bu yüzden sütun metin biçimindedir.</t>
        </is>
      </c>
    </row>
    <row r="4" ht="32" customHeight="1">
      <c r="A4" s="3" t="inlineStr">
        <is>
          <t>Numara (sarı hücrelere yapıştırın)</t>
        </is>
      </c>
      <c r="B4" s="4" t="inlineStr">
        <is>
          <t>Temizlenmiş numara</t>
        </is>
      </c>
      <c r="C4" s="4" t="inlineStr">
        <is>
          <t>Hesaplanan kontrol hanesi</t>
        </is>
      </c>
      <c r="D4" s="4" t="inlineStr">
        <is>
          <t>Sonuç</t>
        </is>
      </c>
      <c r="F4" s="5" t="inlineStr">
        <is>
          <t>Yardımcı: biçim doğru (1/0)</t>
        </is>
      </c>
      <c r="G4" s="5" t="inlineStr">
        <is>
          <t>Yardımcı: seri numarasının ilk 7 hanesi</t>
        </is>
      </c>
      <c r="H4" s="5" t="inlineStr">
        <is>
          <t>Yardımcı: beklenen hane</t>
        </is>
      </c>
    </row>
    <row r="5">
      <c r="A5" s="6" t="n"/>
      <c r="B5" s="7">
        <f>IF($A5="","",SUBSTITUTE(SUBSTITUTE(SUBSTITUTE(SUBSTITUTE($A5," ",""),"-",""),".",""),"/",""))</f>
        <v/>
      </c>
      <c r="C5" s="8">
        <f>IF($F5=1,$H5,"")</f>
        <v/>
      </c>
      <c r="D5" s="7">
        <f>IF($A5="","",IF($F5=0,"Biçim hatalı",IF(FIND(MID($B5,11,1),"0123456789")-1=$H5,"Geçerli","Kontrol hanesi hatalı (doğrusu: "&amp;$H5&amp;")")))</f>
        <v/>
      </c>
      <c r="F5">
        <f>IF($A5="","",IF(AND(LEN($B5)=11,SUMPRODUCT(--ISNUMBER(FIND(MID($B5,{1,2,3,4,5,6,7,8,9,10,11},1),"0123456789")))=11),1,0))</f>
        <v/>
      </c>
      <c r="G5">
        <f>IF($F5=1,VALUE(MID($B5,4,7)),"")</f>
        <v/>
      </c>
      <c r="H5">
        <f>IF($F5=1,MOD($G5,7),"")</f>
        <v/>
      </c>
    </row>
    <row r="6">
      <c r="A6" s="6" t="n"/>
      <c r="B6" s="7">
        <f>IF($A6="","",SUBSTITUTE(SUBSTITUTE(SUBSTITUTE(SUBSTITUTE($A6," ",""),"-",""),".",""),"/",""))</f>
        <v/>
      </c>
      <c r="C6" s="8">
        <f>IF($F6=1,$H6,"")</f>
        <v/>
      </c>
      <c r="D6" s="7">
        <f>IF($A6="","",IF($F6=0,"Biçim hatalı",IF(FIND(MID($B6,11,1),"0123456789")-1=$H6,"Geçerli","Kontrol hanesi hatalı (doğrusu: "&amp;$H6&amp;")")))</f>
        <v/>
      </c>
      <c r="F6">
        <f>IF($A6="","",IF(AND(LEN($B6)=11,SUMPRODUCT(--ISNUMBER(FIND(MID($B6,{1,2,3,4,5,6,7,8,9,10,11},1),"0123456789")))=11),1,0))</f>
        <v/>
      </c>
      <c r="G6">
        <f>IF($F6=1,VALUE(MID($B6,4,7)),"")</f>
        <v/>
      </c>
      <c r="H6">
        <f>IF($F6=1,MOD($G6,7),"")</f>
        <v/>
      </c>
    </row>
    <row r="7">
      <c r="A7" s="6" t="n"/>
      <c r="B7" s="7">
        <f>IF($A7="","",SUBSTITUTE(SUBSTITUTE(SUBSTITUTE(SUBSTITUTE($A7," ",""),"-",""),".",""),"/",""))</f>
        <v/>
      </c>
      <c r="C7" s="8">
        <f>IF($F7=1,$H7,"")</f>
        <v/>
      </c>
      <c r="D7" s="7">
        <f>IF($A7="","",IF($F7=0,"Biçim hatalı",IF(FIND(MID($B7,11,1),"0123456789")-1=$H7,"Geçerli","Kontrol hanesi hatalı (doğrusu: "&amp;$H7&amp;")")))</f>
        <v/>
      </c>
      <c r="F7">
        <f>IF($A7="","",IF(AND(LEN($B7)=11,SUMPRODUCT(--ISNUMBER(FIND(MID($B7,{1,2,3,4,5,6,7,8,9,10,11},1),"0123456789")))=11),1,0))</f>
        <v/>
      </c>
      <c r="G7">
        <f>IF($F7=1,VALUE(MID($B7,4,7)),"")</f>
        <v/>
      </c>
      <c r="H7">
        <f>IF($F7=1,MOD($G7,7),"")</f>
        <v/>
      </c>
    </row>
    <row r="8">
      <c r="A8" s="6" t="n"/>
      <c r="B8" s="7">
        <f>IF($A8="","",SUBSTITUTE(SUBSTITUTE(SUBSTITUTE(SUBSTITUTE($A8," ",""),"-",""),".",""),"/",""))</f>
        <v/>
      </c>
      <c r="C8" s="8">
        <f>IF($F8=1,$H8,"")</f>
        <v/>
      </c>
      <c r="D8" s="7">
        <f>IF($A8="","",IF($F8=0,"Biçim hatalı",IF(FIND(MID($B8,11,1),"0123456789")-1=$H8,"Geçerli","Kontrol hanesi hatalı (doğrusu: "&amp;$H8&amp;")")))</f>
        <v/>
      </c>
      <c r="F8">
        <f>IF($A8="","",IF(AND(LEN($B8)=11,SUMPRODUCT(--ISNUMBER(FIND(MID($B8,{1,2,3,4,5,6,7,8,9,10,11},1),"0123456789")))=11),1,0))</f>
        <v/>
      </c>
      <c r="G8">
        <f>IF($F8=1,VALUE(MID($B8,4,7)),"")</f>
        <v/>
      </c>
      <c r="H8">
        <f>IF($F8=1,MOD($G8,7),"")</f>
        <v/>
      </c>
    </row>
    <row r="9">
      <c r="A9" s="6" t="n"/>
      <c r="B9" s="7">
        <f>IF($A9="","",SUBSTITUTE(SUBSTITUTE(SUBSTITUTE(SUBSTITUTE($A9," ",""),"-",""),".",""),"/",""))</f>
        <v/>
      </c>
      <c r="C9" s="8">
        <f>IF($F9=1,$H9,"")</f>
        <v/>
      </c>
      <c r="D9" s="7">
        <f>IF($A9="","",IF($F9=0,"Biçim hatalı",IF(FIND(MID($B9,11,1),"0123456789")-1=$H9,"Geçerli","Kontrol hanesi hatalı (doğrusu: "&amp;$H9&amp;")")))</f>
        <v/>
      </c>
      <c r="F9">
        <f>IF($A9="","",IF(AND(LEN($B9)=11,SUMPRODUCT(--ISNUMBER(FIND(MID($B9,{1,2,3,4,5,6,7,8,9,10,11},1),"0123456789")))=11),1,0))</f>
        <v/>
      </c>
      <c r="G9">
        <f>IF($F9=1,VALUE(MID($B9,4,7)),"")</f>
        <v/>
      </c>
      <c r="H9">
        <f>IF($F9=1,MOD($G9,7),"")</f>
        <v/>
      </c>
    </row>
    <row r="10">
      <c r="A10" s="6" t="n"/>
      <c r="B10" s="7">
        <f>IF($A10="","",SUBSTITUTE(SUBSTITUTE(SUBSTITUTE(SUBSTITUTE($A10," ",""),"-",""),".",""),"/",""))</f>
        <v/>
      </c>
      <c r="C10" s="8">
        <f>IF($F10=1,$H10,"")</f>
        <v/>
      </c>
      <c r="D10" s="7">
        <f>IF($A10="","",IF($F10=0,"Biçim hatalı",IF(FIND(MID($B10,11,1),"0123456789")-1=$H10,"Geçerli","Kontrol hanesi hatalı (doğrusu: "&amp;$H10&amp;")")))</f>
        <v/>
      </c>
      <c r="F10">
        <f>IF($A10="","",IF(AND(LEN($B10)=11,SUMPRODUCT(--ISNUMBER(FIND(MID($B10,{1,2,3,4,5,6,7,8,9,10,11},1),"0123456789")))=11),1,0))</f>
        <v/>
      </c>
      <c r="G10">
        <f>IF($F10=1,VALUE(MID($B10,4,7)),"")</f>
        <v/>
      </c>
      <c r="H10">
        <f>IF($F10=1,MOD($G10,7),"")</f>
        <v/>
      </c>
    </row>
    <row r="11">
      <c r="A11" s="6" t="n"/>
      <c r="B11" s="7">
        <f>IF($A11="","",SUBSTITUTE(SUBSTITUTE(SUBSTITUTE(SUBSTITUTE($A11," ",""),"-",""),".",""),"/",""))</f>
        <v/>
      </c>
      <c r="C11" s="8">
        <f>IF($F11=1,$H11,"")</f>
        <v/>
      </c>
      <c r="D11" s="7">
        <f>IF($A11="","",IF($F11=0,"Biçim hatalı",IF(FIND(MID($B11,11,1),"0123456789")-1=$H11,"Geçerli","Kontrol hanesi hatalı (doğrusu: "&amp;$H11&amp;")")))</f>
        <v/>
      </c>
      <c r="F11">
        <f>IF($A11="","",IF(AND(LEN($B11)=11,SUMPRODUCT(--ISNUMBER(FIND(MID($B11,{1,2,3,4,5,6,7,8,9,10,11},1),"0123456789")))=11),1,0))</f>
        <v/>
      </c>
      <c r="G11">
        <f>IF($F11=1,VALUE(MID($B11,4,7)),"")</f>
        <v/>
      </c>
      <c r="H11">
        <f>IF($F11=1,MOD($G11,7),"")</f>
        <v/>
      </c>
    </row>
    <row r="12">
      <c r="A12" s="6" t="n"/>
      <c r="B12" s="7">
        <f>IF($A12="","",SUBSTITUTE(SUBSTITUTE(SUBSTITUTE(SUBSTITUTE($A12," ",""),"-",""),".",""),"/",""))</f>
        <v/>
      </c>
      <c r="C12" s="8">
        <f>IF($F12=1,$H12,"")</f>
        <v/>
      </c>
      <c r="D12" s="7">
        <f>IF($A12="","",IF($F12=0,"Biçim hatalı",IF(FIND(MID($B12,11,1),"0123456789")-1=$H12,"Geçerli","Kontrol hanesi hatalı (doğrusu: "&amp;$H12&amp;")")))</f>
        <v/>
      </c>
      <c r="F12">
        <f>IF($A12="","",IF(AND(LEN($B12)=11,SUMPRODUCT(--ISNUMBER(FIND(MID($B12,{1,2,3,4,5,6,7,8,9,10,11},1),"0123456789")))=11),1,0))</f>
        <v/>
      </c>
      <c r="G12">
        <f>IF($F12=1,VALUE(MID($B12,4,7)),"")</f>
        <v/>
      </c>
      <c r="H12">
        <f>IF($F12=1,MOD($G12,7),"")</f>
        <v/>
      </c>
    </row>
    <row r="13">
      <c r="A13" s="6" t="n"/>
      <c r="B13" s="7">
        <f>IF($A13="","",SUBSTITUTE(SUBSTITUTE(SUBSTITUTE(SUBSTITUTE($A13," ",""),"-",""),".",""),"/",""))</f>
        <v/>
      </c>
      <c r="C13" s="8">
        <f>IF($F13=1,$H13,"")</f>
        <v/>
      </c>
      <c r="D13" s="7">
        <f>IF($A13="","",IF($F13=0,"Biçim hatalı",IF(FIND(MID($B13,11,1),"0123456789")-1=$H13,"Geçerli","Kontrol hanesi hatalı (doğrusu: "&amp;$H13&amp;")")))</f>
        <v/>
      </c>
      <c r="F13">
        <f>IF($A13="","",IF(AND(LEN($B13)=11,SUMPRODUCT(--ISNUMBER(FIND(MID($B13,{1,2,3,4,5,6,7,8,9,10,11},1),"0123456789")))=11),1,0))</f>
        <v/>
      </c>
      <c r="G13">
        <f>IF($F13=1,VALUE(MID($B13,4,7)),"")</f>
        <v/>
      </c>
      <c r="H13">
        <f>IF($F13=1,MOD($G13,7),"")</f>
        <v/>
      </c>
    </row>
    <row r="14">
      <c r="A14" s="6" t="n"/>
      <c r="B14" s="7">
        <f>IF($A14="","",SUBSTITUTE(SUBSTITUTE(SUBSTITUTE(SUBSTITUTE($A14," ",""),"-",""),".",""),"/",""))</f>
        <v/>
      </c>
      <c r="C14" s="8">
        <f>IF($F14=1,$H14,"")</f>
        <v/>
      </c>
      <c r="D14" s="7">
        <f>IF($A14="","",IF($F14=0,"Biçim hatalı",IF(FIND(MID($B14,11,1),"0123456789")-1=$H14,"Geçerli","Kontrol hanesi hatalı (doğrusu: "&amp;$H14&amp;")")))</f>
        <v/>
      </c>
      <c r="F14">
        <f>IF($A14="","",IF(AND(LEN($B14)=11,SUMPRODUCT(--ISNUMBER(FIND(MID($B14,{1,2,3,4,5,6,7,8,9,10,11},1),"0123456789")))=11),1,0))</f>
        <v/>
      </c>
      <c r="G14">
        <f>IF($F14=1,VALUE(MID($B14,4,7)),"")</f>
        <v/>
      </c>
      <c r="H14">
        <f>IF($F14=1,MOD($G14,7),"")</f>
        <v/>
      </c>
    </row>
    <row r="15">
      <c r="A15" s="6" t="n"/>
      <c r="B15" s="7">
        <f>IF($A15="","",SUBSTITUTE(SUBSTITUTE(SUBSTITUTE(SUBSTITUTE($A15," ",""),"-",""),".",""),"/",""))</f>
        <v/>
      </c>
      <c r="C15" s="8">
        <f>IF($F15=1,$H15,"")</f>
        <v/>
      </c>
      <c r="D15" s="7">
        <f>IF($A15="","",IF($F15=0,"Biçim hatalı",IF(FIND(MID($B15,11,1),"0123456789")-1=$H15,"Geçerli","Kontrol hanesi hatalı (doğrusu: "&amp;$H15&amp;")")))</f>
        <v/>
      </c>
      <c r="F15">
        <f>IF($A15="","",IF(AND(LEN($B15)=11,SUMPRODUCT(--ISNUMBER(FIND(MID($B15,{1,2,3,4,5,6,7,8,9,10,11},1),"0123456789")))=11),1,0))</f>
        <v/>
      </c>
      <c r="G15">
        <f>IF($F15=1,VALUE(MID($B15,4,7)),"")</f>
        <v/>
      </c>
      <c r="H15">
        <f>IF($F15=1,MOD($G15,7),"")</f>
        <v/>
      </c>
    </row>
    <row r="16">
      <c r="A16" s="6" t="n"/>
      <c r="B16" s="7">
        <f>IF($A16="","",SUBSTITUTE(SUBSTITUTE(SUBSTITUTE(SUBSTITUTE($A16," ",""),"-",""),".",""),"/",""))</f>
        <v/>
      </c>
      <c r="C16" s="8">
        <f>IF($F16=1,$H16,"")</f>
        <v/>
      </c>
      <c r="D16" s="7">
        <f>IF($A16="","",IF($F16=0,"Biçim hatalı",IF(FIND(MID($B16,11,1),"0123456789")-1=$H16,"Geçerli","Kontrol hanesi hatalı (doğrusu: "&amp;$H16&amp;")")))</f>
        <v/>
      </c>
      <c r="F16">
        <f>IF($A16="","",IF(AND(LEN($B16)=11,SUMPRODUCT(--ISNUMBER(FIND(MID($B16,{1,2,3,4,5,6,7,8,9,10,11},1),"0123456789")))=11),1,0))</f>
        <v/>
      </c>
      <c r="G16">
        <f>IF($F16=1,VALUE(MID($B16,4,7)),"")</f>
        <v/>
      </c>
      <c r="H16">
        <f>IF($F16=1,MOD($G16,7),"")</f>
        <v/>
      </c>
    </row>
    <row r="17">
      <c r="A17" s="6" t="n"/>
      <c r="B17" s="7">
        <f>IF($A17="","",SUBSTITUTE(SUBSTITUTE(SUBSTITUTE(SUBSTITUTE($A17," ",""),"-",""),".",""),"/",""))</f>
        <v/>
      </c>
      <c r="C17" s="8">
        <f>IF($F17=1,$H17,"")</f>
        <v/>
      </c>
      <c r="D17" s="7">
        <f>IF($A17="","",IF($F17=0,"Biçim hatalı",IF(FIND(MID($B17,11,1),"0123456789")-1=$H17,"Geçerli","Kontrol hanesi hatalı (doğrusu: "&amp;$H17&amp;")")))</f>
        <v/>
      </c>
      <c r="F17">
        <f>IF($A17="","",IF(AND(LEN($B17)=11,SUMPRODUCT(--ISNUMBER(FIND(MID($B17,{1,2,3,4,5,6,7,8,9,10,11},1),"0123456789")))=11),1,0))</f>
        <v/>
      </c>
      <c r="G17">
        <f>IF($F17=1,VALUE(MID($B17,4,7)),"")</f>
        <v/>
      </c>
      <c r="H17">
        <f>IF($F17=1,MOD($G17,7),"")</f>
        <v/>
      </c>
    </row>
    <row r="18">
      <c r="A18" s="6" t="n"/>
      <c r="B18" s="7">
        <f>IF($A18="","",SUBSTITUTE(SUBSTITUTE(SUBSTITUTE(SUBSTITUTE($A18," ",""),"-",""),".",""),"/",""))</f>
        <v/>
      </c>
      <c r="C18" s="8">
        <f>IF($F18=1,$H18,"")</f>
        <v/>
      </c>
      <c r="D18" s="7">
        <f>IF($A18="","",IF($F18=0,"Biçim hatalı",IF(FIND(MID($B18,11,1),"0123456789")-1=$H18,"Geçerli","Kontrol hanesi hatalı (doğrusu: "&amp;$H18&amp;")")))</f>
        <v/>
      </c>
      <c r="F18">
        <f>IF($A18="","",IF(AND(LEN($B18)=11,SUMPRODUCT(--ISNUMBER(FIND(MID($B18,{1,2,3,4,5,6,7,8,9,10,11},1),"0123456789")))=11),1,0))</f>
        <v/>
      </c>
      <c r="G18">
        <f>IF($F18=1,VALUE(MID($B18,4,7)),"")</f>
        <v/>
      </c>
      <c r="H18">
        <f>IF($F18=1,MOD($G18,7),"")</f>
        <v/>
      </c>
    </row>
    <row r="19">
      <c r="A19" s="6" t="n"/>
      <c r="B19" s="7">
        <f>IF($A19="","",SUBSTITUTE(SUBSTITUTE(SUBSTITUTE(SUBSTITUTE($A19," ",""),"-",""),".",""),"/",""))</f>
        <v/>
      </c>
      <c r="C19" s="8">
        <f>IF($F19=1,$H19,"")</f>
        <v/>
      </c>
      <c r="D19" s="7">
        <f>IF($A19="","",IF($F19=0,"Biçim hatalı",IF(FIND(MID($B19,11,1),"0123456789")-1=$H19,"Geçerli","Kontrol hanesi hatalı (doğrusu: "&amp;$H19&amp;")")))</f>
        <v/>
      </c>
      <c r="F19">
        <f>IF($A19="","",IF(AND(LEN($B19)=11,SUMPRODUCT(--ISNUMBER(FIND(MID($B19,{1,2,3,4,5,6,7,8,9,10,11},1),"0123456789")))=11),1,0))</f>
        <v/>
      </c>
      <c r="G19">
        <f>IF($F19=1,VALUE(MID($B19,4,7)),"")</f>
        <v/>
      </c>
      <c r="H19">
        <f>IF($F19=1,MOD($G19,7),"")</f>
        <v/>
      </c>
    </row>
    <row r="20">
      <c r="A20" s="6" t="n"/>
      <c r="B20" s="7">
        <f>IF($A20="","",SUBSTITUTE(SUBSTITUTE(SUBSTITUTE(SUBSTITUTE($A20," ",""),"-",""),".",""),"/",""))</f>
        <v/>
      </c>
      <c r="C20" s="8">
        <f>IF($F20=1,$H20,"")</f>
        <v/>
      </c>
      <c r="D20" s="7">
        <f>IF($A20="","",IF($F20=0,"Biçim hatalı",IF(FIND(MID($B20,11,1),"0123456789")-1=$H20,"Geçerli","Kontrol hanesi hatalı (doğrusu: "&amp;$H20&amp;")")))</f>
        <v/>
      </c>
      <c r="F20">
        <f>IF($A20="","",IF(AND(LEN($B20)=11,SUMPRODUCT(--ISNUMBER(FIND(MID($B20,{1,2,3,4,5,6,7,8,9,10,11},1),"0123456789")))=11),1,0))</f>
        <v/>
      </c>
      <c r="G20">
        <f>IF($F20=1,VALUE(MID($B20,4,7)),"")</f>
        <v/>
      </c>
      <c r="H20">
        <f>IF($F20=1,MOD($G20,7),"")</f>
        <v/>
      </c>
    </row>
    <row r="21">
      <c r="A21" s="6" t="n"/>
      <c r="B21" s="7">
        <f>IF($A21="","",SUBSTITUTE(SUBSTITUTE(SUBSTITUTE(SUBSTITUTE($A21," ",""),"-",""),".",""),"/",""))</f>
        <v/>
      </c>
      <c r="C21" s="8">
        <f>IF($F21=1,$H21,"")</f>
        <v/>
      </c>
      <c r="D21" s="7">
        <f>IF($A21="","",IF($F21=0,"Biçim hatalı",IF(FIND(MID($B21,11,1),"0123456789")-1=$H21,"Geçerli","Kontrol hanesi hatalı (doğrusu: "&amp;$H21&amp;")")))</f>
        <v/>
      </c>
      <c r="F21">
        <f>IF($A21="","",IF(AND(LEN($B21)=11,SUMPRODUCT(--ISNUMBER(FIND(MID($B21,{1,2,3,4,5,6,7,8,9,10,11},1),"0123456789")))=11),1,0))</f>
        <v/>
      </c>
      <c r="G21">
        <f>IF($F21=1,VALUE(MID($B21,4,7)),"")</f>
        <v/>
      </c>
      <c r="H21">
        <f>IF($F21=1,MOD($G21,7),"")</f>
        <v/>
      </c>
    </row>
    <row r="22">
      <c r="A22" s="6" t="n"/>
      <c r="B22" s="7">
        <f>IF($A22="","",SUBSTITUTE(SUBSTITUTE(SUBSTITUTE(SUBSTITUTE($A22," ",""),"-",""),".",""),"/",""))</f>
        <v/>
      </c>
      <c r="C22" s="8">
        <f>IF($F22=1,$H22,"")</f>
        <v/>
      </c>
      <c r="D22" s="7">
        <f>IF($A22="","",IF($F22=0,"Biçim hatalı",IF(FIND(MID($B22,11,1),"0123456789")-1=$H22,"Geçerli","Kontrol hanesi hatalı (doğrusu: "&amp;$H22&amp;")")))</f>
        <v/>
      </c>
      <c r="F22">
        <f>IF($A22="","",IF(AND(LEN($B22)=11,SUMPRODUCT(--ISNUMBER(FIND(MID($B22,{1,2,3,4,5,6,7,8,9,10,11},1),"0123456789")))=11),1,0))</f>
        <v/>
      </c>
      <c r="G22">
        <f>IF($F22=1,VALUE(MID($B22,4,7)),"")</f>
        <v/>
      </c>
      <c r="H22">
        <f>IF($F22=1,MOD($G22,7),"")</f>
        <v/>
      </c>
    </row>
    <row r="23">
      <c r="A23" s="6" t="n"/>
      <c r="B23" s="7">
        <f>IF($A23="","",SUBSTITUTE(SUBSTITUTE(SUBSTITUTE(SUBSTITUTE($A23," ",""),"-",""),".",""),"/",""))</f>
        <v/>
      </c>
      <c r="C23" s="8">
        <f>IF($F23=1,$H23,"")</f>
        <v/>
      </c>
      <c r="D23" s="7">
        <f>IF($A23="","",IF($F23=0,"Biçim hatalı",IF(FIND(MID($B23,11,1),"0123456789")-1=$H23,"Geçerli","Kontrol hanesi hatalı (doğrusu: "&amp;$H23&amp;")")))</f>
        <v/>
      </c>
      <c r="F23">
        <f>IF($A23="","",IF(AND(LEN($B23)=11,SUMPRODUCT(--ISNUMBER(FIND(MID($B23,{1,2,3,4,5,6,7,8,9,10,11},1),"0123456789")))=11),1,0))</f>
        <v/>
      </c>
      <c r="G23">
        <f>IF($F23=1,VALUE(MID($B23,4,7)),"")</f>
        <v/>
      </c>
      <c r="H23">
        <f>IF($F23=1,MOD($G23,7),"")</f>
        <v/>
      </c>
    </row>
    <row r="24">
      <c r="A24" s="6" t="n"/>
      <c r="B24" s="7">
        <f>IF($A24="","",SUBSTITUTE(SUBSTITUTE(SUBSTITUTE(SUBSTITUTE($A24," ",""),"-",""),".",""),"/",""))</f>
        <v/>
      </c>
      <c r="C24" s="8">
        <f>IF($F24=1,$H24,"")</f>
        <v/>
      </c>
      <c r="D24" s="7">
        <f>IF($A24="","",IF($F24=0,"Biçim hatalı",IF(FIND(MID($B24,11,1),"0123456789")-1=$H24,"Geçerli","Kontrol hanesi hatalı (doğrusu: "&amp;$H24&amp;")")))</f>
        <v/>
      </c>
      <c r="F24">
        <f>IF($A24="","",IF(AND(LEN($B24)=11,SUMPRODUCT(--ISNUMBER(FIND(MID($B24,{1,2,3,4,5,6,7,8,9,10,11},1),"0123456789")))=11),1,0))</f>
        <v/>
      </c>
      <c r="G24">
        <f>IF($F24=1,VALUE(MID($B24,4,7)),"")</f>
        <v/>
      </c>
      <c r="H24">
        <f>IF($F24=1,MOD($G24,7),"")</f>
        <v/>
      </c>
    </row>
    <row r="25">
      <c r="A25" s="6" t="n"/>
      <c r="B25" s="7">
        <f>IF($A25="","",SUBSTITUTE(SUBSTITUTE(SUBSTITUTE(SUBSTITUTE($A25," ",""),"-",""),".",""),"/",""))</f>
        <v/>
      </c>
      <c r="C25" s="8">
        <f>IF($F25=1,$H25,"")</f>
        <v/>
      </c>
      <c r="D25" s="7">
        <f>IF($A25="","",IF($F25=0,"Biçim hatalı",IF(FIND(MID($B25,11,1),"0123456789")-1=$H25,"Geçerli","Kontrol hanesi hatalı (doğrusu: "&amp;$H25&amp;")")))</f>
        <v/>
      </c>
      <c r="F25">
        <f>IF($A25="","",IF(AND(LEN($B25)=11,SUMPRODUCT(--ISNUMBER(FIND(MID($B25,{1,2,3,4,5,6,7,8,9,10,11},1),"0123456789")))=11),1,0))</f>
        <v/>
      </c>
      <c r="G25">
        <f>IF($F25=1,VALUE(MID($B25,4,7)),"")</f>
        <v/>
      </c>
      <c r="H25">
        <f>IF($F25=1,MOD($G25,7),"")</f>
        <v/>
      </c>
    </row>
    <row r="26">
      <c r="A26" s="6" t="n"/>
      <c r="B26" s="7">
        <f>IF($A26="","",SUBSTITUTE(SUBSTITUTE(SUBSTITUTE(SUBSTITUTE($A26," ",""),"-",""),".",""),"/",""))</f>
        <v/>
      </c>
      <c r="C26" s="8">
        <f>IF($F26=1,$H26,"")</f>
        <v/>
      </c>
      <c r="D26" s="7">
        <f>IF($A26="","",IF($F26=0,"Biçim hatalı",IF(FIND(MID($B26,11,1),"0123456789")-1=$H26,"Geçerli","Kontrol hanesi hatalı (doğrusu: "&amp;$H26&amp;")")))</f>
        <v/>
      </c>
      <c r="F26">
        <f>IF($A26="","",IF(AND(LEN($B26)=11,SUMPRODUCT(--ISNUMBER(FIND(MID($B26,{1,2,3,4,5,6,7,8,9,10,11},1),"0123456789")))=11),1,0))</f>
        <v/>
      </c>
      <c r="G26">
        <f>IF($F26=1,VALUE(MID($B26,4,7)),"")</f>
        <v/>
      </c>
      <c r="H26">
        <f>IF($F26=1,MOD($G26,7),"")</f>
        <v/>
      </c>
    </row>
    <row r="27">
      <c r="A27" s="6" t="n"/>
      <c r="B27" s="7">
        <f>IF($A27="","",SUBSTITUTE(SUBSTITUTE(SUBSTITUTE(SUBSTITUTE($A27," ",""),"-",""),".",""),"/",""))</f>
        <v/>
      </c>
      <c r="C27" s="8">
        <f>IF($F27=1,$H27,"")</f>
        <v/>
      </c>
      <c r="D27" s="7">
        <f>IF($A27="","",IF($F27=0,"Biçim hatalı",IF(FIND(MID($B27,11,1),"0123456789")-1=$H27,"Geçerli","Kontrol hanesi hatalı (doğrusu: "&amp;$H27&amp;")")))</f>
        <v/>
      </c>
      <c r="F27">
        <f>IF($A27="","",IF(AND(LEN($B27)=11,SUMPRODUCT(--ISNUMBER(FIND(MID($B27,{1,2,3,4,5,6,7,8,9,10,11},1),"0123456789")))=11),1,0))</f>
        <v/>
      </c>
      <c r="G27">
        <f>IF($F27=1,VALUE(MID($B27,4,7)),"")</f>
        <v/>
      </c>
      <c r="H27">
        <f>IF($F27=1,MOD($G27,7),"")</f>
        <v/>
      </c>
    </row>
    <row r="28">
      <c r="A28" s="6" t="n"/>
      <c r="B28" s="7">
        <f>IF($A28="","",SUBSTITUTE(SUBSTITUTE(SUBSTITUTE(SUBSTITUTE($A28," ",""),"-",""),".",""),"/",""))</f>
        <v/>
      </c>
      <c r="C28" s="8">
        <f>IF($F28=1,$H28,"")</f>
        <v/>
      </c>
      <c r="D28" s="7">
        <f>IF($A28="","",IF($F28=0,"Biçim hatalı",IF(FIND(MID($B28,11,1),"0123456789")-1=$H28,"Geçerli","Kontrol hanesi hatalı (doğrusu: "&amp;$H28&amp;")")))</f>
        <v/>
      </c>
      <c r="F28">
        <f>IF($A28="","",IF(AND(LEN($B28)=11,SUMPRODUCT(--ISNUMBER(FIND(MID($B28,{1,2,3,4,5,6,7,8,9,10,11},1),"0123456789")))=11),1,0))</f>
        <v/>
      </c>
      <c r="G28">
        <f>IF($F28=1,VALUE(MID($B28,4,7)),"")</f>
        <v/>
      </c>
      <c r="H28">
        <f>IF($F28=1,MOD($G28,7),"")</f>
        <v/>
      </c>
    </row>
    <row r="29">
      <c r="A29" s="6" t="n"/>
      <c r="B29" s="7">
        <f>IF($A29="","",SUBSTITUTE(SUBSTITUTE(SUBSTITUTE(SUBSTITUTE($A29," ",""),"-",""),".",""),"/",""))</f>
        <v/>
      </c>
      <c r="C29" s="8">
        <f>IF($F29=1,$H29,"")</f>
        <v/>
      </c>
      <c r="D29" s="7">
        <f>IF($A29="","",IF($F29=0,"Biçim hatalı",IF(FIND(MID($B29,11,1),"0123456789")-1=$H29,"Geçerli","Kontrol hanesi hatalı (doğrusu: "&amp;$H29&amp;")")))</f>
        <v/>
      </c>
      <c r="F29">
        <f>IF($A29="","",IF(AND(LEN($B29)=11,SUMPRODUCT(--ISNUMBER(FIND(MID($B29,{1,2,3,4,5,6,7,8,9,10,11},1),"0123456789")))=11),1,0))</f>
        <v/>
      </c>
      <c r="G29">
        <f>IF($F29=1,VALUE(MID($B29,4,7)),"")</f>
        <v/>
      </c>
      <c r="H29">
        <f>IF($F29=1,MOD($G29,7),"")</f>
        <v/>
      </c>
    </row>
    <row r="30">
      <c r="A30" s="6" t="n"/>
      <c r="B30" s="7">
        <f>IF($A30="","",SUBSTITUTE(SUBSTITUTE(SUBSTITUTE(SUBSTITUTE($A30," ",""),"-",""),".",""),"/",""))</f>
        <v/>
      </c>
      <c r="C30" s="8">
        <f>IF($F30=1,$H30,"")</f>
        <v/>
      </c>
      <c r="D30" s="7">
        <f>IF($A30="","",IF($F30=0,"Biçim hatalı",IF(FIND(MID($B30,11,1),"0123456789")-1=$H30,"Geçerli","Kontrol hanesi hatalı (doğrusu: "&amp;$H30&amp;")")))</f>
        <v/>
      </c>
      <c r="F30">
        <f>IF($A30="","",IF(AND(LEN($B30)=11,SUMPRODUCT(--ISNUMBER(FIND(MID($B30,{1,2,3,4,5,6,7,8,9,10,11},1),"0123456789")))=11),1,0))</f>
        <v/>
      </c>
      <c r="G30">
        <f>IF($F30=1,VALUE(MID($B30,4,7)),"")</f>
        <v/>
      </c>
      <c r="H30">
        <f>IF($F30=1,MOD($G30,7),"")</f>
        <v/>
      </c>
    </row>
    <row r="31">
      <c r="A31" s="6" t="n"/>
      <c r="B31" s="7">
        <f>IF($A31="","",SUBSTITUTE(SUBSTITUTE(SUBSTITUTE(SUBSTITUTE($A31," ",""),"-",""),".",""),"/",""))</f>
        <v/>
      </c>
      <c r="C31" s="8">
        <f>IF($F31=1,$H31,"")</f>
        <v/>
      </c>
      <c r="D31" s="7">
        <f>IF($A31="","",IF($F31=0,"Biçim hatalı",IF(FIND(MID($B31,11,1),"0123456789")-1=$H31,"Geçerli","Kontrol hanesi hatalı (doğrusu: "&amp;$H31&amp;")")))</f>
        <v/>
      </c>
      <c r="F31">
        <f>IF($A31="","",IF(AND(LEN($B31)=11,SUMPRODUCT(--ISNUMBER(FIND(MID($B31,{1,2,3,4,5,6,7,8,9,10,11},1),"0123456789")))=11),1,0))</f>
        <v/>
      </c>
      <c r="G31">
        <f>IF($F31=1,VALUE(MID($B31,4,7)),"")</f>
        <v/>
      </c>
      <c r="H31">
        <f>IF($F31=1,MOD($G31,7),"")</f>
        <v/>
      </c>
    </row>
    <row r="32">
      <c r="A32" s="6" t="n"/>
      <c r="B32" s="7">
        <f>IF($A32="","",SUBSTITUTE(SUBSTITUTE(SUBSTITUTE(SUBSTITUTE($A32," ",""),"-",""),".",""),"/",""))</f>
        <v/>
      </c>
      <c r="C32" s="8">
        <f>IF($F32=1,$H32,"")</f>
        <v/>
      </c>
      <c r="D32" s="7">
        <f>IF($A32="","",IF($F32=0,"Biçim hatalı",IF(FIND(MID($B32,11,1),"0123456789")-1=$H32,"Geçerli","Kontrol hanesi hatalı (doğrusu: "&amp;$H32&amp;")")))</f>
        <v/>
      </c>
      <c r="F32">
        <f>IF($A32="","",IF(AND(LEN($B32)=11,SUMPRODUCT(--ISNUMBER(FIND(MID($B32,{1,2,3,4,5,6,7,8,9,10,11},1),"0123456789")))=11),1,0))</f>
        <v/>
      </c>
      <c r="G32">
        <f>IF($F32=1,VALUE(MID($B32,4,7)),"")</f>
        <v/>
      </c>
      <c r="H32">
        <f>IF($F32=1,MOD($G32,7),"")</f>
        <v/>
      </c>
    </row>
    <row r="33">
      <c r="A33" s="6" t="n"/>
      <c r="B33" s="7">
        <f>IF($A33="","",SUBSTITUTE(SUBSTITUTE(SUBSTITUTE(SUBSTITUTE($A33," ",""),"-",""),".",""),"/",""))</f>
        <v/>
      </c>
      <c r="C33" s="8">
        <f>IF($F33=1,$H33,"")</f>
        <v/>
      </c>
      <c r="D33" s="7">
        <f>IF($A33="","",IF($F33=0,"Biçim hatalı",IF(FIND(MID($B33,11,1),"0123456789")-1=$H33,"Geçerli","Kontrol hanesi hatalı (doğrusu: "&amp;$H33&amp;")")))</f>
        <v/>
      </c>
      <c r="F33">
        <f>IF($A33="","",IF(AND(LEN($B33)=11,SUMPRODUCT(--ISNUMBER(FIND(MID($B33,{1,2,3,4,5,6,7,8,9,10,11},1),"0123456789")))=11),1,0))</f>
        <v/>
      </c>
      <c r="G33">
        <f>IF($F33=1,VALUE(MID($B33,4,7)),"")</f>
        <v/>
      </c>
      <c r="H33">
        <f>IF($F33=1,MOD($G33,7),"")</f>
        <v/>
      </c>
    </row>
    <row r="34">
      <c r="A34" s="6" t="n"/>
      <c r="B34" s="7">
        <f>IF($A34="","",SUBSTITUTE(SUBSTITUTE(SUBSTITUTE(SUBSTITUTE($A34," ",""),"-",""),".",""),"/",""))</f>
        <v/>
      </c>
      <c r="C34" s="8">
        <f>IF($F34=1,$H34,"")</f>
        <v/>
      </c>
      <c r="D34" s="7">
        <f>IF($A34="","",IF($F34=0,"Biçim hatalı",IF(FIND(MID($B34,11,1),"0123456789")-1=$H34,"Geçerli","Kontrol hanesi hatalı (doğrusu: "&amp;$H34&amp;")")))</f>
        <v/>
      </c>
      <c r="F34">
        <f>IF($A34="","",IF(AND(LEN($B34)=11,SUMPRODUCT(--ISNUMBER(FIND(MID($B34,{1,2,3,4,5,6,7,8,9,10,11},1),"0123456789")))=11),1,0))</f>
        <v/>
      </c>
      <c r="G34">
        <f>IF($F34=1,VALUE(MID($B34,4,7)),"")</f>
        <v/>
      </c>
      <c r="H34">
        <f>IF($F34=1,MOD($G34,7),"")</f>
        <v/>
      </c>
    </row>
    <row r="35">
      <c r="A35" s="6" t="n"/>
      <c r="B35" s="7">
        <f>IF($A35="","",SUBSTITUTE(SUBSTITUTE(SUBSTITUTE(SUBSTITUTE($A35," ",""),"-",""),".",""),"/",""))</f>
        <v/>
      </c>
      <c r="C35" s="8">
        <f>IF($F35=1,$H35,"")</f>
        <v/>
      </c>
      <c r="D35" s="7">
        <f>IF($A35="","",IF($F35=0,"Biçim hatalı",IF(FIND(MID($B35,11,1),"0123456789")-1=$H35,"Geçerli","Kontrol hanesi hatalı (doğrusu: "&amp;$H35&amp;")")))</f>
        <v/>
      </c>
      <c r="F35">
        <f>IF($A35="","",IF(AND(LEN($B35)=11,SUMPRODUCT(--ISNUMBER(FIND(MID($B35,{1,2,3,4,5,6,7,8,9,10,11},1),"0123456789")))=11),1,0))</f>
        <v/>
      </c>
      <c r="G35">
        <f>IF($F35=1,VALUE(MID($B35,4,7)),"")</f>
        <v/>
      </c>
      <c r="H35">
        <f>IF($F35=1,MOD($G35,7),"")</f>
        <v/>
      </c>
    </row>
    <row r="36">
      <c r="A36" s="6" t="n"/>
      <c r="B36" s="7">
        <f>IF($A36="","",SUBSTITUTE(SUBSTITUTE(SUBSTITUTE(SUBSTITUTE($A36," ",""),"-",""),".",""),"/",""))</f>
        <v/>
      </c>
      <c r="C36" s="8">
        <f>IF($F36=1,$H36,"")</f>
        <v/>
      </c>
      <c r="D36" s="7">
        <f>IF($A36="","",IF($F36=0,"Biçim hatalı",IF(FIND(MID($B36,11,1),"0123456789")-1=$H36,"Geçerli","Kontrol hanesi hatalı (doğrusu: "&amp;$H36&amp;")")))</f>
        <v/>
      </c>
      <c r="F36">
        <f>IF($A36="","",IF(AND(LEN($B36)=11,SUMPRODUCT(--ISNUMBER(FIND(MID($B36,{1,2,3,4,5,6,7,8,9,10,11},1),"0123456789")))=11),1,0))</f>
        <v/>
      </c>
      <c r="G36">
        <f>IF($F36=1,VALUE(MID($B36,4,7)),"")</f>
        <v/>
      </c>
      <c r="H36">
        <f>IF($F36=1,MOD($G36,7),"")</f>
        <v/>
      </c>
    </row>
    <row r="37">
      <c r="A37" s="6" t="n"/>
      <c r="B37" s="7">
        <f>IF($A37="","",SUBSTITUTE(SUBSTITUTE(SUBSTITUTE(SUBSTITUTE($A37," ",""),"-",""),".",""),"/",""))</f>
        <v/>
      </c>
      <c r="C37" s="8">
        <f>IF($F37=1,$H37,"")</f>
        <v/>
      </c>
      <c r="D37" s="7">
        <f>IF($A37="","",IF($F37=0,"Biçim hatalı",IF(FIND(MID($B37,11,1),"0123456789")-1=$H37,"Geçerli","Kontrol hanesi hatalı (doğrusu: "&amp;$H37&amp;")")))</f>
        <v/>
      </c>
      <c r="F37">
        <f>IF($A37="","",IF(AND(LEN($B37)=11,SUMPRODUCT(--ISNUMBER(FIND(MID($B37,{1,2,3,4,5,6,7,8,9,10,11},1),"0123456789")))=11),1,0))</f>
        <v/>
      </c>
      <c r="G37">
        <f>IF($F37=1,VALUE(MID($B37,4,7)),"")</f>
        <v/>
      </c>
      <c r="H37">
        <f>IF($F37=1,MOD($G37,7),"")</f>
        <v/>
      </c>
    </row>
    <row r="38">
      <c r="A38" s="6" t="n"/>
      <c r="B38" s="7">
        <f>IF($A38="","",SUBSTITUTE(SUBSTITUTE(SUBSTITUTE(SUBSTITUTE($A38," ",""),"-",""),".",""),"/",""))</f>
        <v/>
      </c>
      <c r="C38" s="8">
        <f>IF($F38=1,$H38,"")</f>
        <v/>
      </c>
      <c r="D38" s="7">
        <f>IF($A38="","",IF($F38=0,"Biçim hatalı",IF(FIND(MID($B38,11,1),"0123456789")-1=$H38,"Geçerli","Kontrol hanesi hatalı (doğrusu: "&amp;$H38&amp;")")))</f>
        <v/>
      </c>
      <c r="F38">
        <f>IF($A38="","",IF(AND(LEN($B38)=11,SUMPRODUCT(--ISNUMBER(FIND(MID($B38,{1,2,3,4,5,6,7,8,9,10,11},1),"0123456789")))=11),1,0))</f>
        <v/>
      </c>
      <c r="G38">
        <f>IF($F38=1,VALUE(MID($B38,4,7)),"")</f>
        <v/>
      </c>
      <c r="H38">
        <f>IF($F38=1,MOD($G38,7),"")</f>
        <v/>
      </c>
    </row>
    <row r="39">
      <c r="A39" s="6" t="n"/>
      <c r="B39" s="7">
        <f>IF($A39="","",SUBSTITUTE(SUBSTITUTE(SUBSTITUTE(SUBSTITUTE($A39," ",""),"-",""),".",""),"/",""))</f>
        <v/>
      </c>
      <c r="C39" s="8">
        <f>IF($F39=1,$H39,"")</f>
        <v/>
      </c>
      <c r="D39" s="7">
        <f>IF($A39="","",IF($F39=0,"Biçim hatalı",IF(FIND(MID($B39,11,1),"0123456789")-1=$H39,"Geçerli","Kontrol hanesi hatalı (doğrusu: "&amp;$H39&amp;")")))</f>
        <v/>
      </c>
      <c r="F39">
        <f>IF($A39="","",IF(AND(LEN($B39)=11,SUMPRODUCT(--ISNUMBER(FIND(MID($B39,{1,2,3,4,5,6,7,8,9,10,11},1),"0123456789")))=11),1,0))</f>
        <v/>
      </c>
      <c r="G39">
        <f>IF($F39=1,VALUE(MID($B39,4,7)),"")</f>
        <v/>
      </c>
      <c r="H39">
        <f>IF($F39=1,MOD($G39,7),"")</f>
        <v/>
      </c>
    </row>
    <row r="40">
      <c r="A40" s="6" t="n"/>
      <c r="B40" s="7">
        <f>IF($A40="","",SUBSTITUTE(SUBSTITUTE(SUBSTITUTE(SUBSTITUTE($A40," ",""),"-",""),".",""),"/",""))</f>
        <v/>
      </c>
      <c r="C40" s="8">
        <f>IF($F40=1,$H40,"")</f>
        <v/>
      </c>
      <c r="D40" s="7">
        <f>IF($A40="","",IF($F40=0,"Biçim hatalı",IF(FIND(MID($B40,11,1),"0123456789")-1=$H40,"Geçerli","Kontrol hanesi hatalı (doğrusu: "&amp;$H40&amp;")")))</f>
        <v/>
      </c>
      <c r="F40">
        <f>IF($A40="","",IF(AND(LEN($B40)=11,SUMPRODUCT(--ISNUMBER(FIND(MID($B40,{1,2,3,4,5,6,7,8,9,10,11},1),"0123456789")))=11),1,0))</f>
        <v/>
      </c>
      <c r="G40">
        <f>IF($F40=1,VALUE(MID($B40,4,7)),"")</f>
        <v/>
      </c>
      <c r="H40">
        <f>IF($F40=1,MOD($G40,7),"")</f>
        <v/>
      </c>
    </row>
    <row r="41">
      <c r="A41" s="6" t="n"/>
      <c r="B41" s="7">
        <f>IF($A41="","",SUBSTITUTE(SUBSTITUTE(SUBSTITUTE(SUBSTITUTE($A41," ",""),"-",""),".",""),"/",""))</f>
        <v/>
      </c>
      <c r="C41" s="8">
        <f>IF($F41=1,$H41,"")</f>
        <v/>
      </c>
      <c r="D41" s="7">
        <f>IF($A41="","",IF($F41=0,"Biçim hatalı",IF(FIND(MID($B41,11,1),"0123456789")-1=$H41,"Geçerli","Kontrol hanesi hatalı (doğrusu: "&amp;$H41&amp;")")))</f>
        <v/>
      </c>
      <c r="F41">
        <f>IF($A41="","",IF(AND(LEN($B41)=11,SUMPRODUCT(--ISNUMBER(FIND(MID($B41,{1,2,3,4,5,6,7,8,9,10,11},1),"0123456789")))=11),1,0))</f>
        <v/>
      </c>
      <c r="G41">
        <f>IF($F41=1,VALUE(MID($B41,4,7)),"")</f>
        <v/>
      </c>
      <c r="H41">
        <f>IF($F41=1,MOD($G41,7),"")</f>
        <v/>
      </c>
    </row>
    <row r="42">
      <c r="A42" s="6" t="n"/>
      <c r="B42" s="7">
        <f>IF($A42="","",SUBSTITUTE(SUBSTITUTE(SUBSTITUTE(SUBSTITUTE($A42," ",""),"-",""),".",""),"/",""))</f>
        <v/>
      </c>
      <c r="C42" s="8">
        <f>IF($F42=1,$H42,"")</f>
        <v/>
      </c>
      <c r="D42" s="7">
        <f>IF($A42="","",IF($F42=0,"Biçim hatalı",IF(FIND(MID($B42,11,1),"0123456789")-1=$H42,"Geçerli","Kontrol hanesi hatalı (doğrusu: "&amp;$H42&amp;")")))</f>
        <v/>
      </c>
      <c r="F42">
        <f>IF($A42="","",IF(AND(LEN($B42)=11,SUMPRODUCT(--ISNUMBER(FIND(MID($B42,{1,2,3,4,5,6,7,8,9,10,11},1),"0123456789")))=11),1,0))</f>
        <v/>
      </c>
      <c r="G42">
        <f>IF($F42=1,VALUE(MID($B42,4,7)),"")</f>
        <v/>
      </c>
      <c r="H42">
        <f>IF($F42=1,MOD($G42,7),"")</f>
        <v/>
      </c>
    </row>
    <row r="43">
      <c r="A43" s="6" t="n"/>
      <c r="B43" s="7">
        <f>IF($A43="","",SUBSTITUTE(SUBSTITUTE(SUBSTITUTE(SUBSTITUTE($A43," ",""),"-",""),".",""),"/",""))</f>
        <v/>
      </c>
      <c r="C43" s="8">
        <f>IF($F43=1,$H43,"")</f>
        <v/>
      </c>
      <c r="D43" s="7">
        <f>IF($A43="","",IF($F43=0,"Biçim hatalı",IF(FIND(MID($B43,11,1),"0123456789")-1=$H43,"Geçerli","Kontrol hanesi hatalı (doğrusu: "&amp;$H43&amp;")")))</f>
        <v/>
      </c>
      <c r="F43">
        <f>IF($A43="","",IF(AND(LEN($B43)=11,SUMPRODUCT(--ISNUMBER(FIND(MID($B43,{1,2,3,4,5,6,7,8,9,10,11},1),"0123456789")))=11),1,0))</f>
        <v/>
      </c>
      <c r="G43">
        <f>IF($F43=1,VALUE(MID($B43,4,7)),"")</f>
        <v/>
      </c>
      <c r="H43">
        <f>IF($F43=1,MOD($G43,7),"")</f>
        <v/>
      </c>
    </row>
    <row r="44">
      <c r="A44" s="6" t="n"/>
      <c r="B44" s="7">
        <f>IF($A44="","",SUBSTITUTE(SUBSTITUTE(SUBSTITUTE(SUBSTITUTE($A44," ",""),"-",""),".",""),"/",""))</f>
        <v/>
      </c>
      <c r="C44" s="8">
        <f>IF($F44=1,$H44,"")</f>
        <v/>
      </c>
      <c r="D44" s="7">
        <f>IF($A44="","",IF($F44=0,"Biçim hatalı",IF(FIND(MID($B44,11,1),"0123456789")-1=$H44,"Geçerli","Kontrol hanesi hatalı (doğrusu: "&amp;$H44&amp;")")))</f>
        <v/>
      </c>
      <c r="F44">
        <f>IF($A44="","",IF(AND(LEN($B44)=11,SUMPRODUCT(--ISNUMBER(FIND(MID($B44,{1,2,3,4,5,6,7,8,9,10,11},1),"0123456789")))=11),1,0))</f>
        <v/>
      </c>
      <c r="G44">
        <f>IF($F44=1,VALUE(MID($B44,4,7)),"")</f>
        <v/>
      </c>
      <c r="H44">
        <f>IF($F44=1,MOD($G44,7),"")</f>
        <v/>
      </c>
    </row>
    <row r="45">
      <c r="A45" s="6" t="n"/>
      <c r="B45" s="7">
        <f>IF($A45="","",SUBSTITUTE(SUBSTITUTE(SUBSTITUTE(SUBSTITUTE($A45," ",""),"-",""),".",""),"/",""))</f>
        <v/>
      </c>
      <c r="C45" s="8">
        <f>IF($F45=1,$H45,"")</f>
        <v/>
      </c>
      <c r="D45" s="7">
        <f>IF($A45="","",IF($F45=0,"Biçim hatalı",IF(FIND(MID($B45,11,1),"0123456789")-1=$H45,"Geçerli","Kontrol hanesi hatalı (doğrusu: "&amp;$H45&amp;")")))</f>
        <v/>
      </c>
      <c r="F45">
        <f>IF($A45="","",IF(AND(LEN($B45)=11,SUMPRODUCT(--ISNUMBER(FIND(MID($B45,{1,2,3,4,5,6,7,8,9,10,11},1),"0123456789")))=11),1,0))</f>
        <v/>
      </c>
      <c r="G45">
        <f>IF($F45=1,VALUE(MID($B45,4,7)),"")</f>
        <v/>
      </c>
      <c r="H45">
        <f>IF($F45=1,MOD($G45,7),"")</f>
        <v/>
      </c>
    </row>
    <row r="46">
      <c r="A46" s="6" t="n"/>
      <c r="B46" s="7">
        <f>IF($A46="","",SUBSTITUTE(SUBSTITUTE(SUBSTITUTE(SUBSTITUTE($A46," ",""),"-",""),".",""),"/",""))</f>
        <v/>
      </c>
      <c r="C46" s="8">
        <f>IF($F46=1,$H46,"")</f>
        <v/>
      </c>
      <c r="D46" s="7">
        <f>IF($A46="","",IF($F46=0,"Biçim hatalı",IF(FIND(MID($B46,11,1),"0123456789")-1=$H46,"Geçerli","Kontrol hanesi hatalı (doğrusu: "&amp;$H46&amp;")")))</f>
        <v/>
      </c>
      <c r="F46">
        <f>IF($A46="","",IF(AND(LEN($B46)=11,SUMPRODUCT(--ISNUMBER(FIND(MID($B46,{1,2,3,4,5,6,7,8,9,10,11},1),"0123456789")))=11),1,0))</f>
        <v/>
      </c>
      <c r="G46">
        <f>IF($F46=1,VALUE(MID($B46,4,7)),"")</f>
        <v/>
      </c>
      <c r="H46">
        <f>IF($F46=1,MOD($G46,7),"")</f>
        <v/>
      </c>
    </row>
    <row r="47">
      <c r="A47" s="6" t="n"/>
      <c r="B47" s="7">
        <f>IF($A47="","",SUBSTITUTE(SUBSTITUTE(SUBSTITUTE(SUBSTITUTE($A47," ",""),"-",""),".",""),"/",""))</f>
        <v/>
      </c>
      <c r="C47" s="8">
        <f>IF($F47=1,$H47,"")</f>
        <v/>
      </c>
      <c r="D47" s="7">
        <f>IF($A47="","",IF($F47=0,"Biçim hatalı",IF(FIND(MID($B47,11,1),"0123456789")-1=$H47,"Geçerli","Kontrol hanesi hatalı (doğrusu: "&amp;$H47&amp;")")))</f>
        <v/>
      </c>
      <c r="F47">
        <f>IF($A47="","",IF(AND(LEN($B47)=11,SUMPRODUCT(--ISNUMBER(FIND(MID($B47,{1,2,3,4,5,6,7,8,9,10,11},1),"0123456789")))=11),1,0))</f>
        <v/>
      </c>
      <c r="G47">
        <f>IF($F47=1,VALUE(MID($B47,4,7)),"")</f>
        <v/>
      </c>
      <c r="H47">
        <f>IF($F47=1,MOD($G47,7),"")</f>
        <v/>
      </c>
    </row>
    <row r="48">
      <c r="A48" s="6" t="n"/>
      <c r="B48" s="7">
        <f>IF($A48="","",SUBSTITUTE(SUBSTITUTE(SUBSTITUTE(SUBSTITUTE($A48," ",""),"-",""),".",""),"/",""))</f>
        <v/>
      </c>
      <c r="C48" s="8">
        <f>IF($F48=1,$H48,"")</f>
        <v/>
      </c>
      <c r="D48" s="7">
        <f>IF($A48="","",IF($F48=0,"Biçim hatalı",IF(FIND(MID($B48,11,1),"0123456789")-1=$H48,"Geçerli","Kontrol hanesi hatalı (doğrusu: "&amp;$H48&amp;")")))</f>
        <v/>
      </c>
      <c r="F48">
        <f>IF($A48="","",IF(AND(LEN($B48)=11,SUMPRODUCT(--ISNUMBER(FIND(MID($B48,{1,2,3,4,5,6,7,8,9,10,11},1),"0123456789")))=11),1,0))</f>
        <v/>
      </c>
      <c r="G48">
        <f>IF($F48=1,VALUE(MID($B48,4,7)),"")</f>
        <v/>
      </c>
      <c r="H48">
        <f>IF($F48=1,MOD($G48,7),"")</f>
        <v/>
      </c>
    </row>
    <row r="49">
      <c r="A49" s="6" t="n"/>
      <c r="B49" s="7">
        <f>IF($A49="","",SUBSTITUTE(SUBSTITUTE(SUBSTITUTE(SUBSTITUTE($A49," ",""),"-",""),".",""),"/",""))</f>
        <v/>
      </c>
      <c r="C49" s="8">
        <f>IF($F49=1,$H49,"")</f>
        <v/>
      </c>
      <c r="D49" s="7">
        <f>IF($A49="","",IF($F49=0,"Biçim hatalı",IF(FIND(MID($B49,11,1),"0123456789")-1=$H49,"Geçerli","Kontrol hanesi hatalı (doğrusu: "&amp;$H49&amp;")")))</f>
        <v/>
      </c>
      <c r="F49">
        <f>IF($A49="","",IF(AND(LEN($B49)=11,SUMPRODUCT(--ISNUMBER(FIND(MID($B49,{1,2,3,4,5,6,7,8,9,10,11},1),"0123456789")))=11),1,0))</f>
        <v/>
      </c>
      <c r="G49">
        <f>IF($F49=1,VALUE(MID($B49,4,7)),"")</f>
        <v/>
      </c>
      <c r="H49">
        <f>IF($F49=1,MOD($G49,7),"")</f>
        <v/>
      </c>
    </row>
    <row r="50">
      <c r="A50" s="6" t="n"/>
      <c r="B50" s="7">
        <f>IF($A50="","",SUBSTITUTE(SUBSTITUTE(SUBSTITUTE(SUBSTITUTE($A50," ",""),"-",""),".",""),"/",""))</f>
        <v/>
      </c>
      <c r="C50" s="8">
        <f>IF($F50=1,$H50,"")</f>
        <v/>
      </c>
      <c r="D50" s="7">
        <f>IF($A50="","",IF($F50=0,"Biçim hatalı",IF(FIND(MID($B50,11,1),"0123456789")-1=$H50,"Geçerli","Kontrol hanesi hatalı (doğrusu: "&amp;$H50&amp;")")))</f>
        <v/>
      </c>
      <c r="F50">
        <f>IF($A50="","",IF(AND(LEN($B50)=11,SUMPRODUCT(--ISNUMBER(FIND(MID($B50,{1,2,3,4,5,6,7,8,9,10,11},1),"0123456789")))=11),1,0))</f>
        <v/>
      </c>
      <c r="G50">
        <f>IF($F50=1,VALUE(MID($B50,4,7)),"")</f>
        <v/>
      </c>
      <c r="H50">
        <f>IF($F50=1,MOD($G50,7),"")</f>
        <v/>
      </c>
    </row>
    <row r="51">
      <c r="A51" s="6" t="n"/>
      <c r="B51" s="7">
        <f>IF($A51="","",SUBSTITUTE(SUBSTITUTE(SUBSTITUTE(SUBSTITUTE($A51," ",""),"-",""),".",""),"/",""))</f>
        <v/>
      </c>
      <c r="C51" s="8">
        <f>IF($F51=1,$H51,"")</f>
        <v/>
      </c>
      <c r="D51" s="7">
        <f>IF($A51="","",IF($F51=0,"Biçim hatalı",IF(FIND(MID($B51,11,1),"0123456789")-1=$H51,"Geçerli","Kontrol hanesi hatalı (doğrusu: "&amp;$H51&amp;")")))</f>
        <v/>
      </c>
      <c r="F51">
        <f>IF($A51="","",IF(AND(LEN($B51)=11,SUMPRODUCT(--ISNUMBER(FIND(MID($B51,{1,2,3,4,5,6,7,8,9,10,11},1),"0123456789")))=11),1,0))</f>
        <v/>
      </c>
      <c r="G51">
        <f>IF($F51=1,VALUE(MID($B51,4,7)),"")</f>
        <v/>
      </c>
      <c r="H51">
        <f>IF($F51=1,MOD($G51,7),"")</f>
        <v/>
      </c>
    </row>
    <row r="52">
      <c r="A52" s="6" t="n"/>
      <c r="B52" s="7">
        <f>IF($A52="","",SUBSTITUTE(SUBSTITUTE(SUBSTITUTE(SUBSTITUTE($A52," ",""),"-",""),".",""),"/",""))</f>
        <v/>
      </c>
      <c r="C52" s="8">
        <f>IF($F52=1,$H52,"")</f>
        <v/>
      </c>
      <c r="D52" s="7">
        <f>IF($A52="","",IF($F52=0,"Biçim hatalı",IF(FIND(MID($B52,11,1),"0123456789")-1=$H52,"Geçerli","Kontrol hanesi hatalı (doğrusu: "&amp;$H52&amp;")")))</f>
        <v/>
      </c>
      <c r="F52">
        <f>IF($A52="","",IF(AND(LEN($B52)=11,SUMPRODUCT(--ISNUMBER(FIND(MID($B52,{1,2,3,4,5,6,7,8,9,10,11},1),"0123456789")))=11),1,0))</f>
        <v/>
      </c>
      <c r="G52">
        <f>IF($F52=1,VALUE(MID($B52,4,7)),"")</f>
        <v/>
      </c>
      <c r="H52">
        <f>IF($F52=1,MOD($G52,7),"")</f>
        <v/>
      </c>
    </row>
    <row r="53">
      <c r="A53" s="6" t="n"/>
      <c r="B53" s="7">
        <f>IF($A53="","",SUBSTITUTE(SUBSTITUTE(SUBSTITUTE(SUBSTITUTE($A53," ",""),"-",""),".",""),"/",""))</f>
        <v/>
      </c>
      <c r="C53" s="8">
        <f>IF($F53=1,$H53,"")</f>
        <v/>
      </c>
      <c r="D53" s="7">
        <f>IF($A53="","",IF($F53=0,"Biçim hatalı",IF(FIND(MID($B53,11,1),"0123456789")-1=$H53,"Geçerli","Kontrol hanesi hatalı (doğrusu: "&amp;$H53&amp;")")))</f>
        <v/>
      </c>
      <c r="F53">
        <f>IF($A53="","",IF(AND(LEN($B53)=11,SUMPRODUCT(--ISNUMBER(FIND(MID($B53,{1,2,3,4,5,6,7,8,9,10,11},1),"0123456789")))=11),1,0))</f>
        <v/>
      </c>
      <c r="G53">
        <f>IF($F53=1,VALUE(MID($B53,4,7)),"")</f>
        <v/>
      </c>
      <c r="H53">
        <f>IF($F53=1,MOD($G53,7),"")</f>
        <v/>
      </c>
    </row>
    <row r="54">
      <c r="A54" s="6" t="n"/>
      <c r="B54" s="7">
        <f>IF($A54="","",SUBSTITUTE(SUBSTITUTE(SUBSTITUTE(SUBSTITUTE($A54," ",""),"-",""),".",""),"/",""))</f>
        <v/>
      </c>
      <c r="C54" s="8">
        <f>IF($F54=1,$H54,"")</f>
        <v/>
      </c>
      <c r="D54" s="7">
        <f>IF($A54="","",IF($F54=0,"Biçim hatalı",IF(FIND(MID($B54,11,1),"0123456789")-1=$H54,"Geçerli","Kontrol hanesi hatalı (doğrusu: "&amp;$H54&amp;")")))</f>
        <v/>
      </c>
      <c r="F54">
        <f>IF($A54="","",IF(AND(LEN($B54)=11,SUMPRODUCT(--ISNUMBER(FIND(MID($B54,{1,2,3,4,5,6,7,8,9,10,11},1),"0123456789")))=11),1,0))</f>
        <v/>
      </c>
      <c r="G54">
        <f>IF($F54=1,VALUE(MID($B54,4,7)),"")</f>
        <v/>
      </c>
      <c r="H54">
        <f>IF($F54=1,MOD($G54,7),"")</f>
        <v/>
      </c>
    </row>
    <row r="55">
      <c r="A55" s="6" t="n"/>
      <c r="B55" s="7">
        <f>IF($A55="","",SUBSTITUTE(SUBSTITUTE(SUBSTITUTE(SUBSTITUTE($A55," ",""),"-",""),".",""),"/",""))</f>
        <v/>
      </c>
      <c r="C55" s="8">
        <f>IF($F55=1,$H55,"")</f>
        <v/>
      </c>
      <c r="D55" s="7">
        <f>IF($A55="","",IF($F55=0,"Biçim hatalı",IF(FIND(MID($B55,11,1),"0123456789")-1=$H55,"Geçerli","Kontrol hanesi hatalı (doğrusu: "&amp;$H55&amp;")")))</f>
        <v/>
      </c>
      <c r="F55">
        <f>IF($A55="","",IF(AND(LEN($B55)=11,SUMPRODUCT(--ISNUMBER(FIND(MID($B55,{1,2,3,4,5,6,7,8,9,10,11},1),"0123456789")))=11),1,0))</f>
        <v/>
      </c>
      <c r="G55">
        <f>IF($F55=1,VALUE(MID($B55,4,7)),"")</f>
        <v/>
      </c>
      <c r="H55">
        <f>IF($F55=1,MOD($G55,7),"")</f>
        <v/>
      </c>
    </row>
    <row r="56">
      <c r="A56" s="6" t="n"/>
      <c r="B56" s="7">
        <f>IF($A56="","",SUBSTITUTE(SUBSTITUTE(SUBSTITUTE(SUBSTITUTE($A56," ",""),"-",""),".",""),"/",""))</f>
        <v/>
      </c>
      <c r="C56" s="8">
        <f>IF($F56=1,$H56,"")</f>
        <v/>
      </c>
      <c r="D56" s="7">
        <f>IF($A56="","",IF($F56=0,"Biçim hatalı",IF(FIND(MID($B56,11,1),"0123456789")-1=$H56,"Geçerli","Kontrol hanesi hatalı (doğrusu: "&amp;$H56&amp;")")))</f>
        <v/>
      </c>
      <c r="F56">
        <f>IF($A56="","",IF(AND(LEN($B56)=11,SUMPRODUCT(--ISNUMBER(FIND(MID($B56,{1,2,3,4,5,6,7,8,9,10,11},1),"0123456789")))=11),1,0))</f>
        <v/>
      </c>
      <c r="G56">
        <f>IF($F56=1,VALUE(MID($B56,4,7)),"")</f>
        <v/>
      </c>
      <c r="H56">
        <f>IF($F56=1,MOD($G56,7),"")</f>
        <v/>
      </c>
    </row>
    <row r="57">
      <c r="A57" s="6" t="n"/>
      <c r="B57" s="7">
        <f>IF($A57="","",SUBSTITUTE(SUBSTITUTE(SUBSTITUTE(SUBSTITUTE($A57," ",""),"-",""),".",""),"/",""))</f>
        <v/>
      </c>
      <c r="C57" s="8">
        <f>IF($F57=1,$H57,"")</f>
        <v/>
      </c>
      <c r="D57" s="7">
        <f>IF($A57="","",IF($F57=0,"Biçim hatalı",IF(FIND(MID($B57,11,1),"0123456789")-1=$H57,"Geçerli","Kontrol hanesi hatalı (doğrusu: "&amp;$H57&amp;")")))</f>
        <v/>
      </c>
      <c r="F57">
        <f>IF($A57="","",IF(AND(LEN($B57)=11,SUMPRODUCT(--ISNUMBER(FIND(MID($B57,{1,2,3,4,5,6,7,8,9,10,11},1),"0123456789")))=11),1,0))</f>
        <v/>
      </c>
      <c r="G57">
        <f>IF($F57=1,VALUE(MID($B57,4,7)),"")</f>
        <v/>
      </c>
      <c r="H57">
        <f>IF($F57=1,MOD($G57,7),"")</f>
        <v/>
      </c>
    </row>
    <row r="58">
      <c r="A58" s="6" t="n"/>
      <c r="B58" s="7">
        <f>IF($A58="","",SUBSTITUTE(SUBSTITUTE(SUBSTITUTE(SUBSTITUTE($A58," ",""),"-",""),".",""),"/",""))</f>
        <v/>
      </c>
      <c r="C58" s="8">
        <f>IF($F58=1,$H58,"")</f>
        <v/>
      </c>
      <c r="D58" s="7">
        <f>IF($A58="","",IF($F58=0,"Biçim hatalı",IF(FIND(MID($B58,11,1),"0123456789")-1=$H58,"Geçerli","Kontrol hanesi hatalı (doğrusu: "&amp;$H58&amp;")")))</f>
        <v/>
      </c>
      <c r="F58">
        <f>IF($A58="","",IF(AND(LEN($B58)=11,SUMPRODUCT(--ISNUMBER(FIND(MID($B58,{1,2,3,4,5,6,7,8,9,10,11},1),"0123456789")))=11),1,0))</f>
        <v/>
      </c>
      <c r="G58">
        <f>IF($F58=1,VALUE(MID($B58,4,7)),"")</f>
        <v/>
      </c>
      <c r="H58">
        <f>IF($F58=1,MOD($G58,7),"")</f>
        <v/>
      </c>
    </row>
    <row r="59">
      <c r="A59" s="6" t="n"/>
      <c r="B59" s="7">
        <f>IF($A59="","",SUBSTITUTE(SUBSTITUTE(SUBSTITUTE(SUBSTITUTE($A59," ",""),"-",""),".",""),"/",""))</f>
        <v/>
      </c>
      <c r="C59" s="8">
        <f>IF($F59=1,$H59,"")</f>
        <v/>
      </c>
      <c r="D59" s="7">
        <f>IF($A59="","",IF($F59=0,"Biçim hatalı",IF(FIND(MID($B59,11,1),"0123456789")-1=$H59,"Geçerli","Kontrol hanesi hatalı (doğrusu: "&amp;$H59&amp;")")))</f>
        <v/>
      </c>
      <c r="F59">
        <f>IF($A59="","",IF(AND(LEN($B59)=11,SUMPRODUCT(--ISNUMBER(FIND(MID($B59,{1,2,3,4,5,6,7,8,9,10,11},1),"0123456789")))=11),1,0))</f>
        <v/>
      </c>
      <c r="G59">
        <f>IF($F59=1,VALUE(MID($B59,4,7)),"")</f>
        <v/>
      </c>
      <c r="H59">
        <f>IF($F59=1,MOD($G59,7),"")</f>
        <v/>
      </c>
    </row>
    <row r="60">
      <c r="A60" s="6" t="n"/>
      <c r="B60" s="7">
        <f>IF($A60="","",SUBSTITUTE(SUBSTITUTE(SUBSTITUTE(SUBSTITUTE($A60," ",""),"-",""),".",""),"/",""))</f>
        <v/>
      </c>
      <c r="C60" s="8">
        <f>IF($F60=1,$H60,"")</f>
        <v/>
      </c>
      <c r="D60" s="7">
        <f>IF($A60="","",IF($F60=0,"Biçim hatalı",IF(FIND(MID($B60,11,1),"0123456789")-1=$H60,"Geçerli","Kontrol hanesi hatalı (doğrusu: "&amp;$H60&amp;")")))</f>
        <v/>
      </c>
      <c r="F60">
        <f>IF($A60="","",IF(AND(LEN($B60)=11,SUMPRODUCT(--ISNUMBER(FIND(MID($B60,{1,2,3,4,5,6,7,8,9,10,11},1),"0123456789")))=11),1,0))</f>
        <v/>
      </c>
      <c r="G60">
        <f>IF($F60=1,VALUE(MID($B60,4,7)),"")</f>
        <v/>
      </c>
      <c r="H60">
        <f>IF($F60=1,MOD($G60,7),"")</f>
        <v/>
      </c>
    </row>
    <row r="61">
      <c r="A61" s="6" t="n"/>
      <c r="B61" s="7">
        <f>IF($A61="","",SUBSTITUTE(SUBSTITUTE(SUBSTITUTE(SUBSTITUTE($A61," ",""),"-",""),".",""),"/",""))</f>
        <v/>
      </c>
      <c r="C61" s="8">
        <f>IF($F61=1,$H61,"")</f>
        <v/>
      </c>
      <c r="D61" s="7">
        <f>IF($A61="","",IF($F61=0,"Biçim hatalı",IF(FIND(MID($B61,11,1),"0123456789")-1=$H61,"Geçerli","Kontrol hanesi hatalı (doğrusu: "&amp;$H61&amp;")")))</f>
        <v/>
      </c>
      <c r="F61">
        <f>IF($A61="","",IF(AND(LEN($B61)=11,SUMPRODUCT(--ISNUMBER(FIND(MID($B61,{1,2,3,4,5,6,7,8,9,10,11},1),"0123456789")))=11),1,0))</f>
        <v/>
      </c>
      <c r="G61">
        <f>IF($F61=1,VALUE(MID($B61,4,7)),"")</f>
        <v/>
      </c>
      <c r="H61">
        <f>IF($F61=1,MOD($G61,7),"")</f>
        <v/>
      </c>
    </row>
    <row r="62">
      <c r="A62" s="6" t="n"/>
      <c r="B62" s="7">
        <f>IF($A62="","",SUBSTITUTE(SUBSTITUTE(SUBSTITUTE(SUBSTITUTE($A62," ",""),"-",""),".",""),"/",""))</f>
        <v/>
      </c>
      <c r="C62" s="8">
        <f>IF($F62=1,$H62,"")</f>
        <v/>
      </c>
      <c r="D62" s="7">
        <f>IF($A62="","",IF($F62=0,"Biçim hatalı",IF(FIND(MID($B62,11,1),"0123456789")-1=$H62,"Geçerli","Kontrol hanesi hatalı (doğrusu: "&amp;$H62&amp;")")))</f>
        <v/>
      </c>
      <c r="F62">
        <f>IF($A62="","",IF(AND(LEN($B62)=11,SUMPRODUCT(--ISNUMBER(FIND(MID($B62,{1,2,3,4,5,6,7,8,9,10,11},1),"0123456789")))=11),1,0))</f>
        <v/>
      </c>
      <c r="G62">
        <f>IF($F62=1,VALUE(MID($B62,4,7)),"")</f>
        <v/>
      </c>
      <c r="H62">
        <f>IF($F62=1,MOD($G62,7),"")</f>
        <v/>
      </c>
    </row>
    <row r="63">
      <c r="A63" s="6" t="n"/>
      <c r="B63" s="7">
        <f>IF($A63="","",SUBSTITUTE(SUBSTITUTE(SUBSTITUTE(SUBSTITUTE($A63," ",""),"-",""),".",""),"/",""))</f>
        <v/>
      </c>
      <c r="C63" s="8">
        <f>IF($F63=1,$H63,"")</f>
        <v/>
      </c>
      <c r="D63" s="7">
        <f>IF($A63="","",IF($F63=0,"Biçim hatalı",IF(FIND(MID($B63,11,1),"0123456789")-1=$H63,"Geçerli","Kontrol hanesi hatalı (doğrusu: "&amp;$H63&amp;")")))</f>
        <v/>
      </c>
      <c r="F63">
        <f>IF($A63="","",IF(AND(LEN($B63)=11,SUMPRODUCT(--ISNUMBER(FIND(MID($B63,{1,2,3,4,5,6,7,8,9,10,11},1),"0123456789")))=11),1,0))</f>
        <v/>
      </c>
      <c r="G63">
        <f>IF($F63=1,VALUE(MID($B63,4,7)),"")</f>
        <v/>
      </c>
      <c r="H63">
        <f>IF($F63=1,MOD($G63,7),"")</f>
        <v/>
      </c>
    </row>
    <row r="64">
      <c r="A64" s="6" t="n"/>
      <c r="B64" s="7">
        <f>IF($A64="","",SUBSTITUTE(SUBSTITUTE(SUBSTITUTE(SUBSTITUTE($A64," ",""),"-",""),".",""),"/",""))</f>
        <v/>
      </c>
      <c r="C64" s="8">
        <f>IF($F64=1,$H64,"")</f>
        <v/>
      </c>
      <c r="D64" s="7">
        <f>IF($A64="","",IF($F64=0,"Biçim hatalı",IF(FIND(MID($B64,11,1),"0123456789")-1=$H64,"Geçerli","Kontrol hanesi hatalı (doğrusu: "&amp;$H64&amp;")")))</f>
        <v/>
      </c>
      <c r="F64">
        <f>IF($A64="","",IF(AND(LEN($B64)=11,SUMPRODUCT(--ISNUMBER(FIND(MID($B64,{1,2,3,4,5,6,7,8,9,10,11},1),"0123456789")))=11),1,0))</f>
        <v/>
      </c>
      <c r="G64">
        <f>IF($F64=1,VALUE(MID($B64,4,7)),"")</f>
        <v/>
      </c>
      <c r="H64">
        <f>IF($F64=1,MOD($G64,7),"")</f>
        <v/>
      </c>
    </row>
    <row r="65">
      <c r="A65" s="6" t="n"/>
      <c r="B65" s="7">
        <f>IF($A65="","",SUBSTITUTE(SUBSTITUTE(SUBSTITUTE(SUBSTITUTE($A65," ",""),"-",""),".",""),"/",""))</f>
        <v/>
      </c>
      <c r="C65" s="8">
        <f>IF($F65=1,$H65,"")</f>
        <v/>
      </c>
      <c r="D65" s="7">
        <f>IF($A65="","",IF($F65=0,"Biçim hatalı",IF(FIND(MID($B65,11,1),"0123456789")-1=$H65,"Geçerli","Kontrol hanesi hatalı (doğrusu: "&amp;$H65&amp;")")))</f>
        <v/>
      </c>
      <c r="F65">
        <f>IF($A65="","",IF(AND(LEN($B65)=11,SUMPRODUCT(--ISNUMBER(FIND(MID($B65,{1,2,3,4,5,6,7,8,9,10,11},1),"0123456789")))=11),1,0))</f>
        <v/>
      </c>
      <c r="G65">
        <f>IF($F65=1,VALUE(MID($B65,4,7)),"")</f>
        <v/>
      </c>
      <c r="H65">
        <f>IF($F65=1,MOD($G65,7),"")</f>
        <v/>
      </c>
    </row>
    <row r="66">
      <c r="A66" s="6" t="n"/>
      <c r="B66" s="7">
        <f>IF($A66="","",SUBSTITUTE(SUBSTITUTE(SUBSTITUTE(SUBSTITUTE($A66," ",""),"-",""),".",""),"/",""))</f>
        <v/>
      </c>
      <c r="C66" s="8">
        <f>IF($F66=1,$H66,"")</f>
        <v/>
      </c>
      <c r="D66" s="7">
        <f>IF($A66="","",IF($F66=0,"Biçim hatalı",IF(FIND(MID($B66,11,1),"0123456789")-1=$H66,"Geçerli","Kontrol hanesi hatalı (doğrusu: "&amp;$H66&amp;")")))</f>
        <v/>
      </c>
      <c r="F66">
        <f>IF($A66="","",IF(AND(LEN($B66)=11,SUMPRODUCT(--ISNUMBER(FIND(MID($B66,{1,2,3,4,5,6,7,8,9,10,11},1),"0123456789")))=11),1,0))</f>
        <v/>
      </c>
      <c r="G66">
        <f>IF($F66=1,VALUE(MID($B66,4,7)),"")</f>
        <v/>
      </c>
      <c r="H66">
        <f>IF($F66=1,MOD($G66,7),"")</f>
        <v/>
      </c>
    </row>
    <row r="67">
      <c r="A67" s="6" t="n"/>
      <c r="B67" s="7">
        <f>IF($A67="","",SUBSTITUTE(SUBSTITUTE(SUBSTITUTE(SUBSTITUTE($A67," ",""),"-",""),".",""),"/",""))</f>
        <v/>
      </c>
      <c r="C67" s="8">
        <f>IF($F67=1,$H67,"")</f>
        <v/>
      </c>
      <c r="D67" s="7">
        <f>IF($A67="","",IF($F67=0,"Biçim hatalı",IF(FIND(MID($B67,11,1),"0123456789")-1=$H67,"Geçerli","Kontrol hanesi hatalı (doğrusu: "&amp;$H67&amp;")")))</f>
        <v/>
      </c>
      <c r="F67">
        <f>IF($A67="","",IF(AND(LEN($B67)=11,SUMPRODUCT(--ISNUMBER(FIND(MID($B67,{1,2,3,4,5,6,7,8,9,10,11},1),"0123456789")))=11),1,0))</f>
        <v/>
      </c>
      <c r="G67">
        <f>IF($F67=1,VALUE(MID($B67,4,7)),"")</f>
        <v/>
      </c>
      <c r="H67">
        <f>IF($F67=1,MOD($G67,7),"")</f>
        <v/>
      </c>
    </row>
    <row r="68">
      <c r="A68" s="6" t="n"/>
      <c r="B68" s="7">
        <f>IF($A68="","",SUBSTITUTE(SUBSTITUTE(SUBSTITUTE(SUBSTITUTE($A68," ",""),"-",""),".",""),"/",""))</f>
        <v/>
      </c>
      <c r="C68" s="8">
        <f>IF($F68=1,$H68,"")</f>
        <v/>
      </c>
      <c r="D68" s="7">
        <f>IF($A68="","",IF($F68=0,"Biçim hatalı",IF(FIND(MID($B68,11,1),"0123456789")-1=$H68,"Geçerli","Kontrol hanesi hatalı (doğrusu: "&amp;$H68&amp;")")))</f>
        <v/>
      </c>
      <c r="F68">
        <f>IF($A68="","",IF(AND(LEN($B68)=11,SUMPRODUCT(--ISNUMBER(FIND(MID($B68,{1,2,3,4,5,6,7,8,9,10,11},1),"0123456789")))=11),1,0))</f>
        <v/>
      </c>
      <c r="G68">
        <f>IF($F68=1,VALUE(MID($B68,4,7)),"")</f>
        <v/>
      </c>
      <c r="H68">
        <f>IF($F68=1,MOD($G68,7),"")</f>
        <v/>
      </c>
    </row>
    <row r="69">
      <c r="A69" s="6" t="n"/>
      <c r="B69" s="7">
        <f>IF($A69="","",SUBSTITUTE(SUBSTITUTE(SUBSTITUTE(SUBSTITUTE($A69," ",""),"-",""),".",""),"/",""))</f>
        <v/>
      </c>
      <c r="C69" s="8">
        <f>IF($F69=1,$H69,"")</f>
        <v/>
      </c>
      <c r="D69" s="7">
        <f>IF($A69="","",IF($F69=0,"Biçim hatalı",IF(FIND(MID($B69,11,1),"0123456789")-1=$H69,"Geçerli","Kontrol hanesi hatalı (doğrusu: "&amp;$H69&amp;")")))</f>
        <v/>
      </c>
      <c r="F69">
        <f>IF($A69="","",IF(AND(LEN($B69)=11,SUMPRODUCT(--ISNUMBER(FIND(MID($B69,{1,2,3,4,5,6,7,8,9,10,11},1),"0123456789")))=11),1,0))</f>
        <v/>
      </c>
      <c r="G69">
        <f>IF($F69=1,VALUE(MID($B69,4,7)),"")</f>
        <v/>
      </c>
      <c r="H69">
        <f>IF($F69=1,MOD($G69,7),"")</f>
        <v/>
      </c>
    </row>
    <row r="70">
      <c r="A70" s="6" t="n"/>
      <c r="B70" s="7">
        <f>IF($A70="","",SUBSTITUTE(SUBSTITUTE(SUBSTITUTE(SUBSTITUTE($A70," ",""),"-",""),".",""),"/",""))</f>
        <v/>
      </c>
      <c r="C70" s="8">
        <f>IF($F70=1,$H70,"")</f>
        <v/>
      </c>
      <c r="D70" s="7">
        <f>IF($A70="","",IF($F70=0,"Biçim hatalı",IF(FIND(MID($B70,11,1),"0123456789")-1=$H70,"Geçerli","Kontrol hanesi hatalı (doğrusu: "&amp;$H70&amp;")")))</f>
        <v/>
      </c>
      <c r="F70">
        <f>IF($A70="","",IF(AND(LEN($B70)=11,SUMPRODUCT(--ISNUMBER(FIND(MID($B70,{1,2,3,4,5,6,7,8,9,10,11},1),"0123456789")))=11),1,0))</f>
        <v/>
      </c>
      <c r="G70">
        <f>IF($F70=1,VALUE(MID($B70,4,7)),"")</f>
        <v/>
      </c>
      <c r="H70">
        <f>IF($F70=1,MOD($G70,7),"")</f>
        <v/>
      </c>
    </row>
    <row r="71">
      <c r="A71" s="6" t="n"/>
      <c r="B71" s="7">
        <f>IF($A71="","",SUBSTITUTE(SUBSTITUTE(SUBSTITUTE(SUBSTITUTE($A71," ",""),"-",""),".",""),"/",""))</f>
        <v/>
      </c>
      <c r="C71" s="8">
        <f>IF($F71=1,$H71,"")</f>
        <v/>
      </c>
      <c r="D71" s="7">
        <f>IF($A71="","",IF($F71=0,"Biçim hatalı",IF(FIND(MID($B71,11,1),"0123456789")-1=$H71,"Geçerli","Kontrol hanesi hatalı (doğrusu: "&amp;$H71&amp;")")))</f>
        <v/>
      </c>
      <c r="F71">
        <f>IF($A71="","",IF(AND(LEN($B71)=11,SUMPRODUCT(--ISNUMBER(FIND(MID($B71,{1,2,3,4,5,6,7,8,9,10,11},1),"0123456789")))=11),1,0))</f>
        <v/>
      </c>
      <c r="G71">
        <f>IF($F71=1,VALUE(MID($B71,4,7)),"")</f>
        <v/>
      </c>
      <c r="H71">
        <f>IF($F71=1,MOD($G71,7),"")</f>
        <v/>
      </c>
    </row>
    <row r="72">
      <c r="A72" s="6" t="n"/>
      <c r="B72" s="7">
        <f>IF($A72="","",SUBSTITUTE(SUBSTITUTE(SUBSTITUTE(SUBSTITUTE($A72," ",""),"-",""),".",""),"/",""))</f>
        <v/>
      </c>
      <c r="C72" s="8">
        <f>IF($F72=1,$H72,"")</f>
        <v/>
      </c>
      <c r="D72" s="7">
        <f>IF($A72="","",IF($F72=0,"Biçim hatalı",IF(FIND(MID($B72,11,1),"0123456789")-1=$H72,"Geçerli","Kontrol hanesi hatalı (doğrusu: "&amp;$H72&amp;")")))</f>
        <v/>
      </c>
      <c r="F72">
        <f>IF($A72="","",IF(AND(LEN($B72)=11,SUMPRODUCT(--ISNUMBER(FIND(MID($B72,{1,2,3,4,5,6,7,8,9,10,11},1),"0123456789")))=11),1,0))</f>
        <v/>
      </c>
      <c r="G72">
        <f>IF($F72=1,VALUE(MID($B72,4,7)),"")</f>
        <v/>
      </c>
      <c r="H72">
        <f>IF($F72=1,MOD($G72,7),"")</f>
        <v/>
      </c>
    </row>
    <row r="73">
      <c r="A73" s="6" t="n"/>
      <c r="B73" s="7">
        <f>IF($A73="","",SUBSTITUTE(SUBSTITUTE(SUBSTITUTE(SUBSTITUTE($A73," ",""),"-",""),".",""),"/",""))</f>
        <v/>
      </c>
      <c r="C73" s="8">
        <f>IF($F73=1,$H73,"")</f>
        <v/>
      </c>
      <c r="D73" s="7">
        <f>IF($A73="","",IF($F73=0,"Biçim hatalı",IF(FIND(MID($B73,11,1),"0123456789")-1=$H73,"Geçerli","Kontrol hanesi hatalı (doğrusu: "&amp;$H73&amp;")")))</f>
        <v/>
      </c>
      <c r="F73">
        <f>IF($A73="","",IF(AND(LEN($B73)=11,SUMPRODUCT(--ISNUMBER(FIND(MID($B73,{1,2,3,4,5,6,7,8,9,10,11},1),"0123456789")))=11),1,0))</f>
        <v/>
      </c>
      <c r="G73">
        <f>IF($F73=1,VALUE(MID($B73,4,7)),"")</f>
        <v/>
      </c>
      <c r="H73">
        <f>IF($F73=1,MOD($G73,7),"")</f>
        <v/>
      </c>
    </row>
    <row r="74">
      <c r="A74" s="6" t="n"/>
      <c r="B74" s="7">
        <f>IF($A74="","",SUBSTITUTE(SUBSTITUTE(SUBSTITUTE(SUBSTITUTE($A74," ",""),"-",""),".",""),"/",""))</f>
        <v/>
      </c>
      <c r="C74" s="8">
        <f>IF($F74=1,$H74,"")</f>
        <v/>
      </c>
      <c r="D74" s="7">
        <f>IF($A74="","",IF($F74=0,"Biçim hatalı",IF(FIND(MID($B74,11,1),"0123456789")-1=$H74,"Geçerli","Kontrol hanesi hatalı (doğrusu: "&amp;$H74&amp;")")))</f>
        <v/>
      </c>
      <c r="F74">
        <f>IF($A74="","",IF(AND(LEN($B74)=11,SUMPRODUCT(--ISNUMBER(FIND(MID($B74,{1,2,3,4,5,6,7,8,9,10,11},1),"0123456789")))=11),1,0))</f>
        <v/>
      </c>
      <c r="G74">
        <f>IF($F74=1,VALUE(MID($B74,4,7)),"")</f>
        <v/>
      </c>
      <c r="H74">
        <f>IF($F74=1,MOD($G74,7),"")</f>
        <v/>
      </c>
    </row>
    <row r="75">
      <c r="A75" s="6" t="n"/>
      <c r="B75" s="7">
        <f>IF($A75="","",SUBSTITUTE(SUBSTITUTE(SUBSTITUTE(SUBSTITUTE($A75," ",""),"-",""),".",""),"/",""))</f>
        <v/>
      </c>
      <c r="C75" s="8">
        <f>IF($F75=1,$H75,"")</f>
        <v/>
      </c>
      <c r="D75" s="7">
        <f>IF($A75="","",IF($F75=0,"Biçim hatalı",IF(FIND(MID($B75,11,1),"0123456789")-1=$H75,"Geçerli","Kontrol hanesi hatalı (doğrusu: "&amp;$H75&amp;")")))</f>
        <v/>
      </c>
      <c r="F75">
        <f>IF($A75="","",IF(AND(LEN($B75)=11,SUMPRODUCT(--ISNUMBER(FIND(MID($B75,{1,2,3,4,5,6,7,8,9,10,11},1),"0123456789")))=11),1,0))</f>
        <v/>
      </c>
      <c r="G75">
        <f>IF($F75=1,VALUE(MID($B75,4,7)),"")</f>
        <v/>
      </c>
      <c r="H75">
        <f>IF($F75=1,MOD($G75,7),"")</f>
        <v/>
      </c>
    </row>
    <row r="76">
      <c r="A76" s="6" t="n"/>
      <c r="B76" s="7">
        <f>IF($A76="","",SUBSTITUTE(SUBSTITUTE(SUBSTITUTE(SUBSTITUTE($A76," ",""),"-",""),".",""),"/",""))</f>
        <v/>
      </c>
      <c r="C76" s="8">
        <f>IF($F76=1,$H76,"")</f>
        <v/>
      </c>
      <c r="D76" s="7">
        <f>IF($A76="","",IF($F76=0,"Biçim hatalı",IF(FIND(MID($B76,11,1),"0123456789")-1=$H76,"Geçerli","Kontrol hanesi hatalı (doğrusu: "&amp;$H76&amp;")")))</f>
        <v/>
      </c>
      <c r="F76">
        <f>IF($A76="","",IF(AND(LEN($B76)=11,SUMPRODUCT(--ISNUMBER(FIND(MID($B76,{1,2,3,4,5,6,7,8,9,10,11},1),"0123456789")))=11),1,0))</f>
        <v/>
      </c>
      <c r="G76">
        <f>IF($F76=1,VALUE(MID($B76,4,7)),"")</f>
        <v/>
      </c>
      <c r="H76">
        <f>IF($F76=1,MOD($G76,7),"")</f>
        <v/>
      </c>
    </row>
    <row r="77">
      <c r="A77" s="6" t="n"/>
      <c r="B77" s="7">
        <f>IF($A77="","",SUBSTITUTE(SUBSTITUTE(SUBSTITUTE(SUBSTITUTE($A77," ",""),"-",""),".",""),"/",""))</f>
        <v/>
      </c>
      <c r="C77" s="8">
        <f>IF($F77=1,$H77,"")</f>
        <v/>
      </c>
      <c r="D77" s="7">
        <f>IF($A77="","",IF($F77=0,"Biçim hatalı",IF(FIND(MID($B77,11,1),"0123456789")-1=$H77,"Geçerli","Kontrol hanesi hatalı (doğrusu: "&amp;$H77&amp;")")))</f>
        <v/>
      </c>
      <c r="F77">
        <f>IF($A77="","",IF(AND(LEN($B77)=11,SUMPRODUCT(--ISNUMBER(FIND(MID($B77,{1,2,3,4,5,6,7,8,9,10,11},1),"0123456789")))=11),1,0))</f>
        <v/>
      </c>
      <c r="G77">
        <f>IF($F77=1,VALUE(MID($B77,4,7)),"")</f>
        <v/>
      </c>
      <c r="H77">
        <f>IF($F77=1,MOD($G77,7),"")</f>
        <v/>
      </c>
    </row>
    <row r="78">
      <c r="A78" s="6" t="n"/>
      <c r="B78" s="7">
        <f>IF($A78="","",SUBSTITUTE(SUBSTITUTE(SUBSTITUTE(SUBSTITUTE($A78," ",""),"-",""),".",""),"/",""))</f>
        <v/>
      </c>
      <c r="C78" s="8">
        <f>IF($F78=1,$H78,"")</f>
        <v/>
      </c>
      <c r="D78" s="7">
        <f>IF($A78="","",IF($F78=0,"Biçim hatalı",IF(FIND(MID($B78,11,1),"0123456789")-1=$H78,"Geçerli","Kontrol hanesi hatalı (doğrusu: "&amp;$H78&amp;")")))</f>
        <v/>
      </c>
      <c r="F78">
        <f>IF($A78="","",IF(AND(LEN($B78)=11,SUMPRODUCT(--ISNUMBER(FIND(MID($B78,{1,2,3,4,5,6,7,8,9,10,11},1),"0123456789")))=11),1,0))</f>
        <v/>
      </c>
      <c r="G78">
        <f>IF($F78=1,VALUE(MID($B78,4,7)),"")</f>
        <v/>
      </c>
      <c r="H78">
        <f>IF($F78=1,MOD($G78,7),"")</f>
        <v/>
      </c>
    </row>
    <row r="79">
      <c r="A79" s="6" t="n"/>
      <c r="B79" s="7">
        <f>IF($A79="","",SUBSTITUTE(SUBSTITUTE(SUBSTITUTE(SUBSTITUTE($A79," ",""),"-",""),".",""),"/",""))</f>
        <v/>
      </c>
      <c r="C79" s="8">
        <f>IF($F79=1,$H79,"")</f>
        <v/>
      </c>
      <c r="D79" s="7">
        <f>IF($A79="","",IF($F79=0,"Biçim hatalı",IF(FIND(MID($B79,11,1),"0123456789")-1=$H79,"Geçerli","Kontrol hanesi hatalı (doğrusu: "&amp;$H79&amp;")")))</f>
        <v/>
      </c>
      <c r="F79">
        <f>IF($A79="","",IF(AND(LEN($B79)=11,SUMPRODUCT(--ISNUMBER(FIND(MID($B79,{1,2,3,4,5,6,7,8,9,10,11},1),"0123456789")))=11),1,0))</f>
        <v/>
      </c>
      <c r="G79">
        <f>IF($F79=1,VALUE(MID($B79,4,7)),"")</f>
        <v/>
      </c>
      <c r="H79">
        <f>IF($F79=1,MOD($G79,7),"")</f>
        <v/>
      </c>
    </row>
    <row r="80">
      <c r="A80" s="6" t="n"/>
      <c r="B80" s="7">
        <f>IF($A80="","",SUBSTITUTE(SUBSTITUTE(SUBSTITUTE(SUBSTITUTE($A80," ",""),"-",""),".",""),"/",""))</f>
        <v/>
      </c>
      <c r="C80" s="8">
        <f>IF($F80=1,$H80,"")</f>
        <v/>
      </c>
      <c r="D80" s="7">
        <f>IF($A80="","",IF($F80=0,"Biçim hatalı",IF(FIND(MID($B80,11,1),"0123456789")-1=$H80,"Geçerli","Kontrol hanesi hatalı (doğrusu: "&amp;$H80&amp;")")))</f>
        <v/>
      </c>
      <c r="F80">
        <f>IF($A80="","",IF(AND(LEN($B80)=11,SUMPRODUCT(--ISNUMBER(FIND(MID($B80,{1,2,3,4,5,6,7,8,9,10,11},1),"0123456789")))=11),1,0))</f>
        <v/>
      </c>
      <c r="G80">
        <f>IF($F80=1,VALUE(MID($B80,4,7)),"")</f>
        <v/>
      </c>
      <c r="H80">
        <f>IF($F80=1,MOD($G80,7),"")</f>
        <v/>
      </c>
    </row>
    <row r="81">
      <c r="A81" s="6" t="n"/>
      <c r="B81" s="7">
        <f>IF($A81="","",SUBSTITUTE(SUBSTITUTE(SUBSTITUTE(SUBSTITUTE($A81," ",""),"-",""),".",""),"/",""))</f>
        <v/>
      </c>
      <c r="C81" s="8">
        <f>IF($F81=1,$H81,"")</f>
        <v/>
      </c>
      <c r="D81" s="7">
        <f>IF($A81="","",IF($F81=0,"Biçim hatalı",IF(FIND(MID($B81,11,1),"0123456789")-1=$H81,"Geçerli","Kontrol hanesi hatalı (doğrusu: "&amp;$H81&amp;")")))</f>
        <v/>
      </c>
      <c r="F81">
        <f>IF($A81="","",IF(AND(LEN($B81)=11,SUMPRODUCT(--ISNUMBER(FIND(MID($B81,{1,2,3,4,5,6,7,8,9,10,11},1),"0123456789")))=11),1,0))</f>
        <v/>
      </c>
      <c r="G81">
        <f>IF($F81=1,VALUE(MID($B81,4,7)),"")</f>
        <v/>
      </c>
      <c r="H81">
        <f>IF($F81=1,MOD($G81,7),"")</f>
        <v/>
      </c>
    </row>
    <row r="82">
      <c r="A82" s="6" t="n"/>
      <c r="B82" s="7">
        <f>IF($A82="","",SUBSTITUTE(SUBSTITUTE(SUBSTITUTE(SUBSTITUTE($A82," ",""),"-",""),".",""),"/",""))</f>
        <v/>
      </c>
      <c r="C82" s="8">
        <f>IF($F82=1,$H82,"")</f>
        <v/>
      </c>
      <c r="D82" s="7">
        <f>IF($A82="","",IF($F82=0,"Biçim hatalı",IF(FIND(MID($B82,11,1),"0123456789")-1=$H82,"Geçerli","Kontrol hanesi hatalı (doğrusu: "&amp;$H82&amp;")")))</f>
        <v/>
      </c>
      <c r="F82">
        <f>IF($A82="","",IF(AND(LEN($B82)=11,SUMPRODUCT(--ISNUMBER(FIND(MID($B82,{1,2,3,4,5,6,7,8,9,10,11},1),"0123456789")))=11),1,0))</f>
        <v/>
      </c>
      <c r="G82">
        <f>IF($F82=1,VALUE(MID($B82,4,7)),"")</f>
        <v/>
      </c>
      <c r="H82">
        <f>IF($F82=1,MOD($G82,7),"")</f>
        <v/>
      </c>
    </row>
    <row r="83">
      <c r="A83" s="6" t="n"/>
      <c r="B83" s="7">
        <f>IF($A83="","",SUBSTITUTE(SUBSTITUTE(SUBSTITUTE(SUBSTITUTE($A83," ",""),"-",""),".",""),"/",""))</f>
        <v/>
      </c>
      <c r="C83" s="8">
        <f>IF($F83=1,$H83,"")</f>
        <v/>
      </c>
      <c r="D83" s="7">
        <f>IF($A83="","",IF($F83=0,"Biçim hatalı",IF(FIND(MID($B83,11,1),"0123456789")-1=$H83,"Geçerli","Kontrol hanesi hatalı (doğrusu: "&amp;$H83&amp;")")))</f>
        <v/>
      </c>
      <c r="F83">
        <f>IF($A83="","",IF(AND(LEN($B83)=11,SUMPRODUCT(--ISNUMBER(FIND(MID($B83,{1,2,3,4,5,6,7,8,9,10,11},1),"0123456789")))=11),1,0))</f>
        <v/>
      </c>
      <c r="G83">
        <f>IF($F83=1,VALUE(MID($B83,4,7)),"")</f>
        <v/>
      </c>
      <c r="H83">
        <f>IF($F83=1,MOD($G83,7),"")</f>
        <v/>
      </c>
    </row>
    <row r="84">
      <c r="A84" s="6" t="n"/>
      <c r="B84" s="7">
        <f>IF($A84="","",SUBSTITUTE(SUBSTITUTE(SUBSTITUTE(SUBSTITUTE($A84," ",""),"-",""),".",""),"/",""))</f>
        <v/>
      </c>
      <c r="C84" s="8">
        <f>IF($F84=1,$H84,"")</f>
        <v/>
      </c>
      <c r="D84" s="7">
        <f>IF($A84="","",IF($F84=0,"Biçim hatalı",IF(FIND(MID($B84,11,1),"0123456789")-1=$H84,"Geçerli","Kontrol hanesi hatalı (doğrusu: "&amp;$H84&amp;")")))</f>
        <v/>
      </c>
      <c r="F84">
        <f>IF($A84="","",IF(AND(LEN($B84)=11,SUMPRODUCT(--ISNUMBER(FIND(MID($B84,{1,2,3,4,5,6,7,8,9,10,11},1),"0123456789")))=11),1,0))</f>
        <v/>
      </c>
      <c r="G84">
        <f>IF($F84=1,VALUE(MID($B84,4,7)),"")</f>
        <v/>
      </c>
      <c r="H84">
        <f>IF($F84=1,MOD($G84,7),"")</f>
        <v/>
      </c>
    </row>
    <row r="85">
      <c r="A85" s="6" t="n"/>
      <c r="B85" s="7">
        <f>IF($A85="","",SUBSTITUTE(SUBSTITUTE(SUBSTITUTE(SUBSTITUTE($A85," ",""),"-",""),".",""),"/",""))</f>
        <v/>
      </c>
      <c r="C85" s="8">
        <f>IF($F85=1,$H85,"")</f>
        <v/>
      </c>
      <c r="D85" s="7">
        <f>IF($A85="","",IF($F85=0,"Biçim hatalı",IF(FIND(MID($B85,11,1),"0123456789")-1=$H85,"Geçerli","Kontrol hanesi hatalı (doğrusu: "&amp;$H85&amp;")")))</f>
        <v/>
      </c>
      <c r="F85">
        <f>IF($A85="","",IF(AND(LEN($B85)=11,SUMPRODUCT(--ISNUMBER(FIND(MID($B85,{1,2,3,4,5,6,7,8,9,10,11},1),"0123456789")))=11),1,0))</f>
        <v/>
      </c>
      <c r="G85">
        <f>IF($F85=1,VALUE(MID($B85,4,7)),"")</f>
        <v/>
      </c>
      <c r="H85">
        <f>IF($F85=1,MOD($G85,7),"")</f>
        <v/>
      </c>
    </row>
    <row r="86">
      <c r="A86" s="6" t="n"/>
      <c r="B86" s="7">
        <f>IF($A86="","",SUBSTITUTE(SUBSTITUTE(SUBSTITUTE(SUBSTITUTE($A86," ",""),"-",""),".",""),"/",""))</f>
        <v/>
      </c>
      <c r="C86" s="8">
        <f>IF($F86=1,$H86,"")</f>
        <v/>
      </c>
      <c r="D86" s="7">
        <f>IF($A86="","",IF($F86=0,"Biçim hatalı",IF(FIND(MID($B86,11,1),"0123456789")-1=$H86,"Geçerli","Kontrol hanesi hatalı (doğrusu: "&amp;$H86&amp;")")))</f>
        <v/>
      </c>
      <c r="F86">
        <f>IF($A86="","",IF(AND(LEN($B86)=11,SUMPRODUCT(--ISNUMBER(FIND(MID($B86,{1,2,3,4,5,6,7,8,9,10,11},1),"0123456789")))=11),1,0))</f>
        <v/>
      </c>
      <c r="G86">
        <f>IF($F86=1,VALUE(MID($B86,4,7)),"")</f>
        <v/>
      </c>
      <c r="H86">
        <f>IF($F86=1,MOD($G86,7),"")</f>
        <v/>
      </c>
    </row>
    <row r="87">
      <c r="A87" s="6" t="n"/>
      <c r="B87" s="7">
        <f>IF($A87="","",SUBSTITUTE(SUBSTITUTE(SUBSTITUTE(SUBSTITUTE($A87," ",""),"-",""),".",""),"/",""))</f>
        <v/>
      </c>
      <c r="C87" s="8">
        <f>IF($F87=1,$H87,"")</f>
        <v/>
      </c>
      <c r="D87" s="7">
        <f>IF($A87="","",IF($F87=0,"Biçim hatalı",IF(FIND(MID($B87,11,1),"0123456789")-1=$H87,"Geçerli","Kontrol hanesi hatalı (doğrusu: "&amp;$H87&amp;")")))</f>
        <v/>
      </c>
      <c r="F87">
        <f>IF($A87="","",IF(AND(LEN($B87)=11,SUMPRODUCT(--ISNUMBER(FIND(MID($B87,{1,2,3,4,5,6,7,8,9,10,11},1),"0123456789")))=11),1,0))</f>
        <v/>
      </c>
      <c r="G87">
        <f>IF($F87=1,VALUE(MID($B87,4,7)),"")</f>
        <v/>
      </c>
      <c r="H87">
        <f>IF($F87=1,MOD($G87,7),"")</f>
        <v/>
      </c>
    </row>
    <row r="88">
      <c r="A88" s="6" t="n"/>
      <c r="B88" s="7">
        <f>IF($A88="","",SUBSTITUTE(SUBSTITUTE(SUBSTITUTE(SUBSTITUTE($A88," ",""),"-",""),".",""),"/",""))</f>
        <v/>
      </c>
      <c r="C88" s="8">
        <f>IF($F88=1,$H88,"")</f>
        <v/>
      </c>
      <c r="D88" s="7">
        <f>IF($A88="","",IF($F88=0,"Biçim hatalı",IF(FIND(MID($B88,11,1),"0123456789")-1=$H88,"Geçerli","Kontrol hanesi hatalı (doğrusu: "&amp;$H88&amp;")")))</f>
        <v/>
      </c>
      <c r="F88">
        <f>IF($A88="","",IF(AND(LEN($B88)=11,SUMPRODUCT(--ISNUMBER(FIND(MID($B88,{1,2,3,4,5,6,7,8,9,10,11},1),"0123456789")))=11),1,0))</f>
        <v/>
      </c>
      <c r="G88">
        <f>IF($F88=1,VALUE(MID($B88,4,7)),"")</f>
        <v/>
      </c>
      <c r="H88">
        <f>IF($F88=1,MOD($G88,7),"")</f>
        <v/>
      </c>
    </row>
    <row r="89">
      <c r="A89" s="6" t="n"/>
      <c r="B89" s="7">
        <f>IF($A89="","",SUBSTITUTE(SUBSTITUTE(SUBSTITUTE(SUBSTITUTE($A89," ",""),"-",""),".",""),"/",""))</f>
        <v/>
      </c>
      <c r="C89" s="8">
        <f>IF($F89=1,$H89,"")</f>
        <v/>
      </c>
      <c r="D89" s="7">
        <f>IF($A89="","",IF($F89=0,"Biçim hatalı",IF(FIND(MID($B89,11,1),"0123456789")-1=$H89,"Geçerli","Kontrol hanesi hatalı (doğrusu: "&amp;$H89&amp;")")))</f>
        <v/>
      </c>
      <c r="F89">
        <f>IF($A89="","",IF(AND(LEN($B89)=11,SUMPRODUCT(--ISNUMBER(FIND(MID($B89,{1,2,3,4,5,6,7,8,9,10,11},1),"0123456789")))=11),1,0))</f>
        <v/>
      </c>
      <c r="G89">
        <f>IF($F89=1,VALUE(MID($B89,4,7)),"")</f>
        <v/>
      </c>
      <c r="H89">
        <f>IF($F89=1,MOD($G89,7),"")</f>
        <v/>
      </c>
    </row>
    <row r="90">
      <c r="A90" s="6" t="n"/>
      <c r="B90" s="7">
        <f>IF($A90="","",SUBSTITUTE(SUBSTITUTE(SUBSTITUTE(SUBSTITUTE($A90," ",""),"-",""),".",""),"/",""))</f>
        <v/>
      </c>
      <c r="C90" s="8">
        <f>IF($F90=1,$H90,"")</f>
        <v/>
      </c>
      <c r="D90" s="7">
        <f>IF($A90="","",IF($F90=0,"Biçim hatalı",IF(FIND(MID($B90,11,1),"0123456789")-1=$H90,"Geçerli","Kontrol hanesi hatalı (doğrusu: "&amp;$H90&amp;")")))</f>
        <v/>
      </c>
      <c r="F90">
        <f>IF($A90="","",IF(AND(LEN($B90)=11,SUMPRODUCT(--ISNUMBER(FIND(MID($B90,{1,2,3,4,5,6,7,8,9,10,11},1),"0123456789")))=11),1,0))</f>
        <v/>
      </c>
      <c r="G90">
        <f>IF($F90=1,VALUE(MID($B90,4,7)),"")</f>
        <v/>
      </c>
      <c r="H90">
        <f>IF($F90=1,MOD($G90,7),"")</f>
        <v/>
      </c>
    </row>
    <row r="91">
      <c r="A91" s="6" t="n"/>
      <c r="B91" s="7">
        <f>IF($A91="","",SUBSTITUTE(SUBSTITUTE(SUBSTITUTE(SUBSTITUTE($A91," ",""),"-",""),".",""),"/",""))</f>
        <v/>
      </c>
      <c r="C91" s="8">
        <f>IF($F91=1,$H91,"")</f>
        <v/>
      </c>
      <c r="D91" s="7">
        <f>IF($A91="","",IF($F91=0,"Biçim hatalı",IF(FIND(MID($B91,11,1),"0123456789")-1=$H91,"Geçerli","Kontrol hanesi hatalı (doğrusu: "&amp;$H91&amp;")")))</f>
        <v/>
      </c>
      <c r="F91">
        <f>IF($A91="","",IF(AND(LEN($B91)=11,SUMPRODUCT(--ISNUMBER(FIND(MID($B91,{1,2,3,4,5,6,7,8,9,10,11},1),"0123456789")))=11),1,0))</f>
        <v/>
      </c>
      <c r="G91">
        <f>IF($F91=1,VALUE(MID($B91,4,7)),"")</f>
        <v/>
      </c>
      <c r="H91">
        <f>IF($F91=1,MOD($G91,7),"")</f>
        <v/>
      </c>
    </row>
    <row r="92">
      <c r="A92" s="6" t="n"/>
      <c r="B92" s="7">
        <f>IF($A92="","",SUBSTITUTE(SUBSTITUTE(SUBSTITUTE(SUBSTITUTE($A92," ",""),"-",""),".",""),"/",""))</f>
        <v/>
      </c>
      <c r="C92" s="8">
        <f>IF($F92=1,$H92,"")</f>
        <v/>
      </c>
      <c r="D92" s="7">
        <f>IF($A92="","",IF($F92=0,"Biçim hatalı",IF(FIND(MID($B92,11,1),"0123456789")-1=$H92,"Geçerli","Kontrol hanesi hatalı (doğrusu: "&amp;$H92&amp;")")))</f>
        <v/>
      </c>
      <c r="F92">
        <f>IF($A92="","",IF(AND(LEN($B92)=11,SUMPRODUCT(--ISNUMBER(FIND(MID($B92,{1,2,3,4,5,6,7,8,9,10,11},1),"0123456789")))=11),1,0))</f>
        <v/>
      </c>
      <c r="G92">
        <f>IF($F92=1,VALUE(MID($B92,4,7)),"")</f>
        <v/>
      </c>
      <c r="H92">
        <f>IF($F92=1,MOD($G92,7),"")</f>
        <v/>
      </c>
    </row>
    <row r="93">
      <c r="A93" s="6" t="n"/>
      <c r="B93" s="7">
        <f>IF($A93="","",SUBSTITUTE(SUBSTITUTE(SUBSTITUTE(SUBSTITUTE($A93," ",""),"-",""),".",""),"/",""))</f>
        <v/>
      </c>
      <c r="C93" s="8">
        <f>IF($F93=1,$H93,"")</f>
        <v/>
      </c>
      <c r="D93" s="7">
        <f>IF($A93="","",IF($F93=0,"Biçim hatalı",IF(FIND(MID($B93,11,1),"0123456789")-1=$H93,"Geçerli","Kontrol hanesi hatalı (doğrusu: "&amp;$H93&amp;")")))</f>
        <v/>
      </c>
      <c r="F93">
        <f>IF($A93="","",IF(AND(LEN($B93)=11,SUMPRODUCT(--ISNUMBER(FIND(MID($B93,{1,2,3,4,5,6,7,8,9,10,11},1),"0123456789")))=11),1,0))</f>
        <v/>
      </c>
      <c r="G93">
        <f>IF($F93=1,VALUE(MID($B93,4,7)),"")</f>
        <v/>
      </c>
      <c r="H93">
        <f>IF($F93=1,MOD($G93,7),"")</f>
        <v/>
      </c>
    </row>
    <row r="94">
      <c r="A94" s="6" t="n"/>
      <c r="B94" s="7">
        <f>IF($A94="","",SUBSTITUTE(SUBSTITUTE(SUBSTITUTE(SUBSTITUTE($A94," ",""),"-",""),".",""),"/",""))</f>
        <v/>
      </c>
      <c r="C94" s="8">
        <f>IF($F94=1,$H94,"")</f>
        <v/>
      </c>
      <c r="D94" s="7">
        <f>IF($A94="","",IF($F94=0,"Biçim hatalı",IF(FIND(MID($B94,11,1),"0123456789")-1=$H94,"Geçerli","Kontrol hanesi hatalı (doğrusu: "&amp;$H94&amp;")")))</f>
        <v/>
      </c>
      <c r="F94">
        <f>IF($A94="","",IF(AND(LEN($B94)=11,SUMPRODUCT(--ISNUMBER(FIND(MID($B94,{1,2,3,4,5,6,7,8,9,10,11},1),"0123456789")))=11),1,0))</f>
        <v/>
      </c>
      <c r="G94">
        <f>IF($F94=1,VALUE(MID($B94,4,7)),"")</f>
        <v/>
      </c>
      <c r="H94">
        <f>IF($F94=1,MOD($G94,7),"")</f>
        <v/>
      </c>
    </row>
    <row r="95">
      <c r="A95" s="6" t="n"/>
      <c r="B95" s="7">
        <f>IF($A95="","",SUBSTITUTE(SUBSTITUTE(SUBSTITUTE(SUBSTITUTE($A95," ",""),"-",""),".",""),"/",""))</f>
        <v/>
      </c>
      <c r="C95" s="8">
        <f>IF($F95=1,$H95,"")</f>
        <v/>
      </c>
      <c r="D95" s="7">
        <f>IF($A95="","",IF($F95=0,"Biçim hatalı",IF(FIND(MID($B95,11,1),"0123456789")-1=$H95,"Geçerli","Kontrol hanesi hatalı (doğrusu: "&amp;$H95&amp;")")))</f>
        <v/>
      </c>
      <c r="F95">
        <f>IF($A95="","",IF(AND(LEN($B95)=11,SUMPRODUCT(--ISNUMBER(FIND(MID($B95,{1,2,3,4,5,6,7,8,9,10,11},1),"0123456789")))=11),1,0))</f>
        <v/>
      </c>
      <c r="G95">
        <f>IF($F95=1,VALUE(MID($B95,4,7)),"")</f>
        <v/>
      </c>
      <c r="H95">
        <f>IF($F95=1,MOD($G95,7),"")</f>
        <v/>
      </c>
    </row>
    <row r="96">
      <c r="A96" s="6" t="n"/>
      <c r="B96" s="7">
        <f>IF($A96="","",SUBSTITUTE(SUBSTITUTE(SUBSTITUTE(SUBSTITUTE($A96," ",""),"-",""),".",""),"/",""))</f>
        <v/>
      </c>
      <c r="C96" s="8">
        <f>IF($F96=1,$H96,"")</f>
        <v/>
      </c>
      <c r="D96" s="7">
        <f>IF($A96="","",IF($F96=0,"Biçim hatalı",IF(FIND(MID($B96,11,1),"0123456789")-1=$H96,"Geçerli","Kontrol hanesi hatalı (doğrusu: "&amp;$H96&amp;")")))</f>
        <v/>
      </c>
      <c r="F96">
        <f>IF($A96="","",IF(AND(LEN($B96)=11,SUMPRODUCT(--ISNUMBER(FIND(MID($B96,{1,2,3,4,5,6,7,8,9,10,11},1),"0123456789")))=11),1,0))</f>
        <v/>
      </c>
      <c r="G96">
        <f>IF($F96=1,VALUE(MID($B96,4,7)),"")</f>
        <v/>
      </c>
      <c r="H96">
        <f>IF($F96=1,MOD($G96,7),"")</f>
        <v/>
      </c>
    </row>
    <row r="97">
      <c r="A97" s="6" t="n"/>
      <c r="B97" s="7">
        <f>IF($A97="","",SUBSTITUTE(SUBSTITUTE(SUBSTITUTE(SUBSTITUTE($A97," ",""),"-",""),".",""),"/",""))</f>
        <v/>
      </c>
      <c r="C97" s="8">
        <f>IF($F97=1,$H97,"")</f>
        <v/>
      </c>
      <c r="D97" s="7">
        <f>IF($A97="","",IF($F97=0,"Biçim hatalı",IF(FIND(MID($B97,11,1),"0123456789")-1=$H97,"Geçerli","Kontrol hanesi hatalı (doğrusu: "&amp;$H97&amp;")")))</f>
        <v/>
      </c>
      <c r="F97">
        <f>IF($A97="","",IF(AND(LEN($B97)=11,SUMPRODUCT(--ISNUMBER(FIND(MID($B97,{1,2,3,4,5,6,7,8,9,10,11},1),"0123456789")))=11),1,0))</f>
        <v/>
      </c>
      <c r="G97">
        <f>IF($F97=1,VALUE(MID($B97,4,7)),"")</f>
        <v/>
      </c>
      <c r="H97">
        <f>IF($F97=1,MOD($G97,7),"")</f>
        <v/>
      </c>
    </row>
    <row r="98">
      <c r="A98" s="6" t="n"/>
      <c r="B98" s="7">
        <f>IF($A98="","",SUBSTITUTE(SUBSTITUTE(SUBSTITUTE(SUBSTITUTE($A98," ",""),"-",""),".",""),"/",""))</f>
        <v/>
      </c>
      <c r="C98" s="8">
        <f>IF($F98=1,$H98,"")</f>
        <v/>
      </c>
      <c r="D98" s="7">
        <f>IF($A98="","",IF($F98=0,"Biçim hatalı",IF(FIND(MID($B98,11,1),"0123456789")-1=$H98,"Geçerli","Kontrol hanesi hatalı (doğrusu: "&amp;$H98&amp;")")))</f>
        <v/>
      </c>
      <c r="F98">
        <f>IF($A98="","",IF(AND(LEN($B98)=11,SUMPRODUCT(--ISNUMBER(FIND(MID($B98,{1,2,3,4,5,6,7,8,9,10,11},1),"0123456789")))=11),1,0))</f>
        <v/>
      </c>
      <c r="G98">
        <f>IF($F98=1,VALUE(MID($B98,4,7)),"")</f>
        <v/>
      </c>
      <c r="H98">
        <f>IF($F98=1,MOD($G98,7),"")</f>
        <v/>
      </c>
    </row>
    <row r="99">
      <c r="A99" s="6" t="n"/>
      <c r="B99" s="7">
        <f>IF($A99="","",SUBSTITUTE(SUBSTITUTE(SUBSTITUTE(SUBSTITUTE($A99," ",""),"-",""),".",""),"/",""))</f>
        <v/>
      </c>
      <c r="C99" s="8">
        <f>IF($F99=1,$H99,"")</f>
        <v/>
      </c>
      <c r="D99" s="7">
        <f>IF($A99="","",IF($F99=0,"Biçim hatalı",IF(FIND(MID($B99,11,1),"0123456789")-1=$H99,"Geçerli","Kontrol hanesi hatalı (doğrusu: "&amp;$H99&amp;")")))</f>
        <v/>
      </c>
      <c r="F99">
        <f>IF($A99="","",IF(AND(LEN($B99)=11,SUMPRODUCT(--ISNUMBER(FIND(MID($B99,{1,2,3,4,5,6,7,8,9,10,11},1),"0123456789")))=11),1,0))</f>
        <v/>
      </c>
      <c r="G99">
        <f>IF($F99=1,VALUE(MID($B99,4,7)),"")</f>
        <v/>
      </c>
      <c r="H99">
        <f>IF($F99=1,MOD($G99,7),"")</f>
        <v/>
      </c>
    </row>
    <row r="100">
      <c r="A100" s="6" t="n"/>
      <c r="B100" s="7">
        <f>IF($A100="","",SUBSTITUTE(SUBSTITUTE(SUBSTITUTE(SUBSTITUTE($A100," ",""),"-",""),".",""),"/",""))</f>
        <v/>
      </c>
      <c r="C100" s="8">
        <f>IF($F100=1,$H100,"")</f>
        <v/>
      </c>
      <c r="D100" s="7">
        <f>IF($A100="","",IF($F100=0,"Biçim hatalı",IF(FIND(MID($B100,11,1),"0123456789")-1=$H100,"Geçerli","Kontrol hanesi hatalı (doğrusu: "&amp;$H100&amp;")")))</f>
        <v/>
      </c>
      <c r="F100">
        <f>IF($A100="","",IF(AND(LEN($B100)=11,SUMPRODUCT(--ISNUMBER(FIND(MID($B100,{1,2,3,4,5,6,7,8,9,10,11},1),"0123456789")))=11),1,0))</f>
        <v/>
      </c>
      <c r="G100">
        <f>IF($F100=1,VALUE(MID($B100,4,7)),"")</f>
        <v/>
      </c>
      <c r="H100">
        <f>IF($F100=1,MOD($G100,7),"")</f>
        <v/>
      </c>
    </row>
    <row r="101">
      <c r="A101" s="6" t="n"/>
      <c r="B101" s="7">
        <f>IF($A101="","",SUBSTITUTE(SUBSTITUTE(SUBSTITUTE(SUBSTITUTE($A101," ",""),"-",""),".",""),"/",""))</f>
        <v/>
      </c>
      <c r="C101" s="8">
        <f>IF($F101=1,$H101,"")</f>
        <v/>
      </c>
      <c r="D101" s="7">
        <f>IF($A101="","",IF($F101=0,"Biçim hatalı",IF(FIND(MID($B101,11,1),"0123456789")-1=$H101,"Geçerli","Kontrol hanesi hatalı (doğrusu: "&amp;$H101&amp;")")))</f>
        <v/>
      </c>
      <c r="F101">
        <f>IF($A101="","",IF(AND(LEN($B101)=11,SUMPRODUCT(--ISNUMBER(FIND(MID($B101,{1,2,3,4,5,6,7,8,9,10,11},1),"0123456789")))=11),1,0))</f>
        <v/>
      </c>
      <c r="G101">
        <f>IF($F101=1,VALUE(MID($B101,4,7)),"")</f>
        <v/>
      </c>
      <c r="H101">
        <f>IF($F101=1,MOD($G101,7),"")</f>
        <v/>
      </c>
    </row>
    <row r="102">
      <c r="A102" s="6" t="n"/>
      <c r="B102" s="7">
        <f>IF($A102="","",SUBSTITUTE(SUBSTITUTE(SUBSTITUTE(SUBSTITUTE($A102," ",""),"-",""),".",""),"/",""))</f>
        <v/>
      </c>
      <c r="C102" s="8">
        <f>IF($F102=1,$H102,"")</f>
        <v/>
      </c>
      <c r="D102" s="7">
        <f>IF($A102="","",IF($F102=0,"Biçim hatalı",IF(FIND(MID($B102,11,1),"0123456789")-1=$H102,"Geçerli","Kontrol hanesi hatalı (doğrusu: "&amp;$H102&amp;")")))</f>
        <v/>
      </c>
      <c r="F102">
        <f>IF($A102="","",IF(AND(LEN($B102)=11,SUMPRODUCT(--ISNUMBER(FIND(MID($B102,{1,2,3,4,5,6,7,8,9,10,11},1),"0123456789")))=11),1,0))</f>
        <v/>
      </c>
      <c r="G102">
        <f>IF($F102=1,VALUE(MID($B102,4,7)),"")</f>
        <v/>
      </c>
      <c r="H102">
        <f>IF($F102=1,MOD($G102,7),"")</f>
        <v/>
      </c>
    </row>
    <row r="103">
      <c r="A103" s="6" t="n"/>
      <c r="B103" s="7">
        <f>IF($A103="","",SUBSTITUTE(SUBSTITUTE(SUBSTITUTE(SUBSTITUTE($A103," ",""),"-",""),".",""),"/",""))</f>
        <v/>
      </c>
      <c r="C103" s="8">
        <f>IF($F103=1,$H103,"")</f>
        <v/>
      </c>
      <c r="D103" s="7">
        <f>IF($A103="","",IF($F103=0,"Biçim hatalı",IF(FIND(MID($B103,11,1),"0123456789")-1=$H103,"Geçerli","Kontrol hanesi hatalı (doğrusu: "&amp;$H103&amp;")")))</f>
        <v/>
      </c>
      <c r="F103">
        <f>IF($A103="","",IF(AND(LEN($B103)=11,SUMPRODUCT(--ISNUMBER(FIND(MID($B103,{1,2,3,4,5,6,7,8,9,10,11},1),"0123456789")))=11),1,0))</f>
        <v/>
      </c>
      <c r="G103">
        <f>IF($F103=1,VALUE(MID($B103,4,7)),"")</f>
        <v/>
      </c>
      <c r="H103">
        <f>IF($F103=1,MOD($G103,7),"")</f>
        <v/>
      </c>
    </row>
    <row r="104">
      <c r="A104" s="6" t="n"/>
      <c r="B104" s="7">
        <f>IF($A104="","",SUBSTITUTE(SUBSTITUTE(SUBSTITUTE(SUBSTITUTE($A104," ",""),"-",""),".",""),"/",""))</f>
        <v/>
      </c>
      <c r="C104" s="8">
        <f>IF($F104=1,$H104,"")</f>
        <v/>
      </c>
      <c r="D104" s="7">
        <f>IF($A104="","",IF($F104=0,"Biçim hatalı",IF(FIND(MID($B104,11,1),"0123456789")-1=$H104,"Geçerli","Kontrol hanesi hatalı (doğrusu: "&amp;$H104&amp;")")))</f>
        <v/>
      </c>
      <c r="F104">
        <f>IF($A104="","",IF(AND(LEN($B104)=11,SUMPRODUCT(--ISNUMBER(FIND(MID($B104,{1,2,3,4,5,6,7,8,9,10,11},1),"0123456789")))=11),1,0))</f>
        <v/>
      </c>
      <c r="G104">
        <f>IF($F104=1,VALUE(MID($B104,4,7)),"")</f>
        <v/>
      </c>
      <c r="H104">
        <f>IF($F104=1,MOD($G104,7),"")</f>
        <v/>
      </c>
    </row>
    <row r="105">
      <c r="A105" s="6" t="n"/>
      <c r="B105" s="7">
        <f>IF($A105="","",SUBSTITUTE(SUBSTITUTE(SUBSTITUTE(SUBSTITUTE($A105," ",""),"-",""),".",""),"/",""))</f>
        <v/>
      </c>
      <c r="C105" s="8">
        <f>IF($F105=1,$H105,"")</f>
        <v/>
      </c>
      <c r="D105" s="7">
        <f>IF($A105="","",IF($F105=0,"Biçim hatalı",IF(FIND(MID($B105,11,1),"0123456789")-1=$H105,"Geçerli","Kontrol hanesi hatalı (doğrusu: "&amp;$H105&amp;")")))</f>
        <v/>
      </c>
      <c r="F105">
        <f>IF($A105="","",IF(AND(LEN($B105)=11,SUMPRODUCT(--ISNUMBER(FIND(MID($B105,{1,2,3,4,5,6,7,8,9,10,11},1),"0123456789")))=11),1,0))</f>
        <v/>
      </c>
      <c r="G105">
        <f>IF($F105=1,VALUE(MID($B105,4,7)),"")</f>
        <v/>
      </c>
      <c r="H105">
        <f>IF($F105=1,MOD($G105,7),"")</f>
        <v/>
      </c>
    </row>
    <row r="106">
      <c r="A106" s="6" t="n"/>
      <c r="B106" s="7">
        <f>IF($A106="","",SUBSTITUTE(SUBSTITUTE(SUBSTITUTE(SUBSTITUTE($A106," ",""),"-",""),".",""),"/",""))</f>
        <v/>
      </c>
      <c r="C106" s="8">
        <f>IF($F106=1,$H106,"")</f>
        <v/>
      </c>
      <c r="D106" s="7">
        <f>IF($A106="","",IF($F106=0,"Biçim hatalı",IF(FIND(MID($B106,11,1),"0123456789")-1=$H106,"Geçerli","Kontrol hanesi hatalı (doğrusu: "&amp;$H106&amp;")")))</f>
        <v/>
      </c>
      <c r="F106">
        <f>IF($A106="","",IF(AND(LEN($B106)=11,SUMPRODUCT(--ISNUMBER(FIND(MID($B106,{1,2,3,4,5,6,7,8,9,10,11},1),"0123456789")))=11),1,0))</f>
        <v/>
      </c>
      <c r="G106">
        <f>IF($F106=1,VALUE(MID($B106,4,7)),"")</f>
        <v/>
      </c>
      <c r="H106">
        <f>IF($F106=1,MOD($G106,7),"")</f>
        <v/>
      </c>
    </row>
    <row r="107">
      <c r="A107" s="6" t="n"/>
      <c r="B107" s="7">
        <f>IF($A107="","",SUBSTITUTE(SUBSTITUTE(SUBSTITUTE(SUBSTITUTE($A107," ",""),"-",""),".",""),"/",""))</f>
        <v/>
      </c>
      <c r="C107" s="8">
        <f>IF($F107=1,$H107,"")</f>
        <v/>
      </c>
      <c r="D107" s="7">
        <f>IF($A107="","",IF($F107=0,"Biçim hatalı",IF(FIND(MID($B107,11,1),"0123456789")-1=$H107,"Geçerli","Kontrol hanesi hatalı (doğrusu: "&amp;$H107&amp;")")))</f>
        <v/>
      </c>
      <c r="F107">
        <f>IF($A107="","",IF(AND(LEN($B107)=11,SUMPRODUCT(--ISNUMBER(FIND(MID($B107,{1,2,3,4,5,6,7,8,9,10,11},1),"0123456789")))=11),1,0))</f>
        <v/>
      </c>
      <c r="G107">
        <f>IF($F107=1,VALUE(MID($B107,4,7)),"")</f>
        <v/>
      </c>
      <c r="H107">
        <f>IF($F107=1,MOD($G107,7),"")</f>
        <v/>
      </c>
    </row>
    <row r="108">
      <c r="A108" s="6" t="n"/>
      <c r="B108" s="7">
        <f>IF($A108="","",SUBSTITUTE(SUBSTITUTE(SUBSTITUTE(SUBSTITUTE($A108," ",""),"-",""),".",""),"/",""))</f>
        <v/>
      </c>
      <c r="C108" s="8">
        <f>IF($F108=1,$H108,"")</f>
        <v/>
      </c>
      <c r="D108" s="7">
        <f>IF($A108="","",IF($F108=0,"Biçim hatalı",IF(FIND(MID($B108,11,1),"0123456789")-1=$H108,"Geçerli","Kontrol hanesi hatalı (doğrusu: "&amp;$H108&amp;")")))</f>
        <v/>
      </c>
      <c r="F108">
        <f>IF($A108="","",IF(AND(LEN($B108)=11,SUMPRODUCT(--ISNUMBER(FIND(MID($B108,{1,2,3,4,5,6,7,8,9,10,11},1),"0123456789")))=11),1,0))</f>
        <v/>
      </c>
      <c r="G108">
        <f>IF($F108=1,VALUE(MID($B108,4,7)),"")</f>
        <v/>
      </c>
      <c r="H108">
        <f>IF($F108=1,MOD($G108,7),"")</f>
        <v/>
      </c>
    </row>
    <row r="109">
      <c r="A109" s="6" t="n"/>
      <c r="B109" s="7">
        <f>IF($A109="","",SUBSTITUTE(SUBSTITUTE(SUBSTITUTE(SUBSTITUTE($A109," ",""),"-",""),".",""),"/",""))</f>
        <v/>
      </c>
      <c r="C109" s="8">
        <f>IF($F109=1,$H109,"")</f>
        <v/>
      </c>
      <c r="D109" s="7">
        <f>IF($A109="","",IF($F109=0,"Biçim hatalı",IF(FIND(MID($B109,11,1),"0123456789")-1=$H109,"Geçerli","Kontrol hanesi hatalı (doğrusu: "&amp;$H109&amp;")")))</f>
        <v/>
      </c>
      <c r="F109">
        <f>IF($A109="","",IF(AND(LEN($B109)=11,SUMPRODUCT(--ISNUMBER(FIND(MID($B109,{1,2,3,4,5,6,7,8,9,10,11},1),"0123456789")))=11),1,0))</f>
        <v/>
      </c>
      <c r="G109">
        <f>IF($F109=1,VALUE(MID($B109,4,7)),"")</f>
        <v/>
      </c>
      <c r="H109">
        <f>IF($F109=1,MOD($G109,7),"")</f>
        <v/>
      </c>
    </row>
    <row r="110">
      <c r="A110" s="6" t="n"/>
      <c r="B110" s="7">
        <f>IF($A110="","",SUBSTITUTE(SUBSTITUTE(SUBSTITUTE(SUBSTITUTE($A110," ",""),"-",""),".",""),"/",""))</f>
        <v/>
      </c>
      <c r="C110" s="8">
        <f>IF($F110=1,$H110,"")</f>
        <v/>
      </c>
      <c r="D110" s="7">
        <f>IF($A110="","",IF($F110=0,"Biçim hatalı",IF(FIND(MID($B110,11,1),"0123456789")-1=$H110,"Geçerli","Kontrol hanesi hatalı (doğrusu: "&amp;$H110&amp;")")))</f>
        <v/>
      </c>
      <c r="F110">
        <f>IF($A110="","",IF(AND(LEN($B110)=11,SUMPRODUCT(--ISNUMBER(FIND(MID($B110,{1,2,3,4,5,6,7,8,9,10,11},1),"0123456789")))=11),1,0))</f>
        <v/>
      </c>
      <c r="G110">
        <f>IF($F110=1,VALUE(MID($B110,4,7)),"")</f>
        <v/>
      </c>
      <c r="H110">
        <f>IF($F110=1,MOD($G110,7),"")</f>
        <v/>
      </c>
    </row>
    <row r="111">
      <c r="A111" s="6" t="n"/>
      <c r="B111" s="7">
        <f>IF($A111="","",SUBSTITUTE(SUBSTITUTE(SUBSTITUTE(SUBSTITUTE($A111," ",""),"-",""),".",""),"/",""))</f>
        <v/>
      </c>
      <c r="C111" s="8">
        <f>IF($F111=1,$H111,"")</f>
        <v/>
      </c>
      <c r="D111" s="7">
        <f>IF($A111="","",IF($F111=0,"Biçim hatalı",IF(FIND(MID($B111,11,1),"0123456789")-1=$H111,"Geçerli","Kontrol hanesi hatalı (doğrusu: "&amp;$H111&amp;")")))</f>
        <v/>
      </c>
      <c r="F111">
        <f>IF($A111="","",IF(AND(LEN($B111)=11,SUMPRODUCT(--ISNUMBER(FIND(MID($B111,{1,2,3,4,5,6,7,8,9,10,11},1),"0123456789")))=11),1,0))</f>
        <v/>
      </c>
      <c r="G111">
        <f>IF($F111=1,VALUE(MID($B111,4,7)),"")</f>
        <v/>
      </c>
      <c r="H111">
        <f>IF($F111=1,MOD($G111,7),"")</f>
        <v/>
      </c>
    </row>
    <row r="112">
      <c r="A112" s="6" t="n"/>
      <c r="B112" s="7">
        <f>IF($A112="","",SUBSTITUTE(SUBSTITUTE(SUBSTITUTE(SUBSTITUTE($A112," ",""),"-",""),".",""),"/",""))</f>
        <v/>
      </c>
      <c r="C112" s="8">
        <f>IF($F112=1,$H112,"")</f>
        <v/>
      </c>
      <c r="D112" s="7">
        <f>IF($A112="","",IF($F112=0,"Biçim hatalı",IF(FIND(MID($B112,11,1),"0123456789")-1=$H112,"Geçerli","Kontrol hanesi hatalı (doğrusu: "&amp;$H112&amp;")")))</f>
        <v/>
      </c>
      <c r="F112">
        <f>IF($A112="","",IF(AND(LEN($B112)=11,SUMPRODUCT(--ISNUMBER(FIND(MID($B112,{1,2,3,4,5,6,7,8,9,10,11},1),"0123456789")))=11),1,0))</f>
        <v/>
      </c>
      <c r="G112">
        <f>IF($F112=1,VALUE(MID($B112,4,7)),"")</f>
        <v/>
      </c>
      <c r="H112">
        <f>IF($F112=1,MOD($G112,7),"")</f>
        <v/>
      </c>
    </row>
    <row r="113">
      <c r="A113" s="6" t="n"/>
      <c r="B113" s="7">
        <f>IF($A113="","",SUBSTITUTE(SUBSTITUTE(SUBSTITUTE(SUBSTITUTE($A113," ",""),"-",""),".",""),"/",""))</f>
        <v/>
      </c>
      <c r="C113" s="8">
        <f>IF($F113=1,$H113,"")</f>
        <v/>
      </c>
      <c r="D113" s="7">
        <f>IF($A113="","",IF($F113=0,"Biçim hatalı",IF(FIND(MID($B113,11,1),"0123456789")-1=$H113,"Geçerli","Kontrol hanesi hatalı (doğrusu: "&amp;$H113&amp;")")))</f>
        <v/>
      </c>
      <c r="F113">
        <f>IF($A113="","",IF(AND(LEN($B113)=11,SUMPRODUCT(--ISNUMBER(FIND(MID($B113,{1,2,3,4,5,6,7,8,9,10,11},1),"0123456789")))=11),1,0))</f>
        <v/>
      </c>
      <c r="G113">
        <f>IF($F113=1,VALUE(MID($B113,4,7)),"")</f>
        <v/>
      </c>
      <c r="H113">
        <f>IF($F113=1,MOD($G113,7),"")</f>
        <v/>
      </c>
    </row>
    <row r="114">
      <c r="A114" s="6" t="n"/>
      <c r="B114" s="7">
        <f>IF($A114="","",SUBSTITUTE(SUBSTITUTE(SUBSTITUTE(SUBSTITUTE($A114," ",""),"-",""),".",""),"/",""))</f>
        <v/>
      </c>
      <c r="C114" s="8">
        <f>IF($F114=1,$H114,"")</f>
        <v/>
      </c>
      <c r="D114" s="7">
        <f>IF($A114="","",IF($F114=0,"Biçim hatalı",IF(FIND(MID($B114,11,1),"0123456789")-1=$H114,"Geçerli","Kontrol hanesi hatalı (doğrusu: "&amp;$H114&amp;")")))</f>
        <v/>
      </c>
      <c r="F114">
        <f>IF($A114="","",IF(AND(LEN($B114)=11,SUMPRODUCT(--ISNUMBER(FIND(MID($B114,{1,2,3,4,5,6,7,8,9,10,11},1),"0123456789")))=11),1,0))</f>
        <v/>
      </c>
      <c r="G114">
        <f>IF($F114=1,VALUE(MID($B114,4,7)),"")</f>
        <v/>
      </c>
      <c r="H114">
        <f>IF($F114=1,MOD($G114,7),"")</f>
        <v/>
      </c>
    </row>
    <row r="115">
      <c r="A115" s="6" t="n"/>
      <c r="B115" s="7">
        <f>IF($A115="","",SUBSTITUTE(SUBSTITUTE(SUBSTITUTE(SUBSTITUTE($A115," ",""),"-",""),".",""),"/",""))</f>
        <v/>
      </c>
      <c r="C115" s="8">
        <f>IF($F115=1,$H115,"")</f>
        <v/>
      </c>
      <c r="D115" s="7">
        <f>IF($A115="","",IF($F115=0,"Biçim hatalı",IF(FIND(MID($B115,11,1),"0123456789")-1=$H115,"Geçerli","Kontrol hanesi hatalı (doğrusu: "&amp;$H115&amp;")")))</f>
        <v/>
      </c>
      <c r="F115">
        <f>IF($A115="","",IF(AND(LEN($B115)=11,SUMPRODUCT(--ISNUMBER(FIND(MID($B115,{1,2,3,4,5,6,7,8,9,10,11},1),"0123456789")))=11),1,0))</f>
        <v/>
      </c>
      <c r="G115">
        <f>IF($F115=1,VALUE(MID($B115,4,7)),"")</f>
        <v/>
      </c>
      <c r="H115">
        <f>IF($F115=1,MOD($G115,7),"")</f>
        <v/>
      </c>
    </row>
    <row r="116">
      <c r="A116" s="6" t="n"/>
      <c r="B116" s="7">
        <f>IF($A116="","",SUBSTITUTE(SUBSTITUTE(SUBSTITUTE(SUBSTITUTE($A116," ",""),"-",""),".",""),"/",""))</f>
        <v/>
      </c>
      <c r="C116" s="8">
        <f>IF($F116=1,$H116,"")</f>
        <v/>
      </c>
      <c r="D116" s="7">
        <f>IF($A116="","",IF($F116=0,"Biçim hatalı",IF(FIND(MID($B116,11,1),"0123456789")-1=$H116,"Geçerli","Kontrol hanesi hatalı (doğrusu: "&amp;$H116&amp;")")))</f>
        <v/>
      </c>
      <c r="F116">
        <f>IF($A116="","",IF(AND(LEN($B116)=11,SUMPRODUCT(--ISNUMBER(FIND(MID($B116,{1,2,3,4,5,6,7,8,9,10,11},1),"0123456789")))=11),1,0))</f>
        <v/>
      </c>
      <c r="G116">
        <f>IF($F116=1,VALUE(MID($B116,4,7)),"")</f>
        <v/>
      </c>
      <c r="H116">
        <f>IF($F116=1,MOD($G116,7),"")</f>
        <v/>
      </c>
    </row>
    <row r="117">
      <c r="A117" s="6" t="n"/>
      <c r="B117" s="7">
        <f>IF($A117="","",SUBSTITUTE(SUBSTITUTE(SUBSTITUTE(SUBSTITUTE($A117," ",""),"-",""),".",""),"/",""))</f>
        <v/>
      </c>
      <c r="C117" s="8">
        <f>IF($F117=1,$H117,"")</f>
        <v/>
      </c>
      <c r="D117" s="7">
        <f>IF($A117="","",IF($F117=0,"Biçim hatalı",IF(FIND(MID($B117,11,1),"0123456789")-1=$H117,"Geçerli","Kontrol hanesi hatalı (doğrusu: "&amp;$H117&amp;")")))</f>
        <v/>
      </c>
      <c r="F117">
        <f>IF($A117="","",IF(AND(LEN($B117)=11,SUMPRODUCT(--ISNUMBER(FIND(MID($B117,{1,2,3,4,5,6,7,8,9,10,11},1),"0123456789")))=11),1,0))</f>
        <v/>
      </c>
      <c r="G117">
        <f>IF($F117=1,VALUE(MID($B117,4,7)),"")</f>
        <v/>
      </c>
      <c r="H117">
        <f>IF($F117=1,MOD($G117,7),"")</f>
        <v/>
      </c>
    </row>
    <row r="118">
      <c r="A118" s="6" t="n"/>
      <c r="B118" s="7">
        <f>IF($A118="","",SUBSTITUTE(SUBSTITUTE(SUBSTITUTE(SUBSTITUTE($A118," ",""),"-",""),".",""),"/",""))</f>
        <v/>
      </c>
      <c r="C118" s="8">
        <f>IF($F118=1,$H118,"")</f>
        <v/>
      </c>
      <c r="D118" s="7">
        <f>IF($A118="","",IF($F118=0,"Biçim hatalı",IF(FIND(MID($B118,11,1),"0123456789")-1=$H118,"Geçerli","Kontrol hanesi hatalı (doğrusu: "&amp;$H118&amp;")")))</f>
        <v/>
      </c>
      <c r="F118">
        <f>IF($A118="","",IF(AND(LEN($B118)=11,SUMPRODUCT(--ISNUMBER(FIND(MID($B118,{1,2,3,4,5,6,7,8,9,10,11},1),"0123456789")))=11),1,0))</f>
        <v/>
      </c>
      <c r="G118">
        <f>IF($F118=1,VALUE(MID($B118,4,7)),"")</f>
        <v/>
      </c>
      <c r="H118">
        <f>IF($F118=1,MOD($G118,7),"")</f>
        <v/>
      </c>
    </row>
    <row r="119">
      <c r="A119" s="6" t="n"/>
      <c r="B119" s="7">
        <f>IF($A119="","",SUBSTITUTE(SUBSTITUTE(SUBSTITUTE(SUBSTITUTE($A119," ",""),"-",""),".",""),"/",""))</f>
        <v/>
      </c>
      <c r="C119" s="8">
        <f>IF($F119=1,$H119,"")</f>
        <v/>
      </c>
      <c r="D119" s="7">
        <f>IF($A119="","",IF($F119=0,"Biçim hatalı",IF(FIND(MID($B119,11,1),"0123456789")-1=$H119,"Geçerli","Kontrol hanesi hatalı (doğrusu: "&amp;$H119&amp;")")))</f>
        <v/>
      </c>
      <c r="F119">
        <f>IF($A119="","",IF(AND(LEN($B119)=11,SUMPRODUCT(--ISNUMBER(FIND(MID($B119,{1,2,3,4,5,6,7,8,9,10,11},1),"0123456789")))=11),1,0))</f>
        <v/>
      </c>
      <c r="G119">
        <f>IF($F119=1,VALUE(MID($B119,4,7)),"")</f>
        <v/>
      </c>
      <c r="H119">
        <f>IF($F119=1,MOD($G119,7),"")</f>
        <v/>
      </c>
    </row>
    <row r="120">
      <c r="A120" s="6" t="n"/>
      <c r="B120" s="7">
        <f>IF($A120="","",SUBSTITUTE(SUBSTITUTE(SUBSTITUTE(SUBSTITUTE($A120," ",""),"-",""),".",""),"/",""))</f>
        <v/>
      </c>
      <c r="C120" s="8">
        <f>IF($F120=1,$H120,"")</f>
        <v/>
      </c>
      <c r="D120" s="7">
        <f>IF($A120="","",IF($F120=0,"Biçim hatalı",IF(FIND(MID($B120,11,1),"0123456789")-1=$H120,"Geçerli","Kontrol hanesi hatalı (doğrusu: "&amp;$H120&amp;")")))</f>
        <v/>
      </c>
      <c r="F120">
        <f>IF($A120="","",IF(AND(LEN($B120)=11,SUMPRODUCT(--ISNUMBER(FIND(MID($B120,{1,2,3,4,5,6,7,8,9,10,11},1),"0123456789")))=11),1,0))</f>
        <v/>
      </c>
      <c r="G120">
        <f>IF($F120=1,VALUE(MID($B120,4,7)),"")</f>
        <v/>
      </c>
      <c r="H120">
        <f>IF($F120=1,MOD($G120,7),"")</f>
        <v/>
      </c>
    </row>
    <row r="121">
      <c r="A121" s="6" t="n"/>
      <c r="B121" s="7">
        <f>IF($A121="","",SUBSTITUTE(SUBSTITUTE(SUBSTITUTE(SUBSTITUTE($A121," ",""),"-",""),".",""),"/",""))</f>
        <v/>
      </c>
      <c r="C121" s="8">
        <f>IF($F121=1,$H121,"")</f>
        <v/>
      </c>
      <c r="D121" s="7">
        <f>IF($A121="","",IF($F121=0,"Biçim hatalı",IF(FIND(MID($B121,11,1),"0123456789")-1=$H121,"Geçerli","Kontrol hanesi hatalı (doğrusu: "&amp;$H121&amp;")")))</f>
        <v/>
      </c>
      <c r="F121">
        <f>IF($A121="","",IF(AND(LEN($B121)=11,SUMPRODUCT(--ISNUMBER(FIND(MID($B121,{1,2,3,4,5,6,7,8,9,10,11},1),"0123456789")))=11),1,0))</f>
        <v/>
      </c>
      <c r="G121">
        <f>IF($F121=1,VALUE(MID($B121,4,7)),"")</f>
        <v/>
      </c>
      <c r="H121">
        <f>IF($F121=1,MOD($G121,7),"")</f>
        <v/>
      </c>
    </row>
    <row r="122">
      <c r="A122" s="6" t="n"/>
      <c r="B122" s="7">
        <f>IF($A122="","",SUBSTITUTE(SUBSTITUTE(SUBSTITUTE(SUBSTITUTE($A122," ",""),"-",""),".",""),"/",""))</f>
        <v/>
      </c>
      <c r="C122" s="8">
        <f>IF($F122=1,$H122,"")</f>
        <v/>
      </c>
      <c r="D122" s="7">
        <f>IF($A122="","",IF($F122=0,"Biçim hatalı",IF(FIND(MID($B122,11,1),"0123456789")-1=$H122,"Geçerli","Kontrol hanesi hatalı (doğrusu: "&amp;$H122&amp;")")))</f>
        <v/>
      </c>
      <c r="F122">
        <f>IF($A122="","",IF(AND(LEN($B122)=11,SUMPRODUCT(--ISNUMBER(FIND(MID($B122,{1,2,3,4,5,6,7,8,9,10,11},1),"0123456789")))=11),1,0))</f>
        <v/>
      </c>
      <c r="G122">
        <f>IF($F122=1,VALUE(MID($B122,4,7)),"")</f>
        <v/>
      </c>
      <c r="H122">
        <f>IF($F122=1,MOD($G122,7),"")</f>
        <v/>
      </c>
    </row>
    <row r="123">
      <c r="A123" s="6" t="n"/>
      <c r="B123" s="7">
        <f>IF($A123="","",SUBSTITUTE(SUBSTITUTE(SUBSTITUTE(SUBSTITUTE($A123," ",""),"-",""),".",""),"/",""))</f>
        <v/>
      </c>
      <c r="C123" s="8">
        <f>IF($F123=1,$H123,"")</f>
        <v/>
      </c>
      <c r="D123" s="7">
        <f>IF($A123="","",IF($F123=0,"Biçim hatalı",IF(FIND(MID($B123,11,1),"0123456789")-1=$H123,"Geçerli","Kontrol hanesi hatalı (doğrusu: "&amp;$H123&amp;")")))</f>
        <v/>
      </c>
      <c r="F123">
        <f>IF($A123="","",IF(AND(LEN($B123)=11,SUMPRODUCT(--ISNUMBER(FIND(MID($B123,{1,2,3,4,5,6,7,8,9,10,11},1),"0123456789")))=11),1,0))</f>
        <v/>
      </c>
      <c r="G123">
        <f>IF($F123=1,VALUE(MID($B123,4,7)),"")</f>
        <v/>
      </c>
      <c r="H123">
        <f>IF($F123=1,MOD($G123,7),"")</f>
        <v/>
      </c>
    </row>
    <row r="124">
      <c r="A124" s="6" t="n"/>
      <c r="B124" s="7">
        <f>IF($A124="","",SUBSTITUTE(SUBSTITUTE(SUBSTITUTE(SUBSTITUTE($A124," ",""),"-",""),".",""),"/",""))</f>
        <v/>
      </c>
      <c r="C124" s="8">
        <f>IF($F124=1,$H124,"")</f>
        <v/>
      </c>
      <c r="D124" s="7">
        <f>IF($A124="","",IF($F124=0,"Biçim hatalı",IF(FIND(MID($B124,11,1),"0123456789")-1=$H124,"Geçerli","Kontrol hanesi hatalı (doğrusu: "&amp;$H124&amp;")")))</f>
        <v/>
      </c>
      <c r="F124">
        <f>IF($A124="","",IF(AND(LEN($B124)=11,SUMPRODUCT(--ISNUMBER(FIND(MID($B124,{1,2,3,4,5,6,7,8,9,10,11},1),"0123456789")))=11),1,0))</f>
        <v/>
      </c>
      <c r="G124">
        <f>IF($F124=1,VALUE(MID($B124,4,7)),"")</f>
        <v/>
      </c>
      <c r="H124">
        <f>IF($F124=1,MOD($G124,7),"")</f>
        <v/>
      </c>
    </row>
    <row r="125">
      <c r="A125" s="6" t="n"/>
      <c r="B125" s="7">
        <f>IF($A125="","",SUBSTITUTE(SUBSTITUTE(SUBSTITUTE(SUBSTITUTE($A125," ",""),"-",""),".",""),"/",""))</f>
        <v/>
      </c>
      <c r="C125" s="8">
        <f>IF($F125=1,$H125,"")</f>
        <v/>
      </c>
      <c r="D125" s="7">
        <f>IF($A125="","",IF($F125=0,"Biçim hatalı",IF(FIND(MID($B125,11,1),"0123456789")-1=$H125,"Geçerli","Kontrol hanesi hatalı (doğrusu: "&amp;$H125&amp;")")))</f>
        <v/>
      </c>
      <c r="F125">
        <f>IF($A125="","",IF(AND(LEN($B125)=11,SUMPRODUCT(--ISNUMBER(FIND(MID($B125,{1,2,3,4,5,6,7,8,9,10,11},1),"0123456789")))=11),1,0))</f>
        <v/>
      </c>
      <c r="G125">
        <f>IF($F125=1,VALUE(MID($B125,4,7)),"")</f>
        <v/>
      </c>
      <c r="H125">
        <f>IF($F125=1,MOD($G125,7),"")</f>
        <v/>
      </c>
    </row>
    <row r="126">
      <c r="A126" s="6" t="n"/>
      <c r="B126" s="7">
        <f>IF($A126="","",SUBSTITUTE(SUBSTITUTE(SUBSTITUTE(SUBSTITUTE($A126," ",""),"-",""),".",""),"/",""))</f>
        <v/>
      </c>
      <c r="C126" s="8">
        <f>IF($F126=1,$H126,"")</f>
        <v/>
      </c>
      <c r="D126" s="7">
        <f>IF($A126="","",IF($F126=0,"Biçim hatalı",IF(FIND(MID($B126,11,1),"0123456789")-1=$H126,"Geçerli","Kontrol hanesi hatalı (doğrusu: "&amp;$H126&amp;")")))</f>
        <v/>
      </c>
      <c r="F126">
        <f>IF($A126="","",IF(AND(LEN($B126)=11,SUMPRODUCT(--ISNUMBER(FIND(MID($B126,{1,2,3,4,5,6,7,8,9,10,11},1),"0123456789")))=11),1,0))</f>
        <v/>
      </c>
      <c r="G126">
        <f>IF($F126=1,VALUE(MID($B126,4,7)),"")</f>
        <v/>
      </c>
      <c r="H126">
        <f>IF($F126=1,MOD($G126,7),"")</f>
        <v/>
      </c>
    </row>
    <row r="127">
      <c r="A127" s="6" t="n"/>
      <c r="B127" s="7">
        <f>IF($A127="","",SUBSTITUTE(SUBSTITUTE(SUBSTITUTE(SUBSTITUTE($A127," ",""),"-",""),".",""),"/",""))</f>
        <v/>
      </c>
      <c r="C127" s="8">
        <f>IF($F127=1,$H127,"")</f>
        <v/>
      </c>
      <c r="D127" s="7">
        <f>IF($A127="","",IF($F127=0,"Biçim hatalı",IF(FIND(MID($B127,11,1),"0123456789")-1=$H127,"Geçerli","Kontrol hanesi hatalı (doğrusu: "&amp;$H127&amp;")")))</f>
        <v/>
      </c>
      <c r="F127">
        <f>IF($A127="","",IF(AND(LEN($B127)=11,SUMPRODUCT(--ISNUMBER(FIND(MID($B127,{1,2,3,4,5,6,7,8,9,10,11},1),"0123456789")))=11),1,0))</f>
        <v/>
      </c>
      <c r="G127">
        <f>IF($F127=1,VALUE(MID($B127,4,7)),"")</f>
        <v/>
      </c>
      <c r="H127">
        <f>IF($F127=1,MOD($G127,7),"")</f>
        <v/>
      </c>
    </row>
    <row r="128">
      <c r="A128" s="6" t="n"/>
      <c r="B128" s="7">
        <f>IF($A128="","",SUBSTITUTE(SUBSTITUTE(SUBSTITUTE(SUBSTITUTE($A128," ",""),"-",""),".",""),"/",""))</f>
        <v/>
      </c>
      <c r="C128" s="8">
        <f>IF($F128=1,$H128,"")</f>
        <v/>
      </c>
      <c r="D128" s="7">
        <f>IF($A128="","",IF($F128=0,"Biçim hatalı",IF(FIND(MID($B128,11,1),"0123456789")-1=$H128,"Geçerli","Kontrol hanesi hatalı (doğrusu: "&amp;$H128&amp;")")))</f>
        <v/>
      </c>
      <c r="F128">
        <f>IF($A128="","",IF(AND(LEN($B128)=11,SUMPRODUCT(--ISNUMBER(FIND(MID($B128,{1,2,3,4,5,6,7,8,9,10,11},1),"0123456789")))=11),1,0))</f>
        <v/>
      </c>
      <c r="G128">
        <f>IF($F128=1,VALUE(MID($B128,4,7)),"")</f>
        <v/>
      </c>
      <c r="H128">
        <f>IF($F128=1,MOD($G128,7),"")</f>
        <v/>
      </c>
    </row>
    <row r="129">
      <c r="A129" s="6" t="n"/>
      <c r="B129" s="7">
        <f>IF($A129="","",SUBSTITUTE(SUBSTITUTE(SUBSTITUTE(SUBSTITUTE($A129," ",""),"-",""),".",""),"/",""))</f>
        <v/>
      </c>
      <c r="C129" s="8">
        <f>IF($F129=1,$H129,"")</f>
        <v/>
      </c>
      <c r="D129" s="7">
        <f>IF($A129="","",IF($F129=0,"Biçim hatalı",IF(FIND(MID($B129,11,1),"0123456789")-1=$H129,"Geçerli","Kontrol hanesi hatalı (doğrusu: "&amp;$H129&amp;")")))</f>
        <v/>
      </c>
      <c r="F129">
        <f>IF($A129="","",IF(AND(LEN($B129)=11,SUMPRODUCT(--ISNUMBER(FIND(MID($B129,{1,2,3,4,5,6,7,8,9,10,11},1),"0123456789")))=11),1,0))</f>
        <v/>
      </c>
      <c r="G129">
        <f>IF($F129=1,VALUE(MID($B129,4,7)),"")</f>
        <v/>
      </c>
      <c r="H129">
        <f>IF($F129=1,MOD($G129,7),"")</f>
        <v/>
      </c>
    </row>
    <row r="130">
      <c r="A130" s="6" t="n"/>
      <c r="B130" s="7">
        <f>IF($A130="","",SUBSTITUTE(SUBSTITUTE(SUBSTITUTE(SUBSTITUTE($A130," ",""),"-",""),".",""),"/",""))</f>
        <v/>
      </c>
      <c r="C130" s="8">
        <f>IF($F130=1,$H130,"")</f>
        <v/>
      </c>
      <c r="D130" s="7">
        <f>IF($A130="","",IF($F130=0,"Biçim hatalı",IF(FIND(MID($B130,11,1),"0123456789")-1=$H130,"Geçerli","Kontrol hanesi hatalı (doğrusu: "&amp;$H130&amp;")")))</f>
        <v/>
      </c>
      <c r="F130">
        <f>IF($A130="","",IF(AND(LEN($B130)=11,SUMPRODUCT(--ISNUMBER(FIND(MID($B130,{1,2,3,4,5,6,7,8,9,10,11},1),"0123456789")))=11),1,0))</f>
        <v/>
      </c>
      <c r="G130">
        <f>IF($F130=1,VALUE(MID($B130,4,7)),"")</f>
        <v/>
      </c>
      <c r="H130">
        <f>IF($F130=1,MOD($G130,7),"")</f>
        <v/>
      </c>
    </row>
    <row r="131">
      <c r="A131" s="6" t="n"/>
      <c r="B131" s="7">
        <f>IF($A131="","",SUBSTITUTE(SUBSTITUTE(SUBSTITUTE(SUBSTITUTE($A131," ",""),"-",""),".",""),"/",""))</f>
        <v/>
      </c>
      <c r="C131" s="8">
        <f>IF($F131=1,$H131,"")</f>
        <v/>
      </c>
      <c r="D131" s="7">
        <f>IF($A131="","",IF($F131=0,"Biçim hatalı",IF(FIND(MID($B131,11,1),"0123456789")-1=$H131,"Geçerli","Kontrol hanesi hatalı (doğrusu: "&amp;$H131&amp;")")))</f>
        <v/>
      </c>
      <c r="F131">
        <f>IF($A131="","",IF(AND(LEN($B131)=11,SUMPRODUCT(--ISNUMBER(FIND(MID($B131,{1,2,3,4,5,6,7,8,9,10,11},1),"0123456789")))=11),1,0))</f>
        <v/>
      </c>
      <c r="G131">
        <f>IF($F131=1,VALUE(MID($B131,4,7)),"")</f>
        <v/>
      </c>
      <c r="H131">
        <f>IF($F131=1,MOD($G131,7),"")</f>
        <v/>
      </c>
    </row>
    <row r="132">
      <c r="A132" s="6" t="n"/>
      <c r="B132" s="7">
        <f>IF($A132="","",SUBSTITUTE(SUBSTITUTE(SUBSTITUTE(SUBSTITUTE($A132," ",""),"-",""),".",""),"/",""))</f>
        <v/>
      </c>
      <c r="C132" s="8">
        <f>IF($F132=1,$H132,"")</f>
        <v/>
      </c>
      <c r="D132" s="7">
        <f>IF($A132="","",IF($F132=0,"Biçim hatalı",IF(FIND(MID($B132,11,1),"0123456789")-1=$H132,"Geçerli","Kontrol hanesi hatalı (doğrusu: "&amp;$H132&amp;")")))</f>
        <v/>
      </c>
      <c r="F132">
        <f>IF($A132="","",IF(AND(LEN($B132)=11,SUMPRODUCT(--ISNUMBER(FIND(MID($B132,{1,2,3,4,5,6,7,8,9,10,11},1),"0123456789")))=11),1,0))</f>
        <v/>
      </c>
      <c r="G132">
        <f>IF($F132=1,VALUE(MID($B132,4,7)),"")</f>
        <v/>
      </c>
      <c r="H132">
        <f>IF($F132=1,MOD($G132,7),"")</f>
        <v/>
      </c>
    </row>
    <row r="133">
      <c r="A133" s="6" t="n"/>
      <c r="B133" s="7">
        <f>IF($A133="","",SUBSTITUTE(SUBSTITUTE(SUBSTITUTE(SUBSTITUTE($A133," ",""),"-",""),".",""),"/",""))</f>
        <v/>
      </c>
      <c r="C133" s="8">
        <f>IF($F133=1,$H133,"")</f>
        <v/>
      </c>
      <c r="D133" s="7">
        <f>IF($A133="","",IF($F133=0,"Biçim hatalı",IF(FIND(MID($B133,11,1),"0123456789")-1=$H133,"Geçerli","Kontrol hanesi hatalı (doğrusu: "&amp;$H133&amp;")")))</f>
        <v/>
      </c>
      <c r="F133">
        <f>IF($A133="","",IF(AND(LEN($B133)=11,SUMPRODUCT(--ISNUMBER(FIND(MID($B133,{1,2,3,4,5,6,7,8,9,10,11},1),"0123456789")))=11),1,0))</f>
        <v/>
      </c>
      <c r="G133">
        <f>IF($F133=1,VALUE(MID($B133,4,7)),"")</f>
        <v/>
      </c>
      <c r="H133">
        <f>IF($F133=1,MOD($G133,7),"")</f>
        <v/>
      </c>
    </row>
    <row r="134">
      <c r="A134" s="6" t="n"/>
      <c r="B134" s="7">
        <f>IF($A134="","",SUBSTITUTE(SUBSTITUTE(SUBSTITUTE(SUBSTITUTE($A134," ",""),"-",""),".",""),"/",""))</f>
        <v/>
      </c>
      <c r="C134" s="8">
        <f>IF($F134=1,$H134,"")</f>
        <v/>
      </c>
      <c r="D134" s="7">
        <f>IF($A134="","",IF($F134=0,"Biçim hatalı",IF(FIND(MID($B134,11,1),"0123456789")-1=$H134,"Geçerli","Kontrol hanesi hatalı (doğrusu: "&amp;$H134&amp;")")))</f>
        <v/>
      </c>
      <c r="F134">
        <f>IF($A134="","",IF(AND(LEN($B134)=11,SUMPRODUCT(--ISNUMBER(FIND(MID($B134,{1,2,3,4,5,6,7,8,9,10,11},1),"0123456789")))=11),1,0))</f>
        <v/>
      </c>
      <c r="G134">
        <f>IF($F134=1,VALUE(MID($B134,4,7)),"")</f>
        <v/>
      </c>
      <c r="H134">
        <f>IF($F134=1,MOD($G134,7),"")</f>
        <v/>
      </c>
    </row>
    <row r="135">
      <c r="A135" s="6" t="n"/>
      <c r="B135" s="7">
        <f>IF($A135="","",SUBSTITUTE(SUBSTITUTE(SUBSTITUTE(SUBSTITUTE($A135," ",""),"-",""),".",""),"/",""))</f>
        <v/>
      </c>
      <c r="C135" s="8">
        <f>IF($F135=1,$H135,"")</f>
        <v/>
      </c>
      <c r="D135" s="7">
        <f>IF($A135="","",IF($F135=0,"Biçim hatalı",IF(FIND(MID($B135,11,1),"0123456789")-1=$H135,"Geçerli","Kontrol hanesi hatalı (doğrusu: "&amp;$H135&amp;")")))</f>
        <v/>
      </c>
      <c r="F135">
        <f>IF($A135="","",IF(AND(LEN($B135)=11,SUMPRODUCT(--ISNUMBER(FIND(MID($B135,{1,2,3,4,5,6,7,8,9,10,11},1),"0123456789")))=11),1,0))</f>
        <v/>
      </c>
      <c r="G135">
        <f>IF($F135=1,VALUE(MID($B135,4,7)),"")</f>
        <v/>
      </c>
      <c r="H135">
        <f>IF($F135=1,MOD($G135,7),"")</f>
        <v/>
      </c>
    </row>
    <row r="136">
      <c r="A136" s="6" t="n"/>
      <c r="B136" s="7">
        <f>IF($A136="","",SUBSTITUTE(SUBSTITUTE(SUBSTITUTE(SUBSTITUTE($A136," ",""),"-",""),".",""),"/",""))</f>
        <v/>
      </c>
      <c r="C136" s="8">
        <f>IF($F136=1,$H136,"")</f>
        <v/>
      </c>
      <c r="D136" s="7">
        <f>IF($A136="","",IF($F136=0,"Biçim hatalı",IF(FIND(MID($B136,11,1),"0123456789")-1=$H136,"Geçerli","Kontrol hanesi hatalı (doğrusu: "&amp;$H136&amp;")")))</f>
        <v/>
      </c>
      <c r="F136">
        <f>IF($A136="","",IF(AND(LEN($B136)=11,SUMPRODUCT(--ISNUMBER(FIND(MID($B136,{1,2,3,4,5,6,7,8,9,10,11},1),"0123456789")))=11),1,0))</f>
        <v/>
      </c>
      <c r="G136">
        <f>IF($F136=1,VALUE(MID($B136,4,7)),"")</f>
        <v/>
      </c>
      <c r="H136">
        <f>IF($F136=1,MOD($G136,7),"")</f>
        <v/>
      </c>
    </row>
    <row r="137">
      <c r="A137" s="6" t="n"/>
      <c r="B137" s="7">
        <f>IF($A137="","",SUBSTITUTE(SUBSTITUTE(SUBSTITUTE(SUBSTITUTE($A137," ",""),"-",""),".",""),"/",""))</f>
        <v/>
      </c>
      <c r="C137" s="8">
        <f>IF($F137=1,$H137,"")</f>
        <v/>
      </c>
      <c r="D137" s="7">
        <f>IF($A137="","",IF($F137=0,"Biçim hatalı",IF(FIND(MID($B137,11,1),"0123456789")-1=$H137,"Geçerli","Kontrol hanesi hatalı (doğrusu: "&amp;$H137&amp;")")))</f>
        <v/>
      </c>
      <c r="F137">
        <f>IF($A137="","",IF(AND(LEN($B137)=11,SUMPRODUCT(--ISNUMBER(FIND(MID($B137,{1,2,3,4,5,6,7,8,9,10,11},1),"0123456789")))=11),1,0))</f>
        <v/>
      </c>
      <c r="G137">
        <f>IF($F137=1,VALUE(MID($B137,4,7)),"")</f>
        <v/>
      </c>
      <c r="H137">
        <f>IF($F137=1,MOD($G137,7),"")</f>
        <v/>
      </c>
    </row>
    <row r="138">
      <c r="A138" s="6" t="n"/>
      <c r="B138" s="7">
        <f>IF($A138="","",SUBSTITUTE(SUBSTITUTE(SUBSTITUTE(SUBSTITUTE($A138," ",""),"-",""),".",""),"/",""))</f>
        <v/>
      </c>
      <c r="C138" s="8">
        <f>IF($F138=1,$H138,"")</f>
        <v/>
      </c>
      <c r="D138" s="7">
        <f>IF($A138="","",IF($F138=0,"Biçim hatalı",IF(FIND(MID($B138,11,1),"0123456789")-1=$H138,"Geçerli","Kontrol hanesi hatalı (doğrusu: "&amp;$H138&amp;")")))</f>
        <v/>
      </c>
      <c r="F138">
        <f>IF($A138="","",IF(AND(LEN($B138)=11,SUMPRODUCT(--ISNUMBER(FIND(MID($B138,{1,2,3,4,5,6,7,8,9,10,11},1),"0123456789")))=11),1,0))</f>
        <v/>
      </c>
      <c r="G138">
        <f>IF($F138=1,VALUE(MID($B138,4,7)),"")</f>
        <v/>
      </c>
      <c r="H138">
        <f>IF($F138=1,MOD($G138,7),"")</f>
        <v/>
      </c>
    </row>
    <row r="139">
      <c r="A139" s="6" t="n"/>
      <c r="B139" s="7">
        <f>IF($A139="","",SUBSTITUTE(SUBSTITUTE(SUBSTITUTE(SUBSTITUTE($A139," ",""),"-",""),".",""),"/",""))</f>
        <v/>
      </c>
      <c r="C139" s="8">
        <f>IF($F139=1,$H139,"")</f>
        <v/>
      </c>
      <c r="D139" s="7">
        <f>IF($A139="","",IF($F139=0,"Biçim hatalı",IF(FIND(MID($B139,11,1),"0123456789")-1=$H139,"Geçerli","Kontrol hanesi hatalı (doğrusu: "&amp;$H139&amp;")")))</f>
        <v/>
      </c>
      <c r="F139">
        <f>IF($A139="","",IF(AND(LEN($B139)=11,SUMPRODUCT(--ISNUMBER(FIND(MID($B139,{1,2,3,4,5,6,7,8,9,10,11},1),"0123456789")))=11),1,0))</f>
        <v/>
      </c>
      <c r="G139">
        <f>IF($F139=1,VALUE(MID($B139,4,7)),"")</f>
        <v/>
      </c>
      <c r="H139">
        <f>IF($F139=1,MOD($G139,7),"")</f>
        <v/>
      </c>
    </row>
    <row r="140">
      <c r="A140" s="6" t="n"/>
      <c r="B140" s="7">
        <f>IF($A140="","",SUBSTITUTE(SUBSTITUTE(SUBSTITUTE(SUBSTITUTE($A140," ",""),"-",""),".",""),"/",""))</f>
        <v/>
      </c>
      <c r="C140" s="8">
        <f>IF($F140=1,$H140,"")</f>
        <v/>
      </c>
      <c r="D140" s="7">
        <f>IF($A140="","",IF($F140=0,"Biçim hatalı",IF(FIND(MID($B140,11,1),"0123456789")-1=$H140,"Geçerli","Kontrol hanesi hatalı (doğrusu: "&amp;$H140&amp;")")))</f>
        <v/>
      </c>
      <c r="F140">
        <f>IF($A140="","",IF(AND(LEN($B140)=11,SUMPRODUCT(--ISNUMBER(FIND(MID($B140,{1,2,3,4,5,6,7,8,9,10,11},1),"0123456789")))=11),1,0))</f>
        <v/>
      </c>
      <c r="G140">
        <f>IF($F140=1,VALUE(MID($B140,4,7)),"")</f>
        <v/>
      </c>
      <c r="H140">
        <f>IF($F140=1,MOD($G140,7),"")</f>
        <v/>
      </c>
    </row>
    <row r="141">
      <c r="A141" s="6" t="n"/>
      <c r="B141" s="7">
        <f>IF($A141="","",SUBSTITUTE(SUBSTITUTE(SUBSTITUTE(SUBSTITUTE($A141," ",""),"-",""),".",""),"/",""))</f>
        <v/>
      </c>
      <c r="C141" s="8">
        <f>IF($F141=1,$H141,"")</f>
        <v/>
      </c>
      <c r="D141" s="7">
        <f>IF($A141="","",IF($F141=0,"Biçim hatalı",IF(FIND(MID($B141,11,1),"0123456789")-1=$H141,"Geçerli","Kontrol hanesi hatalı (doğrusu: "&amp;$H141&amp;")")))</f>
        <v/>
      </c>
      <c r="F141">
        <f>IF($A141="","",IF(AND(LEN($B141)=11,SUMPRODUCT(--ISNUMBER(FIND(MID($B141,{1,2,3,4,5,6,7,8,9,10,11},1),"0123456789")))=11),1,0))</f>
        <v/>
      </c>
      <c r="G141">
        <f>IF($F141=1,VALUE(MID($B141,4,7)),"")</f>
        <v/>
      </c>
      <c r="H141">
        <f>IF($F141=1,MOD($G141,7),"")</f>
        <v/>
      </c>
    </row>
    <row r="142">
      <c r="A142" s="6" t="n"/>
      <c r="B142" s="7">
        <f>IF($A142="","",SUBSTITUTE(SUBSTITUTE(SUBSTITUTE(SUBSTITUTE($A142," ",""),"-",""),".",""),"/",""))</f>
        <v/>
      </c>
      <c r="C142" s="8">
        <f>IF($F142=1,$H142,"")</f>
        <v/>
      </c>
      <c r="D142" s="7">
        <f>IF($A142="","",IF($F142=0,"Biçim hatalı",IF(FIND(MID($B142,11,1),"0123456789")-1=$H142,"Geçerli","Kontrol hanesi hatalı (doğrusu: "&amp;$H142&amp;")")))</f>
        <v/>
      </c>
      <c r="F142">
        <f>IF($A142="","",IF(AND(LEN($B142)=11,SUMPRODUCT(--ISNUMBER(FIND(MID($B142,{1,2,3,4,5,6,7,8,9,10,11},1),"0123456789")))=11),1,0))</f>
        <v/>
      </c>
      <c r="G142">
        <f>IF($F142=1,VALUE(MID($B142,4,7)),"")</f>
        <v/>
      </c>
      <c r="H142">
        <f>IF($F142=1,MOD($G142,7),"")</f>
        <v/>
      </c>
    </row>
    <row r="143">
      <c r="A143" s="6" t="n"/>
      <c r="B143" s="7">
        <f>IF($A143="","",SUBSTITUTE(SUBSTITUTE(SUBSTITUTE(SUBSTITUTE($A143," ",""),"-",""),".",""),"/",""))</f>
        <v/>
      </c>
      <c r="C143" s="8">
        <f>IF($F143=1,$H143,"")</f>
        <v/>
      </c>
      <c r="D143" s="7">
        <f>IF($A143="","",IF($F143=0,"Biçim hatalı",IF(FIND(MID($B143,11,1),"0123456789")-1=$H143,"Geçerli","Kontrol hanesi hatalı (doğrusu: "&amp;$H143&amp;")")))</f>
        <v/>
      </c>
      <c r="F143">
        <f>IF($A143="","",IF(AND(LEN($B143)=11,SUMPRODUCT(--ISNUMBER(FIND(MID($B143,{1,2,3,4,5,6,7,8,9,10,11},1),"0123456789")))=11),1,0))</f>
        <v/>
      </c>
      <c r="G143">
        <f>IF($F143=1,VALUE(MID($B143,4,7)),"")</f>
        <v/>
      </c>
      <c r="H143">
        <f>IF($F143=1,MOD($G143,7),"")</f>
        <v/>
      </c>
    </row>
    <row r="144">
      <c r="A144" s="6" t="n"/>
      <c r="B144" s="7">
        <f>IF($A144="","",SUBSTITUTE(SUBSTITUTE(SUBSTITUTE(SUBSTITUTE($A144," ",""),"-",""),".",""),"/",""))</f>
        <v/>
      </c>
      <c r="C144" s="8">
        <f>IF($F144=1,$H144,"")</f>
        <v/>
      </c>
      <c r="D144" s="7">
        <f>IF($A144="","",IF($F144=0,"Biçim hatalı",IF(FIND(MID($B144,11,1),"0123456789")-1=$H144,"Geçerli","Kontrol hanesi hatalı (doğrusu: "&amp;$H144&amp;")")))</f>
        <v/>
      </c>
      <c r="F144">
        <f>IF($A144="","",IF(AND(LEN($B144)=11,SUMPRODUCT(--ISNUMBER(FIND(MID($B144,{1,2,3,4,5,6,7,8,9,10,11},1),"0123456789")))=11),1,0))</f>
        <v/>
      </c>
      <c r="G144">
        <f>IF($F144=1,VALUE(MID($B144,4,7)),"")</f>
        <v/>
      </c>
      <c r="H144">
        <f>IF($F144=1,MOD($G144,7),"")</f>
        <v/>
      </c>
    </row>
    <row r="145">
      <c r="A145" s="6" t="n"/>
      <c r="B145" s="7">
        <f>IF($A145="","",SUBSTITUTE(SUBSTITUTE(SUBSTITUTE(SUBSTITUTE($A145," ",""),"-",""),".",""),"/",""))</f>
        <v/>
      </c>
      <c r="C145" s="8">
        <f>IF($F145=1,$H145,"")</f>
        <v/>
      </c>
      <c r="D145" s="7">
        <f>IF($A145="","",IF($F145=0,"Biçim hatalı",IF(FIND(MID($B145,11,1),"0123456789")-1=$H145,"Geçerli","Kontrol hanesi hatalı (doğrusu: "&amp;$H145&amp;")")))</f>
        <v/>
      </c>
      <c r="F145">
        <f>IF($A145="","",IF(AND(LEN($B145)=11,SUMPRODUCT(--ISNUMBER(FIND(MID($B145,{1,2,3,4,5,6,7,8,9,10,11},1),"0123456789")))=11),1,0))</f>
        <v/>
      </c>
      <c r="G145">
        <f>IF($F145=1,VALUE(MID($B145,4,7)),"")</f>
        <v/>
      </c>
      <c r="H145">
        <f>IF($F145=1,MOD($G145,7),"")</f>
        <v/>
      </c>
    </row>
    <row r="146">
      <c r="A146" s="6" t="n"/>
      <c r="B146" s="7">
        <f>IF($A146="","",SUBSTITUTE(SUBSTITUTE(SUBSTITUTE(SUBSTITUTE($A146," ",""),"-",""),".",""),"/",""))</f>
        <v/>
      </c>
      <c r="C146" s="8">
        <f>IF($F146=1,$H146,"")</f>
        <v/>
      </c>
      <c r="D146" s="7">
        <f>IF($A146="","",IF($F146=0,"Biçim hatalı",IF(FIND(MID($B146,11,1),"0123456789")-1=$H146,"Geçerli","Kontrol hanesi hatalı (doğrusu: "&amp;$H146&amp;")")))</f>
        <v/>
      </c>
      <c r="F146">
        <f>IF($A146="","",IF(AND(LEN($B146)=11,SUMPRODUCT(--ISNUMBER(FIND(MID($B146,{1,2,3,4,5,6,7,8,9,10,11},1),"0123456789")))=11),1,0))</f>
        <v/>
      </c>
      <c r="G146">
        <f>IF($F146=1,VALUE(MID($B146,4,7)),"")</f>
        <v/>
      </c>
      <c r="H146">
        <f>IF($F146=1,MOD($G146,7),"")</f>
        <v/>
      </c>
    </row>
    <row r="147">
      <c r="A147" s="6" t="n"/>
      <c r="B147" s="7">
        <f>IF($A147="","",SUBSTITUTE(SUBSTITUTE(SUBSTITUTE(SUBSTITUTE($A147," ",""),"-",""),".",""),"/",""))</f>
        <v/>
      </c>
      <c r="C147" s="8">
        <f>IF($F147=1,$H147,"")</f>
        <v/>
      </c>
      <c r="D147" s="7">
        <f>IF($A147="","",IF($F147=0,"Biçim hatalı",IF(FIND(MID($B147,11,1),"0123456789")-1=$H147,"Geçerli","Kontrol hanesi hatalı (doğrusu: "&amp;$H147&amp;")")))</f>
        <v/>
      </c>
      <c r="F147">
        <f>IF($A147="","",IF(AND(LEN($B147)=11,SUMPRODUCT(--ISNUMBER(FIND(MID($B147,{1,2,3,4,5,6,7,8,9,10,11},1),"0123456789")))=11),1,0))</f>
        <v/>
      </c>
      <c r="G147">
        <f>IF($F147=1,VALUE(MID($B147,4,7)),"")</f>
        <v/>
      </c>
      <c r="H147">
        <f>IF($F147=1,MOD($G147,7),"")</f>
        <v/>
      </c>
    </row>
    <row r="148">
      <c r="A148" s="6" t="n"/>
      <c r="B148" s="7">
        <f>IF($A148="","",SUBSTITUTE(SUBSTITUTE(SUBSTITUTE(SUBSTITUTE($A148," ",""),"-",""),".",""),"/",""))</f>
        <v/>
      </c>
      <c r="C148" s="8">
        <f>IF($F148=1,$H148,"")</f>
        <v/>
      </c>
      <c r="D148" s="7">
        <f>IF($A148="","",IF($F148=0,"Biçim hatalı",IF(FIND(MID($B148,11,1),"0123456789")-1=$H148,"Geçerli","Kontrol hanesi hatalı (doğrusu: "&amp;$H148&amp;")")))</f>
        <v/>
      </c>
      <c r="F148">
        <f>IF($A148="","",IF(AND(LEN($B148)=11,SUMPRODUCT(--ISNUMBER(FIND(MID($B148,{1,2,3,4,5,6,7,8,9,10,11},1),"0123456789")))=11),1,0))</f>
        <v/>
      </c>
      <c r="G148">
        <f>IF($F148=1,VALUE(MID($B148,4,7)),"")</f>
        <v/>
      </c>
      <c r="H148">
        <f>IF($F148=1,MOD($G148,7),"")</f>
        <v/>
      </c>
    </row>
    <row r="149">
      <c r="A149" s="6" t="n"/>
      <c r="B149" s="7">
        <f>IF($A149="","",SUBSTITUTE(SUBSTITUTE(SUBSTITUTE(SUBSTITUTE($A149," ",""),"-",""),".",""),"/",""))</f>
        <v/>
      </c>
      <c r="C149" s="8">
        <f>IF($F149=1,$H149,"")</f>
        <v/>
      </c>
      <c r="D149" s="7">
        <f>IF($A149="","",IF($F149=0,"Biçim hatalı",IF(FIND(MID($B149,11,1),"0123456789")-1=$H149,"Geçerli","Kontrol hanesi hatalı (doğrusu: "&amp;$H149&amp;")")))</f>
        <v/>
      </c>
      <c r="F149">
        <f>IF($A149="","",IF(AND(LEN($B149)=11,SUMPRODUCT(--ISNUMBER(FIND(MID($B149,{1,2,3,4,5,6,7,8,9,10,11},1),"0123456789")))=11),1,0))</f>
        <v/>
      </c>
      <c r="G149">
        <f>IF($F149=1,VALUE(MID($B149,4,7)),"")</f>
        <v/>
      </c>
      <c r="H149">
        <f>IF($F149=1,MOD($G149,7),"")</f>
        <v/>
      </c>
    </row>
    <row r="150">
      <c r="A150" s="6" t="n"/>
      <c r="B150" s="7">
        <f>IF($A150="","",SUBSTITUTE(SUBSTITUTE(SUBSTITUTE(SUBSTITUTE($A150," ",""),"-",""),".",""),"/",""))</f>
        <v/>
      </c>
      <c r="C150" s="8">
        <f>IF($F150=1,$H150,"")</f>
        <v/>
      </c>
      <c r="D150" s="7">
        <f>IF($A150="","",IF($F150=0,"Biçim hatalı",IF(FIND(MID($B150,11,1),"0123456789")-1=$H150,"Geçerli","Kontrol hanesi hatalı (doğrusu: "&amp;$H150&amp;")")))</f>
        <v/>
      </c>
      <c r="F150">
        <f>IF($A150="","",IF(AND(LEN($B150)=11,SUMPRODUCT(--ISNUMBER(FIND(MID($B150,{1,2,3,4,5,6,7,8,9,10,11},1),"0123456789")))=11),1,0))</f>
        <v/>
      </c>
      <c r="G150">
        <f>IF($F150=1,VALUE(MID($B150,4,7)),"")</f>
        <v/>
      </c>
      <c r="H150">
        <f>IF($F150=1,MOD($G150,7),"")</f>
        <v/>
      </c>
    </row>
    <row r="151">
      <c r="A151" s="6" t="n"/>
      <c r="B151" s="7">
        <f>IF($A151="","",SUBSTITUTE(SUBSTITUTE(SUBSTITUTE(SUBSTITUTE($A151," ",""),"-",""),".",""),"/",""))</f>
        <v/>
      </c>
      <c r="C151" s="8">
        <f>IF($F151=1,$H151,"")</f>
        <v/>
      </c>
      <c r="D151" s="7">
        <f>IF($A151="","",IF($F151=0,"Biçim hatalı",IF(FIND(MID($B151,11,1),"0123456789")-1=$H151,"Geçerli","Kontrol hanesi hatalı (doğrusu: "&amp;$H151&amp;")")))</f>
        <v/>
      </c>
      <c r="F151">
        <f>IF($A151="","",IF(AND(LEN($B151)=11,SUMPRODUCT(--ISNUMBER(FIND(MID($B151,{1,2,3,4,5,6,7,8,9,10,11},1),"0123456789")))=11),1,0))</f>
        <v/>
      </c>
      <c r="G151">
        <f>IF($F151=1,VALUE(MID($B151,4,7)),"")</f>
        <v/>
      </c>
      <c r="H151">
        <f>IF($F151=1,MOD($G151,7),"")</f>
        <v/>
      </c>
    </row>
    <row r="152">
      <c r="A152" s="6" t="n"/>
      <c r="B152" s="7">
        <f>IF($A152="","",SUBSTITUTE(SUBSTITUTE(SUBSTITUTE(SUBSTITUTE($A152," ",""),"-",""),".",""),"/",""))</f>
        <v/>
      </c>
      <c r="C152" s="8">
        <f>IF($F152=1,$H152,"")</f>
        <v/>
      </c>
      <c r="D152" s="7">
        <f>IF($A152="","",IF($F152=0,"Biçim hatalı",IF(FIND(MID($B152,11,1),"0123456789")-1=$H152,"Geçerli","Kontrol hanesi hatalı (doğrusu: "&amp;$H152&amp;")")))</f>
        <v/>
      </c>
      <c r="F152">
        <f>IF($A152="","",IF(AND(LEN($B152)=11,SUMPRODUCT(--ISNUMBER(FIND(MID($B152,{1,2,3,4,5,6,7,8,9,10,11},1),"0123456789")))=11),1,0))</f>
        <v/>
      </c>
      <c r="G152">
        <f>IF($F152=1,VALUE(MID($B152,4,7)),"")</f>
        <v/>
      </c>
      <c r="H152">
        <f>IF($F152=1,MOD($G152,7),"")</f>
        <v/>
      </c>
    </row>
    <row r="153">
      <c r="A153" s="6" t="n"/>
      <c r="B153" s="7">
        <f>IF($A153="","",SUBSTITUTE(SUBSTITUTE(SUBSTITUTE(SUBSTITUTE($A153," ",""),"-",""),".",""),"/",""))</f>
        <v/>
      </c>
      <c r="C153" s="8">
        <f>IF($F153=1,$H153,"")</f>
        <v/>
      </c>
      <c r="D153" s="7">
        <f>IF($A153="","",IF($F153=0,"Biçim hatalı",IF(FIND(MID($B153,11,1),"0123456789")-1=$H153,"Geçerli","Kontrol hanesi hatalı (doğrusu: "&amp;$H153&amp;")")))</f>
        <v/>
      </c>
      <c r="F153">
        <f>IF($A153="","",IF(AND(LEN($B153)=11,SUMPRODUCT(--ISNUMBER(FIND(MID($B153,{1,2,3,4,5,6,7,8,9,10,11},1),"0123456789")))=11),1,0))</f>
        <v/>
      </c>
      <c r="G153">
        <f>IF($F153=1,VALUE(MID($B153,4,7)),"")</f>
        <v/>
      </c>
      <c r="H153">
        <f>IF($F153=1,MOD($G153,7),"")</f>
        <v/>
      </c>
    </row>
    <row r="154">
      <c r="A154" s="6" t="n"/>
      <c r="B154" s="7">
        <f>IF($A154="","",SUBSTITUTE(SUBSTITUTE(SUBSTITUTE(SUBSTITUTE($A154," ",""),"-",""),".",""),"/",""))</f>
        <v/>
      </c>
      <c r="C154" s="8">
        <f>IF($F154=1,$H154,"")</f>
        <v/>
      </c>
      <c r="D154" s="7">
        <f>IF($A154="","",IF($F154=0,"Biçim hatalı",IF(FIND(MID($B154,11,1),"0123456789")-1=$H154,"Geçerli","Kontrol hanesi hatalı (doğrusu: "&amp;$H154&amp;")")))</f>
        <v/>
      </c>
      <c r="F154">
        <f>IF($A154="","",IF(AND(LEN($B154)=11,SUMPRODUCT(--ISNUMBER(FIND(MID($B154,{1,2,3,4,5,6,7,8,9,10,11},1),"0123456789")))=11),1,0))</f>
        <v/>
      </c>
      <c r="G154">
        <f>IF($F154=1,VALUE(MID($B154,4,7)),"")</f>
        <v/>
      </c>
      <c r="H154">
        <f>IF($F154=1,MOD($G154,7),"")</f>
        <v/>
      </c>
    </row>
    <row r="155">
      <c r="A155" s="6" t="n"/>
      <c r="B155" s="7">
        <f>IF($A155="","",SUBSTITUTE(SUBSTITUTE(SUBSTITUTE(SUBSTITUTE($A155," ",""),"-",""),".",""),"/",""))</f>
        <v/>
      </c>
      <c r="C155" s="8">
        <f>IF($F155=1,$H155,"")</f>
        <v/>
      </c>
      <c r="D155" s="7">
        <f>IF($A155="","",IF($F155=0,"Biçim hatalı",IF(FIND(MID($B155,11,1),"0123456789")-1=$H155,"Geçerli","Kontrol hanesi hatalı (doğrusu: "&amp;$H155&amp;")")))</f>
        <v/>
      </c>
      <c r="F155">
        <f>IF($A155="","",IF(AND(LEN($B155)=11,SUMPRODUCT(--ISNUMBER(FIND(MID($B155,{1,2,3,4,5,6,7,8,9,10,11},1),"0123456789")))=11),1,0))</f>
        <v/>
      </c>
      <c r="G155">
        <f>IF($F155=1,VALUE(MID($B155,4,7)),"")</f>
        <v/>
      </c>
      <c r="H155">
        <f>IF($F155=1,MOD($G155,7),"")</f>
        <v/>
      </c>
    </row>
    <row r="156">
      <c r="A156" s="6" t="n"/>
      <c r="B156" s="7">
        <f>IF($A156="","",SUBSTITUTE(SUBSTITUTE(SUBSTITUTE(SUBSTITUTE($A156," ",""),"-",""),".",""),"/",""))</f>
        <v/>
      </c>
      <c r="C156" s="8">
        <f>IF($F156=1,$H156,"")</f>
        <v/>
      </c>
      <c r="D156" s="7">
        <f>IF($A156="","",IF($F156=0,"Biçim hatalı",IF(FIND(MID($B156,11,1),"0123456789")-1=$H156,"Geçerli","Kontrol hanesi hatalı (doğrusu: "&amp;$H156&amp;")")))</f>
        <v/>
      </c>
      <c r="F156">
        <f>IF($A156="","",IF(AND(LEN($B156)=11,SUMPRODUCT(--ISNUMBER(FIND(MID($B156,{1,2,3,4,5,6,7,8,9,10,11},1),"0123456789")))=11),1,0))</f>
        <v/>
      </c>
      <c r="G156">
        <f>IF($F156=1,VALUE(MID($B156,4,7)),"")</f>
        <v/>
      </c>
      <c r="H156">
        <f>IF($F156=1,MOD($G156,7),"")</f>
        <v/>
      </c>
    </row>
    <row r="157">
      <c r="A157" s="6" t="n"/>
      <c r="B157" s="7">
        <f>IF($A157="","",SUBSTITUTE(SUBSTITUTE(SUBSTITUTE(SUBSTITUTE($A157," ",""),"-",""),".",""),"/",""))</f>
        <v/>
      </c>
      <c r="C157" s="8">
        <f>IF($F157=1,$H157,"")</f>
        <v/>
      </c>
      <c r="D157" s="7">
        <f>IF($A157="","",IF($F157=0,"Biçim hatalı",IF(FIND(MID($B157,11,1),"0123456789")-1=$H157,"Geçerli","Kontrol hanesi hatalı (doğrusu: "&amp;$H157&amp;")")))</f>
        <v/>
      </c>
      <c r="F157">
        <f>IF($A157="","",IF(AND(LEN($B157)=11,SUMPRODUCT(--ISNUMBER(FIND(MID($B157,{1,2,3,4,5,6,7,8,9,10,11},1),"0123456789")))=11),1,0))</f>
        <v/>
      </c>
      <c r="G157">
        <f>IF($F157=1,VALUE(MID($B157,4,7)),"")</f>
        <v/>
      </c>
      <c r="H157">
        <f>IF($F157=1,MOD($G157,7),"")</f>
        <v/>
      </c>
    </row>
    <row r="158">
      <c r="A158" s="6" t="n"/>
      <c r="B158" s="7">
        <f>IF($A158="","",SUBSTITUTE(SUBSTITUTE(SUBSTITUTE(SUBSTITUTE($A158," ",""),"-",""),".",""),"/",""))</f>
        <v/>
      </c>
      <c r="C158" s="8">
        <f>IF($F158=1,$H158,"")</f>
        <v/>
      </c>
      <c r="D158" s="7">
        <f>IF($A158="","",IF($F158=0,"Biçim hatalı",IF(FIND(MID($B158,11,1),"0123456789")-1=$H158,"Geçerli","Kontrol hanesi hatalı (doğrusu: "&amp;$H158&amp;")")))</f>
        <v/>
      </c>
      <c r="F158">
        <f>IF($A158="","",IF(AND(LEN($B158)=11,SUMPRODUCT(--ISNUMBER(FIND(MID($B158,{1,2,3,4,5,6,7,8,9,10,11},1),"0123456789")))=11),1,0))</f>
        <v/>
      </c>
      <c r="G158">
        <f>IF($F158=1,VALUE(MID($B158,4,7)),"")</f>
        <v/>
      </c>
      <c r="H158">
        <f>IF($F158=1,MOD($G158,7),"")</f>
        <v/>
      </c>
    </row>
    <row r="159">
      <c r="A159" s="6" t="n"/>
      <c r="B159" s="7">
        <f>IF($A159="","",SUBSTITUTE(SUBSTITUTE(SUBSTITUTE(SUBSTITUTE($A159," ",""),"-",""),".",""),"/",""))</f>
        <v/>
      </c>
      <c r="C159" s="8">
        <f>IF($F159=1,$H159,"")</f>
        <v/>
      </c>
      <c r="D159" s="7">
        <f>IF($A159="","",IF($F159=0,"Biçim hatalı",IF(FIND(MID($B159,11,1),"0123456789")-1=$H159,"Geçerli","Kontrol hanesi hatalı (doğrusu: "&amp;$H159&amp;")")))</f>
        <v/>
      </c>
      <c r="F159">
        <f>IF($A159="","",IF(AND(LEN($B159)=11,SUMPRODUCT(--ISNUMBER(FIND(MID($B159,{1,2,3,4,5,6,7,8,9,10,11},1),"0123456789")))=11),1,0))</f>
        <v/>
      </c>
      <c r="G159">
        <f>IF($F159=1,VALUE(MID($B159,4,7)),"")</f>
        <v/>
      </c>
      <c r="H159">
        <f>IF($F159=1,MOD($G159,7),"")</f>
        <v/>
      </c>
    </row>
    <row r="160">
      <c r="A160" s="6" t="n"/>
      <c r="B160" s="7">
        <f>IF($A160="","",SUBSTITUTE(SUBSTITUTE(SUBSTITUTE(SUBSTITUTE($A160," ",""),"-",""),".",""),"/",""))</f>
        <v/>
      </c>
      <c r="C160" s="8">
        <f>IF($F160=1,$H160,"")</f>
        <v/>
      </c>
      <c r="D160" s="7">
        <f>IF($A160="","",IF($F160=0,"Biçim hatalı",IF(FIND(MID($B160,11,1),"0123456789")-1=$H160,"Geçerli","Kontrol hanesi hatalı (doğrusu: "&amp;$H160&amp;")")))</f>
        <v/>
      </c>
      <c r="F160">
        <f>IF($A160="","",IF(AND(LEN($B160)=11,SUMPRODUCT(--ISNUMBER(FIND(MID($B160,{1,2,3,4,5,6,7,8,9,10,11},1),"0123456789")))=11),1,0))</f>
        <v/>
      </c>
      <c r="G160">
        <f>IF($F160=1,VALUE(MID($B160,4,7)),"")</f>
        <v/>
      </c>
      <c r="H160">
        <f>IF($F160=1,MOD($G160,7),"")</f>
        <v/>
      </c>
    </row>
    <row r="161">
      <c r="A161" s="6" t="n"/>
      <c r="B161" s="7">
        <f>IF($A161="","",SUBSTITUTE(SUBSTITUTE(SUBSTITUTE(SUBSTITUTE($A161," ",""),"-",""),".",""),"/",""))</f>
        <v/>
      </c>
      <c r="C161" s="8">
        <f>IF($F161=1,$H161,"")</f>
        <v/>
      </c>
      <c r="D161" s="7">
        <f>IF($A161="","",IF($F161=0,"Biçim hatalı",IF(FIND(MID($B161,11,1),"0123456789")-1=$H161,"Geçerli","Kontrol hanesi hatalı (doğrusu: "&amp;$H161&amp;")")))</f>
        <v/>
      </c>
      <c r="F161">
        <f>IF($A161="","",IF(AND(LEN($B161)=11,SUMPRODUCT(--ISNUMBER(FIND(MID($B161,{1,2,3,4,5,6,7,8,9,10,11},1),"0123456789")))=11),1,0))</f>
        <v/>
      </c>
      <c r="G161">
        <f>IF($F161=1,VALUE(MID($B161,4,7)),"")</f>
        <v/>
      </c>
      <c r="H161">
        <f>IF($F161=1,MOD($G161,7),"")</f>
        <v/>
      </c>
    </row>
    <row r="162">
      <c r="A162" s="6" t="n"/>
      <c r="B162" s="7">
        <f>IF($A162="","",SUBSTITUTE(SUBSTITUTE(SUBSTITUTE(SUBSTITUTE($A162," ",""),"-",""),".",""),"/",""))</f>
        <v/>
      </c>
      <c r="C162" s="8">
        <f>IF($F162=1,$H162,"")</f>
        <v/>
      </c>
      <c r="D162" s="7">
        <f>IF($A162="","",IF($F162=0,"Biçim hatalı",IF(FIND(MID($B162,11,1),"0123456789")-1=$H162,"Geçerli","Kontrol hanesi hatalı (doğrusu: "&amp;$H162&amp;")")))</f>
        <v/>
      </c>
      <c r="F162">
        <f>IF($A162="","",IF(AND(LEN($B162)=11,SUMPRODUCT(--ISNUMBER(FIND(MID($B162,{1,2,3,4,5,6,7,8,9,10,11},1),"0123456789")))=11),1,0))</f>
        <v/>
      </c>
      <c r="G162">
        <f>IF($F162=1,VALUE(MID($B162,4,7)),"")</f>
        <v/>
      </c>
      <c r="H162">
        <f>IF($F162=1,MOD($G162,7),"")</f>
        <v/>
      </c>
    </row>
    <row r="163">
      <c r="A163" s="6" t="n"/>
      <c r="B163" s="7">
        <f>IF($A163="","",SUBSTITUTE(SUBSTITUTE(SUBSTITUTE(SUBSTITUTE($A163," ",""),"-",""),".",""),"/",""))</f>
        <v/>
      </c>
      <c r="C163" s="8">
        <f>IF($F163=1,$H163,"")</f>
        <v/>
      </c>
      <c r="D163" s="7">
        <f>IF($A163="","",IF($F163=0,"Biçim hatalı",IF(FIND(MID($B163,11,1),"0123456789")-1=$H163,"Geçerli","Kontrol hanesi hatalı (doğrusu: "&amp;$H163&amp;")")))</f>
        <v/>
      </c>
      <c r="F163">
        <f>IF($A163="","",IF(AND(LEN($B163)=11,SUMPRODUCT(--ISNUMBER(FIND(MID($B163,{1,2,3,4,5,6,7,8,9,10,11},1),"0123456789")))=11),1,0))</f>
        <v/>
      </c>
      <c r="G163">
        <f>IF($F163=1,VALUE(MID($B163,4,7)),"")</f>
        <v/>
      </c>
      <c r="H163">
        <f>IF($F163=1,MOD($G163,7),"")</f>
        <v/>
      </c>
    </row>
    <row r="164">
      <c r="A164" s="6" t="n"/>
      <c r="B164" s="7">
        <f>IF($A164="","",SUBSTITUTE(SUBSTITUTE(SUBSTITUTE(SUBSTITUTE($A164," ",""),"-",""),".",""),"/",""))</f>
        <v/>
      </c>
      <c r="C164" s="8">
        <f>IF($F164=1,$H164,"")</f>
        <v/>
      </c>
      <c r="D164" s="7">
        <f>IF($A164="","",IF($F164=0,"Biçim hatalı",IF(FIND(MID($B164,11,1),"0123456789")-1=$H164,"Geçerli","Kontrol hanesi hatalı (doğrusu: "&amp;$H164&amp;")")))</f>
        <v/>
      </c>
      <c r="F164">
        <f>IF($A164="","",IF(AND(LEN($B164)=11,SUMPRODUCT(--ISNUMBER(FIND(MID($B164,{1,2,3,4,5,6,7,8,9,10,11},1),"0123456789")))=11),1,0))</f>
        <v/>
      </c>
      <c r="G164">
        <f>IF($F164=1,VALUE(MID($B164,4,7)),"")</f>
        <v/>
      </c>
      <c r="H164">
        <f>IF($F164=1,MOD($G164,7),"")</f>
        <v/>
      </c>
    </row>
    <row r="165">
      <c r="A165" s="6" t="n"/>
      <c r="B165" s="7">
        <f>IF($A165="","",SUBSTITUTE(SUBSTITUTE(SUBSTITUTE(SUBSTITUTE($A165," ",""),"-",""),".",""),"/",""))</f>
        <v/>
      </c>
      <c r="C165" s="8">
        <f>IF($F165=1,$H165,"")</f>
        <v/>
      </c>
      <c r="D165" s="7">
        <f>IF($A165="","",IF($F165=0,"Biçim hatalı",IF(FIND(MID($B165,11,1),"0123456789")-1=$H165,"Geçerli","Kontrol hanesi hatalı (doğrusu: "&amp;$H165&amp;")")))</f>
        <v/>
      </c>
      <c r="F165">
        <f>IF($A165="","",IF(AND(LEN($B165)=11,SUMPRODUCT(--ISNUMBER(FIND(MID($B165,{1,2,3,4,5,6,7,8,9,10,11},1),"0123456789")))=11),1,0))</f>
        <v/>
      </c>
      <c r="G165">
        <f>IF($F165=1,VALUE(MID($B165,4,7)),"")</f>
        <v/>
      </c>
      <c r="H165">
        <f>IF($F165=1,MOD($G165,7),"")</f>
        <v/>
      </c>
    </row>
    <row r="166">
      <c r="A166" s="6" t="n"/>
      <c r="B166" s="7">
        <f>IF($A166="","",SUBSTITUTE(SUBSTITUTE(SUBSTITUTE(SUBSTITUTE($A166," ",""),"-",""),".",""),"/",""))</f>
        <v/>
      </c>
      <c r="C166" s="8">
        <f>IF($F166=1,$H166,"")</f>
        <v/>
      </c>
      <c r="D166" s="7">
        <f>IF($A166="","",IF($F166=0,"Biçim hatalı",IF(FIND(MID($B166,11,1),"0123456789")-1=$H166,"Geçerli","Kontrol hanesi hatalı (doğrusu: "&amp;$H166&amp;")")))</f>
        <v/>
      </c>
      <c r="F166">
        <f>IF($A166="","",IF(AND(LEN($B166)=11,SUMPRODUCT(--ISNUMBER(FIND(MID($B166,{1,2,3,4,5,6,7,8,9,10,11},1),"0123456789")))=11),1,0))</f>
        <v/>
      </c>
      <c r="G166">
        <f>IF($F166=1,VALUE(MID($B166,4,7)),"")</f>
        <v/>
      </c>
      <c r="H166">
        <f>IF($F166=1,MOD($G166,7),"")</f>
        <v/>
      </c>
    </row>
    <row r="167">
      <c r="A167" s="6" t="n"/>
      <c r="B167" s="7">
        <f>IF($A167="","",SUBSTITUTE(SUBSTITUTE(SUBSTITUTE(SUBSTITUTE($A167," ",""),"-",""),".",""),"/",""))</f>
        <v/>
      </c>
      <c r="C167" s="8">
        <f>IF($F167=1,$H167,"")</f>
        <v/>
      </c>
      <c r="D167" s="7">
        <f>IF($A167="","",IF($F167=0,"Biçim hatalı",IF(FIND(MID($B167,11,1),"0123456789")-1=$H167,"Geçerli","Kontrol hanesi hatalı (doğrusu: "&amp;$H167&amp;")")))</f>
        <v/>
      </c>
      <c r="F167">
        <f>IF($A167="","",IF(AND(LEN($B167)=11,SUMPRODUCT(--ISNUMBER(FIND(MID($B167,{1,2,3,4,5,6,7,8,9,10,11},1),"0123456789")))=11),1,0))</f>
        <v/>
      </c>
      <c r="G167">
        <f>IF($F167=1,VALUE(MID($B167,4,7)),"")</f>
        <v/>
      </c>
      <c r="H167">
        <f>IF($F167=1,MOD($G167,7),"")</f>
        <v/>
      </c>
    </row>
    <row r="168">
      <c r="A168" s="6" t="n"/>
      <c r="B168" s="7">
        <f>IF($A168="","",SUBSTITUTE(SUBSTITUTE(SUBSTITUTE(SUBSTITUTE($A168," ",""),"-",""),".",""),"/",""))</f>
        <v/>
      </c>
      <c r="C168" s="8">
        <f>IF($F168=1,$H168,"")</f>
        <v/>
      </c>
      <c r="D168" s="7">
        <f>IF($A168="","",IF($F168=0,"Biçim hatalı",IF(FIND(MID($B168,11,1),"0123456789")-1=$H168,"Geçerli","Kontrol hanesi hatalı (doğrusu: "&amp;$H168&amp;")")))</f>
        <v/>
      </c>
      <c r="F168">
        <f>IF($A168="","",IF(AND(LEN($B168)=11,SUMPRODUCT(--ISNUMBER(FIND(MID($B168,{1,2,3,4,5,6,7,8,9,10,11},1),"0123456789")))=11),1,0))</f>
        <v/>
      </c>
      <c r="G168">
        <f>IF($F168=1,VALUE(MID($B168,4,7)),"")</f>
        <v/>
      </c>
      <c r="H168">
        <f>IF($F168=1,MOD($G168,7),"")</f>
        <v/>
      </c>
    </row>
    <row r="169">
      <c r="A169" s="6" t="n"/>
      <c r="B169" s="7">
        <f>IF($A169="","",SUBSTITUTE(SUBSTITUTE(SUBSTITUTE(SUBSTITUTE($A169," ",""),"-",""),".",""),"/",""))</f>
        <v/>
      </c>
      <c r="C169" s="8">
        <f>IF($F169=1,$H169,"")</f>
        <v/>
      </c>
      <c r="D169" s="7">
        <f>IF($A169="","",IF($F169=0,"Biçim hatalı",IF(FIND(MID($B169,11,1),"0123456789")-1=$H169,"Geçerli","Kontrol hanesi hatalı (doğrusu: "&amp;$H169&amp;")")))</f>
        <v/>
      </c>
      <c r="F169">
        <f>IF($A169="","",IF(AND(LEN($B169)=11,SUMPRODUCT(--ISNUMBER(FIND(MID($B169,{1,2,3,4,5,6,7,8,9,10,11},1),"0123456789")))=11),1,0))</f>
        <v/>
      </c>
      <c r="G169">
        <f>IF($F169=1,VALUE(MID($B169,4,7)),"")</f>
        <v/>
      </c>
      <c r="H169">
        <f>IF($F169=1,MOD($G169,7),"")</f>
        <v/>
      </c>
    </row>
    <row r="170">
      <c r="A170" s="6" t="n"/>
      <c r="B170" s="7">
        <f>IF($A170="","",SUBSTITUTE(SUBSTITUTE(SUBSTITUTE(SUBSTITUTE($A170," ",""),"-",""),".",""),"/",""))</f>
        <v/>
      </c>
      <c r="C170" s="8">
        <f>IF($F170=1,$H170,"")</f>
        <v/>
      </c>
      <c r="D170" s="7">
        <f>IF($A170="","",IF($F170=0,"Biçim hatalı",IF(FIND(MID($B170,11,1),"0123456789")-1=$H170,"Geçerli","Kontrol hanesi hatalı (doğrusu: "&amp;$H170&amp;")")))</f>
        <v/>
      </c>
      <c r="F170">
        <f>IF($A170="","",IF(AND(LEN($B170)=11,SUMPRODUCT(--ISNUMBER(FIND(MID($B170,{1,2,3,4,5,6,7,8,9,10,11},1),"0123456789")))=11),1,0))</f>
        <v/>
      </c>
      <c r="G170">
        <f>IF($F170=1,VALUE(MID($B170,4,7)),"")</f>
        <v/>
      </c>
      <c r="H170">
        <f>IF($F170=1,MOD($G170,7),"")</f>
        <v/>
      </c>
    </row>
    <row r="171">
      <c r="A171" s="6" t="n"/>
      <c r="B171" s="7">
        <f>IF($A171="","",SUBSTITUTE(SUBSTITUTE(SUBSTITUTE(SUBSTITUTE($A171," ",""),"-",""),".",""),"/",""))</f>
        <v/>
      </c>
      <c r="C171" s="8">
        <f>IF($F171=1,$H171,"")</f>
        <v/>
      </c>
      <c r="D171" s="7">
        <f>IF($A171="","",IF($F171=0,"Biçim hatalı",IF(FIND(MID($B171,11,1),"0123456789")-1=$H171,"Geçerli","Kontrol hanesi hatalı (doğrusu: "&amp;$H171&amp;")")))</f>
        <v/>
      </c>
      <c r="F171">
        <f>IF($A171="","",IF(AND(LEN($B171)=11,SUMPRODUCT(--ISNUMBER(FIND(MID($B171,{1,2,3,4,5,6,7,8,9,10,11},1),"0123456789")))=11),1,0))</f>
        <v/>
      </c>
      <c r="G171">
        <f>IF($F171=1,VALUE(MID($B171,4,7)),"")</f>
        <v/>
      </c>
      <c r="H171">
        <f>IF($F171=1,MOD($G171,7),"")</f>
        <v/>
      </c>
    </row>
    <row r="172">
      <c r="A172" s="6" t="n"/>
      <c r="B172" s="7">
        <f>IF($A172="","",SUBSTITUTE(SUBSTITUTE(SUBSTITUTE(SUBSTITUTE($A172," ",""),"-",""),".",""),"/",""))</f>
        <v/>
      </c>
      <c r="C172" s="8">
        <f>IF($F172=1,$H172,"")</f>
        <v/>
      </c>
      <c r="D172" s="7">
        <f>IF($A172="","",IF($F172=0,"Biçim hatalı",IF(FIND(MID($B172,11,1),"0123456789")-1=$H172,"Geçerli","Kontrol hanesi hatalı (doğrusu: "&amp;$H172&amp;")")))</f>
        <v/>
      </c>
      <c r="F172">
        <f>IF($A172="","",IF(AND(LEN($B172)=11,SUMPRODUCT(--ISNUMBER(FIND(MID($B172,{1,2,3,4,5,6,7,8,9,10,11},1),"0123456789")))=11),1,0))</f>
        <v/>
      </c>
      <c r="G172">
        <f>IF($F172=1,VALUE(MID($B172,4,7)),"")</f>
        <v/>
      </c>
      <c r="H172">
        <f>IF($F172=1,MOD($G172,7),"")</f>
        <v/>
      </c>
    </row>
    <row r="173">
      <c r="A173" s="6" t="n"/>
      <c r="B173" s="7">
        <f>IF($A173="","",SUBSTITUTE(SUBSTITUTE(SUBSTITUTE(SUBSTITUTE($A173," ",""),"-",""),".",""),"/",""))</f>
        <v/>
      </c>
      <c r="C173" s="8">
        <f>IF($F173=1,$H173,"")</f>
        <v/>
      </c>
      <c r="D173" s="7">
        <f>IF($A173="","",IF($F173=0,"Biçim hatalı",IF(FIND(MID($B173,11,1),"0123456789")-1=$H173,"Geçerli","Kontrol hanesi hatalı (doğrusu: "&amp;$H173&amp;")")))</f>
        <v/>
      </c>
      <c r="F173">
        <f>IF($A173="","",IF(AND(LEN($B173)=11,SUMPRODUCT(--ISNUMBER(FIND(MID($B173,{1,2,3,4,5,6,7,8,9,10,11},1),"0123456789")))=11),1,0))</f>
        <v/>
      </c>
      <c r="G173">
        <f>IF($F173=1,VALUE(MID($B173,4,7)),"")</f>
        <v/>
      </c>
      <c r="H173">
        <f>IF($F173=1,MOD($G173,7),"")</f>
        <v/>
      </c>
    </row>
    <row r="174">
      <c r="A174" s="6" t="n"/>
      <c r="B174" s="7">
        <f>IF($A174="","",SUBSTITUTE(SUBSTITUTE(SUBSTITUTE(SUBSTITUTE($A174," ",""),"-",""),".",""),"/",""))</f>
        <v/>
      </c>
      <c r="C174" s="8">
        <f>IF($F174=1,$H174,"")</f>
        <v/>
      </c>
      <c r="D174" s="7">
        <f>IF($A174="","",IF($F174=0,"Biçim hatalı",IF(FIND(MID($B174,11,1),"0123456789")-1=$H174,"Geçerli","Kontrol hanesi hatalı (doğrusu: "&amp;$H174&amp;")")))</f>
        <v/>
      </c>
      <c r="F174">
        <f>IF($A174="","",IF(AND(LEN($B174)=11,SUMPRODUCT(--ISNUMBER(FIND(MID($B174,{1,2,3,4,5,6,7,8,9,10,11},1),"0123456789")))=11),1,0))</f>
        <v/>
      </c>
      <c r="G174">
        <f>IF($F174=1,VALUE(MID($B174,4,7)),"")</f>
        <v/>
      </c>
      <c r="H174">
        <f>IF($F174=1,MOD($G174,7),"")</f>
        <v/>
      </c>
    </row>
    <row r="175">
      <c r="A175" s="6" t="n"/>
      <c r="B175" s="7">
        <f>IF($A175="","",SUBSTITUTE(SUBSTITUTE(SUBSTITUTE(SUBSTITUTE($A175," ",""),"-",""),".",""),"/",""))</f>
        <v/>
      </c>
      <c r="C175" s="8">
        <f>IF($F175=1,$H175,"")</f>
        <v/>
      </c>
      <c r="D175" s="7">
        <f>IF($A175="","",IF($F175=0,"Biçim hatalı",IF(FIND(MID($B175,11,1),"0123456789")-1=$H175,"Geçerli","Kontrol hanesi hatalı (doğrusu: "&amp;$H175&amp;")")))</f>
        <v/>
      </c>
      <c r="F175">
        <f>IF($A175="","",IF(AND(LEN($B175)=11,SUMPRODUCT(--ISNUMBER(FIND(MID($B175,{1,2,3,4,5,6,7,8,9,10,11},1),"0123456789")))=11),1,0))</f>
        <v/>
      </c>
      <c r="G175">
        <f>IF($F175=1,VALUE(MID($B175,4,7)),"")</f>
        <v/>
      </c>
      <c r="H175">
        <f>IF($F175=1,MOD($G175,7),"")</f>
        <v/>
      </c>
    </row>
    <row r="176">
      <c r="A176" s="6" t="n"/>
      <c r="B176" s="7">
        <f>IF($A176="","",SUBSTITUTE(SUBSTITUTE(SUBSTITUTE(SUBSTITUTE($A176," ",""),"-",""),".",""),"/",""))</f>
        <v/>
      </c>
      <c r="C176" s="8">
        <f>IF($F176=1,$H176,"")</f>
        <v/>
      </c>
      <c r="D176" s="7">
        <f>IF($A176="","",IF($F176=0,"Biçim hatalı",IF(FIND(MID($B176,11,1),"0123456789")-1=$H176,"Geçerli","Kontrol hanesi hatalı (doğrusu: "&amp;$H176&amp;")")))</f>
        <v/>
      </c>
      <c r="F176">
        <f>IF($A176="","",IF(AND(LEN($B176)=11,SUMPRODUCT(--ISNUMBER(FIND(MID($B176,{1,2,3,4,5,6,7,8,9,10,11},1),"0123456789")))=11),1,0))</f>
        <v/>
      </c>
      <c r="G176">
        <f>IF($F176=1,VALUE(MID($B176,4,7)),"")</f>
        <v/>
      </c>
      <c r="H176">
        <f>IF($F176=1,MOD($G176,7),"")</f>
        <v/>
      </c>
    </row>
    <row r="177">
      <c r="A177" s="6" t="n"/>
      <c r="B177" s="7">
        <f>IF($A177="","",SUBSTITUTE(SUBSTITUTE(SUBSTITUTE(SUBSTITUTE($A177," ",""),"-",""),".",""),"/",""))</f>
        <v/>
      </c>
      <c r="C177" s="8">
        <f>IF($F177=1,$H177,"")</f>
        <v/>
      </c>
      <c r="D177" s="7">
        <f>IF($A177="","",IF($F177=0,"Biçim hatalı",IF(FIND(MID($B177,11,1),"0123456789")-1=$H177,"Geçerli","Kontrol hanesi hatalı (doğrusu: "&amp;$H177&amp;")")))</f>
        <v/>
      </c>
      <c r="F177">
        <f>IF($A177="","",IF(AND(LEN($B177)=11,SUMPRODUCT(--ISNUMBER(FIND(MID($B177,{1,2,3,4,5,6,7,8,9,10,11},1),"0123456789")))=11),1,0))</f>
        <v/>
      </c>
      <c r="G177">
        <f>IF($F177=1,VALUE(MID($B177,4,7)),"")</f>
        <v/>
      </c>
      <c r="H177">
        <f>IF($F177=1,MOD($G177,7),"")</f>
        <v/>
      </c>
    </row>
    <row r="178">
      <c r="A178" s="6" t="n"/>
      <c r="B178" s="7">
        <f>IF($A178="","",SUBSTITUTE(SUBSTITUTE(SUBSTITUTE(SUBSTITUTE($A178," ",""),"-",""),".",""),"/",""))</f>
        <v/>
      </c>
      <c r="C178" s="8">
        <f>IF($F178=1,$H178,"")</f>
        <v/>
      </c>
      <c r="D178" s="7">
        <f>IF($A178="","",IF($F178=0,"Biçim hatalı",IF(FIND(MID($B178,11,1),"0123456789")-1=$H178,"Geçerli","Kontrol hanesi hatalı (doğrusu: "&amp;$H178&amp;")")))</f>
        <v/>
      </c>
      <c r="F178">
        <f>IF($A178="","",IF(AND(LEN($B178)=11,SUMPRODUCT(--ISNUMBER(FIND(MID($B178,{1,2,3,4,5,6,7,8,9,10,11},1),"0123456789")))=11),1,0))</f>
        <v/>
      </c>
      <c r="G178">
        <f>IF($F178=1,VALUE(MID($B178,4,7)),"")</f>
        <v/>
      </c>
      <c r="H178">
        <f>IF($F178=1,MOD($G178,7),"")</f>
        <v/>
      </c>
    </row>
    <row r="179">
      <c r="A179" s="6" t="n"/>
      <c r="B179" s="7">
        <f>IF($A179="","",SUBSTITUTE(SUBSTITUTE(SUBSTITUTE(SUBSTITUTE($A179," ",""),"-",""),".",""),"/",""))</f>
        <v/>
      </c>
      <c r="C179" s="8">
        <f>IF($F179=1,$H179,"")</f>
        <v/>
      </c>
      <c r="D179" s="7">
        <f>IF($A179="","",IF($F179=0,"Biçim hatalı",IF(FIND(MID($B179,11,1),"0123456789")-1=$H179,"Geçerli","Kontrol hanesi hatalı (doğrusu: "&amp;$H179&amp;")")))</f>
        <v/>
      </c>
      <c r="F179">
        <f>IF($A179="","",IF(AND(LEN($B179)=11,SUMPRODUCT(--ISNUMBER(FIND(MID($B179,{1,2,3,4,5,6,7,8,9,10,11},1),"0123456789")))=11),1,0))</f>
        <v/>
      </c>
      <c r="G179">
        <f>IF($F179=1,VALUE(MID($B179,4,7)),"")</f>
        <v/>
      </c>
      <c r="H179">
        <f>IF($F179=1,MOD($G179,7),"")</f>
        <v/>
      </c>
    </row>
    <row r="180">
      <c r="A180" s="6" t="n"/>
      <c r="B180" s="7">
        <f>IF($A180="","",SUBSTITUTE(SUBSTITUTE(SUBSTITUTE(SUBSTITUTE($A180," ",""),"-",""),".",""),"/",""))</f>
        <v/>
      </c>
      <c r="C180" s="8">
        <f>IF($F180=1,$H180,"")</f>
        <v/>
      </c>
      <c r="D180" s="7">
        <f>IF($A180="","",IF($F180=0,"Biçim hatalı",IF(FIND(MID($B180,11,1),"0123456789")-1=$H180,"Geçerli","Kontrol hanesi hatalı (doğrusu: "&amp;$H180&amp;")")))</f>
        <v/>
      </c>
      <c r="F180">
        <f>IF($A180="","",IF(AND(LEN($B180)=11,SUMPRODUCT(--ISNUMBER(FIND(MID($B180,{1,2,3,4,5,6,7,8,9,10,11},1),"0123456789")))=11),1,0))</f>
        <v/>
      </c>
      <c r="G180">
        <f>IF($F180=1,VALUE(MID($B180,4,7)),"")</f>
        <v/>
      </c>
      <c r="H180">
        <f>IF($F180=1,MOD($G180,7),"")</f>
        <v/>
      </c>
    </row>
    <row r="181">
      <c r="A181" s="6" t="n"/>
      <c r="B181" s="7">
        <f>IF($A181="","",SUBSTITUTE(SUBSTITUTE(SUBSTITUTE(SUBSTITUTE($A181," ",""),"-",""),".",""),"/",""))</f>
        <v/>
      </c>
      <c r="C181" s="8">
        <f>IF($F181=1,$H181,"")</f>
        <v/>
      </c>
      <c r="D181" s="7">
        <f>IF($A181="","",IF($F181=0,"Biçim hatalı",IF(FIND(MID($B181,11,1),"0123456789")-1=$H181,"Geçerli","Kontrol hanesi hatalı (doğrusu: "&amp;$H181&amp;")")))</f>
        <v/>
      </c>
      <c r="F181">
        <f>IF($A181="","",IF(AND(LEN($B181)=11,SUMPRODUCT(--ISNUMBER(FIND(MID($B181,{1,2,3,4,5,6,7,8,9,10,11},1),"0123456789")))=11),1,0))</f>
        <v/>
      </c>
      <c r="G181">
        <f>IF($F181=1,VALUE(MID($B181,4,7)),"")</f>
        <v/>
      </c>
      <c r="H181">
        <f>IF($F181=1,MOD($G181,7),"")</f>
        <v/>
      </c>
    </row>
    <row r="182">
      <c r="A182" s="6" t="n"/>
      <c r="B182" s="7">
        <f>IF($A182="","",SUBSTITUTE(SUBSTITUTE(SUBSTITUTE(SUBSTITUTE($A182," ",""),"-",""),".",""),"/",""))</f>
        <v/>
      </c>
      <c r="C182" s="8">
        <f>IF($F182=1,$H182,"")</f>
        <v/>
      </c>
      <c r="D182" s="7">
        <f>IF($A182="","",IF($F182=0,"Biçim hatalı",IF(FIND(MID($B182,11,1),"0123456789")-1=$H182,"Geçerli","Kontrol hanesi hatalı (doğrusu: "&amp;$H182&amp;")")))</f>
        <v/>
      </c>
      <c r="F182">
        <f>IF($A182="","",IF(AND(LEN($B182)=11,SUMPRODUCT(--ISNUMBER(FIND(MID($B182,{1,2,3,4,5,6,7,8,9,10,11},1),"0123456789")))=11),1,0))</f>
        <v/>
      </c>
      <c r="G182">
        <f>IF($F182=1,VALUE(MID($B182,4,7)),"")</f>
        <v/>
      </c>
      <c r="H182">
        <f>IF($F182=1,MOD($G182,7),"")</f>
        <v/>
      </c>
    </row>
    <row r="183">
      <c r="A183" s="6" t="n"/>
      <c r="B183" s="7">
        <f>IF($A183="","",SUBSTITUTE(SUBSTITUTE(SUBSTITUTE(SUBSTITUTE($A183," ",""),"-",""),".",""),"/",""))</f>
        <v/>
      </c>
      <c r="C183" s="8">
        <f>IF($F183=1,$H183,"")</f>
        <v/>
      </c>
      <c r="D183" s="7">
        <f>IF($A183="","",IF($F183=0,"Biçim hatalı",IF(FIND(MID($B183,11,1),"0123456789")-1=$H183,"Geçerli","Kontrol hanesi hatalı (doğrusu: "&amp;$H183&amp;")")))</f>
        <v/>
      </c>
      <c r="F183">
        <f>IF($A183="","",IF(AND(LEN($B183)=11,SUMPRODUCT(--ISNUMBER(FIND(MID($B183,{1,2,3,4,5,6,7,8,9,10,11},1),"0123456789")))=11),1,0))</f>
        <v/>
      </c>
      <c r="G183">
        <f>IF($F183=1,VALUE(MID($B183,4,7)),"")</f>
        <v/>
      </c>
      <c r="H183">
        <f>IF($F183=1,MOD($G183,7),"")</f>
        <v/>
      </c>
    </row>
    <row r="184">
      <c r="A184" s="6" t="n"/>
      <c r="B184" s="7">
        <f>IF($A184="","",SUBSTITUTE(SUBSTITUTE(SUBSTITUTE(SUBSTITUTE($A184," ",""),"-",""),".",""),"/",""))</f>
        <v/>
      </c>
      <c r="C184" s="8">
        <f>IF($F184=1,$H184,"")</f>
        <v/>
      </c>
      <c r="D184" s="7">
        <f>IF($A184="","",IF($F184=0,"Biçim hatalı",IF(FIND(MID($B184,11,1),"0123456789")-1=$H184,"Geçerli","Kontrol hanesi hatalı (doğrusu: "&amp;$H184&amp;")")))</f>
        <v/>
      </c>
      <c r="F184">
        <f>IF($A184="","",IF(AND(LEN($B184)=11,SUMPRODUCT(--ISNUMBER(FIND(MID($B184,{1,2,3,4,5,6,7,8,9,10,11},1),"0123456789")))=11),1,0))</f>
        <v/>
      </c>
      <c r="G184">
        <f>IF($F184=1,VALUE(MID($B184,4,7)),"")</f>
        <v/>
      </c>
      <c r="H184">
        <f>IF($F184=1,MOD($G184,7),"")</f>
        <v/>
      </c>
    </row>
    <row r="185">
      <c r="A185" s="6" t="n"/>
      <c r="B185" s="7">
        <f>IF($A185="","",SUBSTITUTE(SUBSTITUTE(SUBSTITUTE(SUBSTITUTE($A185," ",""),"-",""),".",""),"/",""))</f>
        <v/>
      </c>
      <c r="C185" s="8">
        <f>IF($F185=1,$H185,"")</f>
        <v/>
      </c>
      <c r="D185" s="7">
        <f>IF($A185="","",IF($F185=0,"Biçim hatalı",IF(FIND(MID($B185,11,1),"0123456789")-1=$H185,"Geçerli","Kontrol hanesi hatalı (doğrusu: "&amp;$H185&amp;")")))</f>
        <v/>
      </c>
      <c r="F185">
        <f>IF($A185="","",IF(AND(LEN($B185)=11,SUMPRODUCT(--ISNUMBER(FIND(MID($B185,{1,2,3,4,5,6,7,8,9,10,11},1),"0123456789")))=11),1,0))</f>
        <v/>
      </c>
      <c r="G185">
        <f>IF($F185=1,VALUE(MID($B185,4,7)),"")</f>
        <v/>
      </c>
      <c r="H185">
        <f>IF($F185=1,MOD($G185,7),"")</f>
        <v/>
      </c>
    </row>
    <row r="186">
      <c r="A186" s="6" t="n"/>
      <c r="B186" s="7">
        <f>IF($A186="","",SUBSTITUTE(SUBSTITUTE(SUBSTITUTE(SUBSTITUTE($A186," ",""),"-",""),".",""),"/",""))</f>
        <v/>
      </c>
      <c r="C186" s="8">
        <f>IF($F186=1,$H186,"")</f>
        <v/>
      </c>
      <c r="D186" s="7">
        <f>IF($A186="","",IF($F186=0,"Biçim hatalı",IF(FIND(MID($B186,11,1),"0123456789")-1=$H186,"Geçerli","Kontrol hanesi hatalı (doğrusu: "&amp;$H186&amp;")")))</f>
        <v/>
      </c>
      <c r="F186">
        <f>IF($A186="","",IF(AND(LEN($B186)=11,SUMPRODUCT(--ISNUMBER(FIND(MID($B186,{1,2,3,4,5,6,7,8,9,10,11},1),"0123456789")))=11),1,0))</f>
        <v/>
      </c>
      <c r="G186">
        <f>IF($F186=1,VALUE(MID($B186,4,7)),"")</f>
        <v/>
      </c>
      <c r="H186">
        <f>IF($F186=1,MOD($G186,7),"")</f>
        <v/>
      </c>
    </row>
    <row r="187">
      <c r="A187" s="6" t="n"/>
      <c r="B187" s="7">
        <f>IF($A187="","",SUBSTITUTE(SUBSTITUTE(SUBSTITUTE(SUBSTITUTE($A187," ",""),"-",""),".",""),"/",""))</f>
        <v/>
      </c>
      <c r="C187" s="8">
        <f>IF($F187=1,$H187,"")</f>
        <v/>
      </c>
      <c r="D187" s="7">
        <f>IF($A187="","",IF($F187=0,"Biçim hatalı",IF(FIND(MID($B187,11,1),"0123456789")-1=$H187,"Geçerli","Kontrol hanesi hatalı (doğrusu: "&amp;$H187&amp;")")))</f>
        <v/>
      </c>
      <c r="F187">
        <f>IF($A187="","",IF(AND(LEN($B187)=11,SUMPRODUCT(--ISNUMBER(FIND(MID($B187,{1,2,3,4,5,6,7,8,9,10,11},1),"0123456789")))=11),1,0))</f>
        <v/>
      </c>
      <c r="G187">
        <f>IF($F187=1,VALUE(MID($B187,4,7)),"")</f>
        <v/>
      </c>
      <c r="H187">
        <f>IF($F187=1,MOD($G187,7),"")</f>
        <v/>
      </c>
    </row>
    <row r="188">
      <c r="A188" s="6" t="n"/>
      <c r="B188" s="7">
        <f>IF($A188="","",SUBSTITUTE(SUBSTITUTE(SUBSTITUTE(SUBSTITUTE($A188," ",""),"-",""),".",""),"/",""))</f>
        <v/>
      </c>
      <c r="C188" s="8">
        <f>IF($F188=1,$H188,"")</f>
        <v/>
      </c>
      <c r="D188" s="7">
        <f>IF($A188="","",IF($F188=0,"Biçim hatalı",IF(FIND(MID($B188,11,1),"0123456789")-1=$H188,"Geçerli","Kontrol hanesi hatalı (doğrusu: "&amp;$H188&amp;")")))</f>
        <v/>
      </c>
      <c r="F188">
        <f>IF($A188="","",IF(AND(LEN($B188)=11,SUMPRODUCT(--ISNUMBER(FIND(MID($B188,{1,2,3,4,5,6,7,8,9,10,11},1),"0123456789")))=11),1,0))</f>
        <v/>
      </c>
      <c r="G188">
        <f>IF($F188=1,VALUE(MID($B188,4,7)),"")</f>
        <v/>
      </c>
      <c r="H188">
        <f>IF($F188=1,MOD($G188,7),"")</f>
        <v/>
      </c>
    </row>
    <row r="189">
      <c r="A189" s="6" t="n"/>
      <c r="B189" s="7">
        <f>IF($A189="","",SUBSTITUTE(SUBSTITUTE(SUBSTITUTE(SUBSTITUTE($A189," ",""),"-",""),".",""),"/",""))</f>
        <v/>
      </c>
      <c r="C189" s="8">
        <f>IF($F189=1,$H189,"")</f>
        <v/>
      </c>
      <c r="D189" s="7">
        <f>IF($A189="","",IF($F189=0,"Biçim hatalı",IF(FIND(MID($B189,11,1),"0123456789")-1=$H189,"Geçerli","Kontrol hanesi hatalı (doğrusu: "&amp;$H189&amp;")")))</f>
        <v/>
      </c>
      <c r="F189">
        <f>IF($A189="","",IF(AND(LEN($B189)=11,SUMPRODUCT(--ISNUMBER(FIND(MID($B189,{1,2,3,4,5,6,7,8,9,10,11},1),"0123456789")))=11),1,0))</f>
        <v/>
      </c>
      <c r="G189">
        <f>IF($F189=1,VALUE(MID($B189,4,7)),"")</f>
        <v/>
      </c>
      <c r="H189">
        <f>IF($F189=1,MOD($G189,7),"")</f>
        <v/>
      </c>
    </row>
    <row r="190">
      <c r="A190" s="6" t="n"/>
      <c r="B190" s="7">
        <f>IF($A190="","",SUBSTITUTE(SUBSTITUTE(SUBSTITUTE(SUBSTITUTE($A190," ",""),"-",""),".",""),"/",""))</f>
        <v/>
      </c>
      <c r="C190" s="8">
        <f>IF($F190=1,$H190,"")</f>
        <v/>
      </c>
      <c r="D190" s="7">
        <f>IF($A190="","",IF($F190=0,"Biçim hatalı",IF(FIND(MID($B190,11,1),"0123456789")-1=$H190,"Geçerli","Kontrol hanesi hatalı (doğrusu: "&amp;$H190&amp;")")))</f>
        <v/>
      </c>
      <c r="F190">
        <f>IF($A190="","",IF(AND(LEN($B190)=11,SUMPRODUCT(--ISNUMBER(FIND(MID($B190,{1,2,3,4,5,6,7,8,9,10,11},1),"0123456789")))=11),1,0))</f>
        <v/>
      </c>
      <c r="G190">
        <f>IF($F190=1,VALUE(MID($B190,4,7)),"")</f>
        <v/>
      </c>
      <c r="H190">
        <f>IF($F190=1,MOD($G190,7),"")</f>
        <v/>
      </c>
    </row>
    <row r="191">
      <c r="A191" s="6" t="n"/>
      <c r="B191" s="7">
        <f>IF($A191="","",SUBSTITUTE(SUBSTITUTE(SUBSTITUTE(SUBSTITUTE($A191," ",""),"-",""),".",""),"/",""))</f>
        <v/>
      </c>
      <c r="C191" s="8">
        <f>IF($F191=1,$H191,"")</f>
        <v/>
      </c>
      <c r="D191" s="7">
        <f>IF($A191="","",IF($F191=0,"Biçim hatalı",IF(FIND(MID($B191,11,1),"0123456789")-1=$H191,"Geçerli","Kontrol hanesi hatalı (doğrusu: "&amp;$H191&amp;")")))</f>
        <v/>
      </c>
      <c r="F191">
        <f>IF($A191="","",IF(AND(LEN($B191)=11,SUMPRODUCT(--ISNUMBER(FIND(MID($B191,{1,2,3,4,5,6,7,8,9,10,11},1),"0123456789")))=11),1,0))</f>
        <v/>
      </c>
      <c r="G191">
        <f>IF($F191=1,VALUE(MID($B191,4,7)),"")</f>
        <v/>
      </c>
      <c r="H191">
        <f>IF($F191=1,MOD($G191,7),"")</f>
        <v/>
      </c>
    </row>
    <row r="192">
      <c r="A192" s="6" t="n"/>
      <c r="B192" s="7">
        <f>IF($A192="","",SUBSTITUTE(SUBSTITUTE(SUBSTITUTE(SUBSTITUTE($A192," ",""),"-",""),".",""),"/",""))</f>
        <v/>
      </c>
      <c r="C192" s="8">
        <f>IF($F192=1,$H192,"")</f>
        <v/>
      </c>
      <c r="D192" s="7">
        <f>IF($A192="","",IF($F192=0,"Biçim hatalı",IF(FIND(MID($B192,11,1),"0123456789")-1=$H192,"Geçerli","Kontrol hanesi hatalı (doğrusu: "&amp;$H192&amp;")")))</f>
        <v/>
      </c>
      <c r="F192">
        <f>IF($A192="","",IF(AND(LEN($B192)=11,SUMPRODUCT(--ISNUMBER(FIND(MID($B192,{1,2,3,4,5,6,7,8,9,10,11},1),"0123456789")))=11),1,0))</f>
        <v/>
      </c>
      <c r="G192">
        <f>IF($F192=1,VALUE(MID($B192,4,7)),"")</f>
        <v/>
      </c>
      <c r="H192">
        <f>IF($F192=1,MOD($G192,7),"")</f>
        <v/>
      </c>
    </row>
    <row r="193">
      <c r="A193" s="6" t="n"/>
      <c r="B193" s="7">
        <f>IF($A193="","",SUBSTITUTE(SUBSTITUTE(SUBSTITUTE(SUBSTITUTE($A193," ",""),"-",""),".",""),"/",""))</f>
        <v/>
      </c>
      <c r="C193" s="8">
        <f>IF($F193=1,$H193,"")</f>
        <v/>
      </c>
      <c r="D193" s="7">
        <f>IF($A193="","",IF($F193=0,"Biçim hatalı",IF(FIND(MID($B193,11,1),"0123456789")-1=$H193,"Geçerli","Kontrol hanesi hatalı (doğrusu: "&amp;$H193&amp;")")))</f>
        <v/>
      </c>
      <c r="F193">
        <f>IF($A193="","",IF(AND(LEN($B193)=11,SUMPRODUCT(--ISNUMBER(FIND(MID($B193,{1,2,3,4,5,6,7,8,9,10,11},1),"0123456789")))=11),1,0))</f>
        <v/>
      </c>
      <c r="G193">
        <f>IF($F193=1,VALUE(MID($B193,4,7)),"")</f>
        <v/>
      </c>
      <c r="H193">
        <f>IF($F193=1,MOD($G193,7),"")</f>
        <v/>
      </c>
    </row>
    <row r="194">
      <c r="A194" s="6" t="n"/>
      <c r="B194" s="7">
        <f>IF($A194="","",SUBSTITUTE(SUBSTITUTE(SUBSTITUTE(SUBSTITUTE($A194," ",""),"-",""),".",""),"/",""))</f>
        <v/>
      </c>
      <c r="C194" s="8">
        <f>IF($F194=1,$H194,"")</f>
        <v/>
      </c>
      <c r="D194" s="7">
        <f>IF($A194="","",IF($F194=0,"Biçim hatalı",IF(FIND(MID($B194,11,1),"0123456789")-1=$H194,"Geçerli","Kontrol hanesi hatalı (doğrusu: "&amp;$H194&amp;")")))</f>
        <v/>
      </c>
      <c r="F194">
        <f>IF($A194="","",IF(AND(LEN($B194)=11,SUMPRODUCT(--ISNUMBER(FIND(MID($B194,{1,2,3,4,5,6,7,8,9,10,11},1),"0123456789")))=11),1,0))</f>
        <v/>
      </c>
      <c r="G194">
        <f>IF($F194=1,VALUE(MID($B194,4,7)),"")</f>
        <v/>
      </c>
      <c r="H194">
        <f>IF($F194=1,MOD($G194,7),"")</f>
        <v/>
      </c>
    </row>
    <row r="195">
      <c r="A195" s="6" t="n"/>
      <c r="B195" s="7">
        <f>IF($A195="","",SUBSTITUTE(SUBSTITUTE(SUBSTITUTE(SUBSTITUTE($A195," ",""),"-",""),".",""),"/",""))</f>
        <v/>
      </c>
      <c r="C195" s="8">
        <f>IF($F195=1,$H195,"")</f>
        <v/>
      </c>
      <c r="D195" s="7">
        <f>IF($A195="","",IF($F195=0,"Biçim hatalı",IF(FIND(MID($B195,11,1),"0123456789")-1=$H195,"Geçerli","Kontrol hanesi hatalı (doğrusu: "&amp;$H195&amp;")")))</f>
        <v/>
      </c>
      <c r="F195">
        <f>IF($A195="","",IF(AND(LEN($B195)=11,SUMPRODUCT(--ISNUMBER(FIND(MID($B195,{1,2,3,4,5,6,7,8,9,10,11},1),"0123456789")))=11),1,0))</f>
        <v/>
      </c>
      <c r="G195">
        <f>IF($F195=1,VALUE(MID($B195,4,7)),"")</f>
        <v/>
      </c>
      <c r="H195">
        <f>IF($F195=1,MOD($G195,7),"")</f>
        <v/>
      </c>
    </row>
    <row r="196">
      <c r="A196" s="6" t="n"/>
      <c r="B196" s="7">
        <f>IF($A196="","",SUBSTITUTE(SUBSTITUTE(SUBSTITUTE(SUBSTITUTE($A196," ",""),"-",""),".",""),"/",""))</f>
        <v/>
      </c>
      <c r="C196" s="8">
        <f>IF($F196=1,$H196,"")</f>
        <v/>
      </c>
      <c r="D196" s="7">
        <f>IF($A196="","",IF($F196=0,"Biçim hatalı",IF(FIND(MID($B196,11,1),"0123456789")-1=$H196,"Geçerli","Kontrol hanesi hatalı (doğrusu: "&amp;$H196&amp;")")))</f>
        <v/>
      </c>
      <c r="F196">
        <f>IF($A196="","",IF(AND(LEN($B196)=11,SUMPRODUCT(--ISNUMBER(FIND(MID($B196,{1,2,3,4,5,6,7,8,9,10,11},1),"0123456789")))=11),1,0))</f>
        <v/>
      </c>
      <c r="G196">
        <f>IF($F196=1,VALUE(MID($B196,4,7)),"")</f>
        <v/>
      </c>
      <c r="H196">
        <f>IF($F196=1,MOD($G196,7),"")</f>
        <v/>
      </c>
    </row>
    <row r="197">
      <c r="A197" s="6" t="n"/>
      <c r="B197" s="7">
        <f>IF($A197="","",SUBSTITUTE(SUBSTITUTE(SUBSTITUTE(SUBSTITUTE($A197," ",""),"-",""),".",""),"/",""))</f>
        <v/>
      </c>
      <c r="C197" s="8">
        <f>IF($F197=1,$H197,"")</f>
        <v/>
      </c>
      <c r="D197" s="7">
        <f>IF($A197="","",IF($F197=0,"Biçim hatalı",IF(FIND(MID($B197,11,1),"0123456789")-1=$H197,"Geçerli","Kontrol hanesi hatalı (doğrusu: "&amp;$H197&amp;")")))</f>
        <v/>
      </c>
      <c r="F197">
        <f>IF($A197="","",IF(AND(LEN($B197)=11,SUMPRODUCT(--ISNUMBER(FIND(MID($B197,{1,2,3,4,5,6,7,8,9,10,11},1),"0123456789")))=11),1,0))</f>
        <v/>
      </c>
      <c r="G197">
        <f>IF($F197=1,VALUE(MID($B197,4,7)),"")</f>
        <v/>
      </c>
      <c r="H197">
        <f>IF($F197=1,MOD($G197,7),"")</f>
        <v/>
      </c>
    </row>
    <row r="198">
      <c r="A198" s="6" t="n"/>
      <c r="B198" s="7">
        <f>IF($A198="","",SUBSTITUTE(SUBSTITUTE(SUBSTITUTE(SUBSTITUTE($A198," ",""),"-",""),".",""),"/",""))</f>
        <v/>
      </c>
      <c r="C198" s="8">
        <f>IF($F198=1,$H198,"")</f>
        <v/>
      </c>
      <c r="D198" s="7">
        <f>IF($A198="","",IF($F198=0,"Biçim hatalı",IF(FIND(MID($B198,11,1),"0123456789")-1=$H198,"Geçerli","Kontrol hanesi hatalı (doğrusu: "&amp;$H198&amp;")")))</f>
        <v/>
      </c>
      <c r="F198">
        <f>IF($A198="","",IF(AND(LEN($B198)=11,SUMPRODUCT(--ISNUMBER(FIND(MID($B198,{1,2,3,4,5,6,7,8,9,10,11},1),"0123456789")))=11),1,0))</f>
        <v/>
      </c>
      <c r="G198">
        <f>IF($F198=1,VALUE(MID($B198,4,7)),"")</f>
        <v/>
      </c>
      <c r="H198">
        <f>IF($F198=1,MOD($G198,7),"")</f>
        <v/>
      </c>
    </row>
    <row r="199">
      <c r="A199" s="6" t="n"/>
      <c r="B199" s="7">
        <f>IF($A199="","",SUBSTITUTE(SUBSTITUTE(SUBSTITUTE(SUBSTITUTE($A199," ",""),"-",""),".",""),"/",""))</f>
        <v/>
      </c>
      <c r="C199" s="8">
        <f>IF($F199=1,$H199,"")</f>
        <v/>
      </c>
      <c r="D199" s="7">
        <f>IF($A199="","",IF($F199=0,"Biçim hatalı",IF(FIND(MID($B199,11,1),"0123456789")-1=$H199,"Geçerli","Kontrol hanesi hatalı (doğrusu: "&amp;$H199&amp;")")))</f>
        <v/>
      </c>
      <c r="F199">
        <f>IF($A199="","",IF(AND(LEN($B199)=11,SUMPRODUCT(--ISNUMBER(FIND(MID($B199,{1,2,3,4,5,6,7,8,9,10,11},1),"0123456789")))=11),1,0))</f>
        <v/>
      </c>
      <c r="G199">
        <f>IF($F199=1,VALUE(MID($B199,4,7)),"")</f>
        <v/>
      </c>
      <c r="H199">
        <f>IF($F199=1,MOD($G199,7),"")</f>
        <v/>
      </c>
    </row>
    <row r="200">
      <c r="A200" s="6" t="n"/>
      <c r="B200" s="7">
        <f>IF($A200="","",SUBSTITUTE(SUBSTITUTE(SUBSTITUTE(SUBSTITUTE($A200," ",""),"-",""),".",""),"/",""))</f>
        <v/>
      </c>
      <c r="C200" s="8">
        <f>IF($F200=1,$H200,"")</f>
        <v/>
      </c>
      <c r="D200" s="7">
        <f>IF($A200="","",IF($F200=0,"Biçim hatalı",IF(FIND(MID($B200,11,1),"0123456789")-1=$H200,"Geçerli","Kontrol hanesi hatalı (doğrusu: "&amp;$H200&amp;")")))</f>
        <v/>
      </c>
      <c r="F200">
        <f>IF($A200="","",IF(AND(LEN($B200)=11,SUMPRODUCT(--ISNUMBER(FIND(MID($B200,{1,2,3,4,5,6,7,8,9,10,11},1),"0123456789")))=11),1,0))</f>
        <v/>
      </c>
      <c r="G200">
        <f>IF($F200=1,VALUE(MID($B200,4,7)),"")</f>
        <v/>
      </c>
      <c r="H200">
        <f>IF($F200=1,MOD($G200,7),"")</f>
        <v/>
      </c>
    </row>
    <row r="201">
      <c r="A201" s="6" t="n"/>
      <c r="B201" s="7">
        <f>IF($A201="","",SUBSTITUTE(SUBSTITUTE(SUBSTITUTE(SUBSTITUTE($A201," ",""),"-",""),".",""),"/",""))</f>
        <v/>
      </c>
      <c r="C201" s="8">
        <f>IF($F201=1,$H201,"")</f>
        <v/>
      </c>
      <c r="D201" s="7">
        <f>IF($A201="","",IF($F201=0,"Biçim hatalı",IF(FIND(MID($B201,11,1),"0123456789")-1=$H201,"Geçerli","Kontrol hanesi hatalı (doğrusu: "&amp;$H201&amp;")")))</f>
        <v/>
      </c>
      <c r="F201">
        <f>IF($A201="","",IF(AND(LEN($B201)=11,SUMPRODUCT(--ISNUMBER(FIND(MID($B201,{1,2,3,4,5,6,7,8,9,10,11},1),"0123456789")))=11),1,0))</f>
        <v/>
      </c>
      <c r="G201">
        <f>IF($F201=1,VALUE(MID($B201,4,7)),"")</f>
        <v/>
      </c>
      <c r="H201">
        <f>IF($F201=1,MOD($G201,7),"")</f>
        <v/>
      </c>
    </row>
    <row r="202">
      <c r="A202" s="6" t="n"/>
      <c r="B202" s="7">
        <f>IF($A202="","",SUBSTITUTE(SUBSTITUTE(SUBSTITUTE(SUBSTITUTE($A202," ",""),"-",""),".",""),"/",""))</f>
        <v/>
      </c>
      <c r="C202" s="8">
        <f>IF($F202=1,$H202,"")</f>
        <v/>
      </c>
      <c r="D202" s="7">
        <f>IF($A202="","",IF($F202=0,"Biçim hatalı",IF(FIND(MID($B202,11,1),"0123456789")-1=$H202,"Geçerli","Kontrol hanesi hatalı (doğrusu: "&amp;$H202&amp;")")))</f>
        <v/>
      </c>
      <c r="F202">
        <f>IF($A202="","",IF(AND(LEN($B202)=11,SUMPRODUCT(--ISNUMBER(FIND(MID($B202,{1,2,3,4,5,6,7,8,9,10,11},1),"0123456789")))=11),1,0))</f>
        <v/>
      </c>
      <c r="G202">
        <f>IF($F202=1,VALUE(MID($B202,4,7)),"")</f>
        <v/>
      </c>
      <c r="H202">
        <f>IF($F202=1,MOD($G202,7),"")</f>
        <v/>
      </c>
    </row>
    <row r="203">
      <c r="A203" s="6" t="n"/>
      <c r="B203" s="7">
        <f>IF($A203="","",SUBSTITUTE(SUBSTITUTE(SUBSTITUTE(SUBSTITUTE($A203," ",""),"-",""),".",""),"/",""))</f>
        <v/>
      </c>
      <c r="C203" s="8">
        <f>IF($F203=1,$H203,"")</f>
        <v/>
      </c>
      <c r="D203" s="7">
        <f>IF($A203="","",IF($F203=0,"Biçim hatalı",IF(FIND(MID($B203,11,1),"0123456789")-1=$H203,"Geçerli","Kontrol hanesi hatalı (doğrusu: "&amp;$H203&amp;")")))</f>
        <v/>
      </c>
      <c r="F203">
        <f>IF($A203="","",IF(AND(LEN($B203)=11,SUMPRODUCT(--ISNUMBER(FIND(MID($B203,{1,2,3,4,5,6,7,8,9,10,11},1),"0123456789")))=11),1,0))</f>
        <v/>
      </c>
      <c r="G203">
        <f>IF($F203=1,VALUE(MID($B203,4,7)),"")</f>
        <v/>
      </c>
      <c r="H203">
        <f>IF($F203=1,MOD($G203,7),"")</f>
        <v/>
      </c>
    </row>
    <row r="204">
      <c r="A204" s="6" t="n"/>
      <c r="B204" s="7">
        <f>IF($A204="","",SUBSTITUTE(SUBSTITUTE(SUBSTITUTE(SUBSTITUTE($A204," ",""),"-",""),".",""),"/",""))</f>
        <v/>
      </c>
      <c r="C204" s="8">
        <f>IF($F204=1,$H204,"")</f>
        <v/>
      </c>
      <c r="D204" s="7">
        <f>IF($A204="","",IF($F204=0,"Biçim hatalı",IF(FIND(MID($B204,11,1),"0123456789")-1=$H204,"Geçerli","Kontrol hanesi hatalı (doğrusu: "&amp;$H204&amp;")")))</f>
        <v/>
      </c>
      <c r="F204">
        <f>IF($A204="","",IF(AND(LEN($B204)=11,SUMPRODUCT(--ISNUMBER(FIND(MID($B204,{1,2,3,4,5,6,7,8,9,10,11},1),"0123456789")))=11),1,0))</f>
        <v/>
      </c>
      <c r="G204">
        <f>IF($F204=1,VALUE(MID($B204,4,7)),"")</f>
        <v/>
      </c>
      <c r="H204">
        <f>IF($F204=1,MOD($G204,7),"")</f>
        <v/>
      </c>
    </row>
    <row r="205">
      <c r="A205" s="6" t="n"/>
      <c r="B205" s="7">
        <f>IF($A205="","",SUBSTITUTE(SUBSTITUTE(SUBSTITUTE(SUBSTITUTE($A205," ",""),"-",""),".",""),"/",""))</f>
        <v/>
      </c>
      <c r="C205" s="8">
        <f>IF($F205=1,$H205,"")</f>
        <v/>
      </c>
      <c r="D205" s="7">
        <f>IF($A205="","",IF($F205=0,"Biçim hatalı",IF(FIND(MID($B205,11,1),"0123456789")-1=$H205,"Geçerli","Kontrol hanesi hatalı (doğrusu: "&amp;$H205&amp;")")))</f>
        <v/>
      </c>
      <c r="F205">
        <f>IF($A205="","",IF(AND(LEN($B205)=11,SUMPRODUCT(--ISNUMBER(FIND(MID($B205,{1,2,3,4,5,6,7,8,9,10,11},1),"0123456789")))=11),1,0))</f>
        <v/>
      </c>
      <c r="G205">
        <f>IF($F205=1,VALUE(MID($B205,4,7)),"")</f>
        <v/>
      </c>
      <c r="H205">
        <f>IF($F205=1,MOD($G205,7),"")</f>
        <v/>
      </c>
    </row>
    <row r="206">
      <c r="A206" s="6" t="n"/>
      <c r="B206" s="7">
        <f>IF($A206="","",SUBSTITUTE(SUBSTITUTE(SUBSTITUTE(SUBSTITUTE($A206," ",""),"-",""),".",""),"/",""))</f>
        <v/>
      </c>
      <c r="C206" s="8">
        <f>IF($F206=1,$H206,"")</f>
        <v/>
      </c>
      <c r="D206" s="7">
        <f>IF($A206="","",IF($F206=0,"Biçim hatalı",IF(FIND(MID($B206,11,1),"0123456789")-1=$H206,"Geçerli","Kontrol hanesi hatalı (doğrusu: "&amp;$H206&amp;")")))</f>
        <v/>
      </c>
      <c r="F206">
        <f>IF($A206="","",IF(AND(LEN($B206)=11,SUMPRODUCT(--ISNUMBER(FIND(MID($B206,{1,2,3,4,5,6,7,8,9,10,11},1),"0123456789")))=11),1,0))</f>
        <v/>
      </c>
      <c r="G206">
        <f>IF($F206=1,VALUE(MID($B206,4,7)),"")</f>
        <v/>
      </c>
      <c r="H206">
        <f>IF($F206=1,MOD($G206,7),"")</f>
        <v/>
      </c>
    </row>
    <row r="207">
      <c r="A207" s="6" t="n"/>
      <c r="B207" s="7">
        <f>IF($A207="","",SUBSTITUTE(SUBSTITUTE(SUBSTITUTE(SUBSTITUTE($A207," ",""),"-",""),".",""),"/",""))</f>
        <v/>
      </c>
      <c r="C207" s="8">
        <f>IF($F207=1,$H207,"")</f>
        <v/>
      </c>
      <c r="D207" s="7">
        <f>IF($A207="","",IF($F207=0,"Biçim hatalı",IF(FIND(MID($B207,11,1),"0123456789")-1=$H207,"Geçerli","Kontrol hanesi hatalı (doğrusu: "&amp;$H207&amp;")")))</f>
        <v/>
      </c>
      <c r="F207">
        <f>IF($A207="","",IF(AND(LEN($B207)=11,SUMPRODUCT(--ISNUMBER(FIND(MID($B207,{1,2,3,4,5,6,7,8,9,10,11},1),"0123456789")))=11),1,0))</f>
        <v/>
      </c>
      <c r="G207">
        <f>IF($F207=1,VALUE(MID($B207,4,7)),"")</f>
        <v/>
      </c>
      <c r="H207">
        <f>IF($F207=1,MOD($G207,7),"")</f>
        <v/>
      </c>
    </row>
    <row r="208">
      <c r="A208" s="6" t="n"/>
      <c r="B208" s="7">
        <f>IF($A208="","",SUBSTITUTE(SUBSTITUTE(SUBSTITUTE(SUBSTITUTE($A208," ",""),"-",""),".",""),"/",""))</f>
        <v/>
      </c>
      <c r="C208" s="8">
        <f>IF($F208=1,$H208,"")</f>
        <v/>
      </c>
      <c r="D208" s="7">
        <f>IF($A208="","",IF($F208=0,"Biçim hatalı",IF(FIND(MID($B208,11,1),"0123456789")-1=$H208,"Geçerli","Kontrol hanesi hatalı (doğrusu: "&amp;$H208&amp;")")))</f>
        <v/>
      </c>
      <c r="F208">
        <f>IF($A208="","",IF(AND(LEN($B208)=11,SUMPRODUCT(--ISNUMBER(FIND(MID($B208,{1,2,3,4,5,6,7,8,9,10,11},1),"0123456789")))=11),1,0))</f>
        <v/>
      </c>
      <c r="G208">
        <f>IF($F208=1,VALUE(MID($B208,4,7)),"")</f>
        <v/>
      </c>
      <c r="H208">
        <f>IF($F208=1,MOD($G208,7),"")</f>
        <v/>
      </c>
    </row>
    <row r="209">
      <c r="A209" s="6" t="n"/>
      <c r="B209" s="7">
        <f>IF($A209="","",SUBSTITUTE(SUBSTITUTE(SUBSTITUTE(SUBSTITUTE($A209," ",""),"-",""),".",""),"/",""))</f>
        <v/>
      </c>
      <c r="C209" s="8">
        <f>IF($F209=1,$H209,"")</f>
        <v/>
      </c>
      <c r="D209" s="7">
        <f>IF($A209="","",IF($F209=0,"Biçim hatalı",IF(FIND(MID($B209,11,1),"0123456789")-1=$H209,"Geçerli","Kontrol hanesi hatalı (doğrusu: "&amp;$H209&amp;")")))</f>
        <v/>
      </c>
      <c r="F209">
        <f>IF($A209="","",IF(AND(LEN($B209)=11,SUMPRODUCT(--ISNUMBER(FIND(MID($B209,{1,2,3,4,5,6,7,8,9,10,11},1),"0123456789")))=11),1,0))</f>
        <v/>
      </c>
      <c r="G209">
        <f>IF($F209=1,VALUE(MID($B209,4,7)),"")</f>
        <v/>
      </c>
      <c r="H209">
        <f>IF($F209=1,MOD($G209,7),"")</f>
        <v/>
      </c>
    </row>
    <row r="210">
      <c r="A210" s="6" t="n"/>
      <c r="B210" s="7">
        <f>IF($A210="","",SUBSTITUTE(SUBSTITUTE(SUBSTITUTE(SUBSTITUTE($A210," ",""),"-",""),".",""),"/",""))</f>
        <v/>
      </c>
      <c r="C210" s="8">
        <f>IF($F210=1,$H210,"")</f>
        <v/>
      </c>
      <c r="D210" s="7">
        <f>IF($A210="","",IF($F210=0,"Biçim hatalı",IF(FIND(MID($B210,11,1),"0123456789")-1=$H210,"Geçerli","Kontrol hanesi hatalı (doğrusu: "&amp;$H210&amp;")")))</f>
        <v/>
      </c>
      <c r="F210">
        <f>IF($A210="","",IF(AND(LEN($B210)=11,SUMPRODUCT(--ISNUMBER(FIND(MID($B210,{1,2,3,4,5,6,7,8,9,10,11},1),"0123456789")))=11),1,0))</f>
        <v/>
      </c>
      <c r="G210">
        <f>IF($F210=1,VALUE(MID($B210,4,7)),"")</f>
        <v/>
      </c>
      <c r="H210">
        <f>IF($F210=1,MOD($G210,7),"")</f>
        <v/>
      </c>
    </row>
    <row r="211">
      <c r="A211" s="6" t="n"/>
      <c r="B211" s="7">
        <f>IF($A211="","",SUBSTITUTE(SUBSTITUTE(SUBSTITUTE(SUBSTITUTE($A211," ",""),"-",""),".",""),"/",""))</f>
        <v/>
      </c>
      <c r="C211" s="8">
        <f>IF($F211=1,$H211,"")</f>
        <v/>
      </c>
      <c r="D211" s="7">
        <f>IF($A211="","",IF($F211=0,"Biçim hatalı",IF(FIND(MID($B211,11,1),"0123456789")-1=$H211,"Geçerli","Kontrol hanesi hatalı (doğrusu: "&amp;$H211&amp;")")))</f>
        <v/>
      </c>
      <c r="F211">
        <f>IF($A211="","",IF(AND(LEN($B211)=11,SUMPRODUCT(--ISNUMBER(FIND(MID($B211,{1,2,3,4,5,6,7,8,9,10,11},1),"0123456789")))=11),1,0))</f>
        <v/>
      </c>
      <c r="G211">
        <f>IF($F211=1,VALUE(MID($B211,4,7)),"")</f>
        <v/>
      </c>
      <c r="H211">
        <f>IF($F211=1,MOD($G211,7),"")</f>
        <v/>
      </c>
    </row>
    <row r="212">
      <c r="A212" s="6" t="n"/>
      <c r="B212" s="7">
        <f>IF($A212="","",SUBSTITUTE(SUBSTITUTE(SUBSTITUTE(SUBSTITUTE($A212," ",""),"-",""),".",""),"/",""))</f>
        <v/>
      </c>
      <c r="C212" s="8">
        <f>IF($F212=1,$H212,"")</f>
        <v/>
      </c>
      <c r="D212" s="7">
        <f>IF($A212="","",IF($F212=0,"Biçim hatalı",IF(FIND(MID($B212,11,1),"0123456789")-1=$H212,"Geçerli","Kontrol hanesi hatalı (doğrusu: "&amp;$H212&amp;")")))</f>
        <v/>
      </c>
      <c r="F212">
        <f>IF($A212="","",IF(AND(LEN($B212)=11,SUMPRODUCT(--ISNUMBER(FIND(MID($B212,{1,2,3,4,5,6,7,8,9,10,11},1),"0123456789")))=11),1,0))</f>
        <v/>
      </c>
      <c r="G212">
        <f>IF($F212=1,VALUE(MID($B212,4,7)),"")</f>
        <v/>
      </c>
      <c r="H212">
        <f>IF($F212=1,MOD($G212,7),"")</f>
        <v/>
      </c>
    </row>
    <row r="213">
      <c r="A213" s="6" t="n"/>
      <c r="B213" s="7">
        <f>IF($A213="","",SUBSTITUTE(SUBSTITUTE(SUBSTITUTE(SUBSTITUTE($A213," ",""),"-",""),".",""),"/",""))</f>
        <v/>
      </c>
      <c r="C213" s="8">
        <f>IF($F213=1,$H213,"")</f>
        <v/>
      </c>
      <c r="D213" s="7">
        <f>IF($A213="","",IF($F213=0,"Biçim hatalı",IF(FIND(MID($B213,11,1),"0123456789")-1=$H213,"Geçerli","Kontrol hanesi hatalı (doğrusu: "&amp;$H213&amp;")")))</f>
        <v/>
      </c>
      <c r="F213">
        <f>IF($A213="","",IF(AND(LEN($B213)=11,SUMPRODUCT(--ISNUMBER(FIND(MID($B213,{1,2,3,4,5,6,7,8,9,10,11},1),"0123456789")))=11),1,0))</f>
        <v/>
      </c>
      <c r="G213">
        <f>IF($F213=1,VALUE(MID($B213,4,7)),"")</f>
        <v/>
      </c>
      <c r="H213">
        <f>IF($F213=1,MOD($G213,7),"")</f>
        <v/>
      </c>
    </row>
    <row r="214">
      <c r="A214" s="6" t="n"/>
      <c r="B214" s="7">
        <f>IF($A214="","",SUBSTITUTE(SUBSTITUTE(SUBSTITUTE(SUBSTITUTE($A214," ",""),"-",""),".",""),"/",""))</f>
        <v/>
      </c>
      <c r="C214" s="8">
        <f>IF($F214=1,$H214,"")</f>
        <v/>
      </c>
      <c r="D214" s="7">
        <f>IF($A214="","",IF($F214=0,"Biçim hatalı",IF(FIND(MID($B214,11,1),"0123456789")-1=$H214,"Geçerli","Kontrol hanesi hatalı (doğrusu: "&amp;$H214&amp;")")))</f>
        <v/>
      </c>
      <c r="F214">
        <f>IF($A214="","",IF(AND(LEN($B214)=11,SUMPRODUCT(--ISNUMBER(FIND(MID($B214,{1,2,3,4,5,6,7,8,9,10,11},1),"0123456789")))=11),1,0))</f>
        <v/>
      </c>
      <c r="G214">
        <f>IF($F214=1,VALUE(MID($B214,4,7)),"")</f>
        <v/>
      </c>
      <c r="H214">
        <f>IF($F214=1,MOD($G214,7),"")</f>
        <v/>
      </c>
    </row>
    <row r="215">
      <c r="A215" s="6" t="n"/>
      <c r="B215" s="7">
        <f>IF($A215="","",SUBSTITUTE(SUBSTITUTE(SUBSTITUTE(SUBSTITUTE($A215," ",""),"-",""),".",""),"/",""))</f>
        <v/>
      </c>
      <c r="C215" s="8">
        <f>IF($F215=1,$H215,"")</f>
        <v/>
      </c>
      <c r="D215" s="7">
        <f>IF($A215="","",IF($F215=0,"Biçim hatalı",IF(FIND(MID($B215,11,1),"0123456789")-1=$H215,"Geçerli","Kontrol hanesi hatalı (doğrusu: "&amp;$H215&amp;")")))</f>
        <v/>
      </c>
      <c r="F215">
        <f>IF($A215="","",IF(AND(LEN($B215)=11,SUMPRODUCT(--ISNUMBER(FIND(MID($B215,{1,2,3,4,5,6,7,8,9,10,11},1),"0123456789")))=11),1,0))</f>
        <v/>
      </c>
      <c r="G215">
        <f>IF($F215=1,VALUE(MID($B215,4,7)),"")</f>
        <v/>
      </c>
      <c r="H215">
        <f>IF($F215=1,MOD($G215,7),"")</f>
        <v/>
      </c>
    </row>
    <row r="216">
      <c r="A216" s="6" t="n"/>
      <c r="B216" s="7">
        <f>IF($A216="","",SUBSTITUTE(SUBSTITUTE(SUBSTITUTE(SUBSTITUTE($A216," ",""),"-",""),".",""),"/",""))</f>
        <v/>
      </c>
      <c r="C216" s="8">
        <f>IF($F216=1,$H216,"")</f>
        <v/>
      </c>
      <c r="D216" s="7">
        <f>IF($A216="","",IF($F216=0,"Biçim hatalı",IF(FIND(MID($B216,11,1),"0123456789")-1=$H216,"Geçerli","Kontrol hanesi hatalı (doğrusu: "&amp;$H216&amp;")")))</f>
        <v/>
      </c>
      <c r="F216">
        <f>IF($A216="","",IF(AND(LEN($B216)=11,SUMPRODUCT(--ISNUMBER(FIND(MID($B216,{1,2,3,4,5,6,7,8,9,10,11},1),"0123456789")))=11),1,0))</f>
        <v/>
      </c>
      <c r="G216">
        <f>IF($F216=1,VALUE(MID($B216,4,7)),"")</f>
        <v/>
      </c>
      <c r="H216">
        <f>IF($F216=1,MOD($G216,7),"")</f>
        <v/>
      </c>
    </row>
    <row r="217">
      <c r="A217" s="6" t="n"/>
      <c r="B217" s="7">
        <f>IF($A217="","",SUBSTITUTE(SUBSTITUTE(SUBSTITUTE(SUBSTITUTE($A217," ",""),"-",""),".",""),"/",""))</f>
        <v/>
      </c>
      <c r="C217" s="8">
        <f>IF($F217=1,$H217,"")</f>
        <v/>
      </c>
      <c r="D217" s="7">
        <f>IF($A217="","",IF($F217=0,"Biçim hatalı",IF(FIND(MID($B217,11,1),"0123456789")-1=$H217,"Geçerli","Kontrol hanesi hatalı (doğrusu: "&amp;$H217&amp;")")))</f>
        <v/>
      </c>
      <c r="F217">
        <f>IF($A217="","",IF(AND(LEN($B217)=11,SUMPRODUCT(--ISNUMBER(FIND(MID($B217,{1,2,3,4,5,6,7,8,9,10,11},1),"0123456789")))=11),1,0))</f>
        <v/>
      </c>
      <c r="G217">
        <f>IF($F217=1,VALUE(MID($B217,4,7)),"")</f>
        <v/>
      </c>
      <c r="H217">
        <f>IF($F217=1,MOD($G217,7),"")</f>
        <v/>
      </c>
    </row>
    <row r="218">
      <c r="A218" s="6" t="n"/>
      <c r="B218" s="7">
        <f>IF($A218="","",SUBSTITUTE(SUBSTITUTE(SUBSTITUTE(SUBSTITUTE($A218," ",""),"-",""),".",""),"/",""))</f>
        <v/>
      </c>
      <c r="C218" s="8">
        <f>IF($F218=1,$H218,"")</f>
        <v/>
      </c>
      <c r="D218" s="7">
        <f>IF($A218="","",IF($F218=0,"Biçim hatalı",IF(FIND(MID($B218,11,1),"0123456789")-1=$H218,"Geçerli","Kontrol hanesi hatalı (doğrusu: "&amp;$H218&amp;")")))</f>
        <v/>
      </c>
      <c r="F218">
        <f>IF($A218="","",IF(AND(LEN($B218)=11,SUMPRODUCT(--ISNUMBER(FIND(MID($B218,{1,2,3,4,5,6,7,8,9,10,11},1),"0123456789")))=11),1,0))</f>
        <v/>
      </c>
      <c r="G218">
        <f>IF($F218=1,VALUE(MID($B218,4,7)),"")</f>
        <v/>
      </c>
      <c r="H218">
        <f>IF($F218=1,MOD($G218,7),"")</f>
        <v/>
      </c>
    </row>
    <row r="219">
      <c r="A219" s="6" t="n"/>
      <c r="B219" s="7">
        <f>IF($A219="","",SUBSTITUTE(SUBSTITUTE(SUBSTITUTE(SUBSTITUTE($A219," ",""),"-",""),".",""),"/",""))</f>
        <v/>
      </c>
      <c r="C219" s="8">
        <f>IF($F219=1,$H219,"")</f>
        <v/>
      </c>
      <c r="D219" s="7">
        <f>IF($A219="","",IF($F219=0,"Biçim hatalı",IF(FIND(MID($B219,11,1),"0123456789")-1=$H219,"Geçerli","Kontrol hanesi hatalı (doğrusu: "&amp;$H219&amp;")")))</f>
        <v/>
      </c>
      <c r="F219">
        <f>IF($A219="","",IF(AND(LEN($B219)=11,SUMPRODUCT(--ISNUMBER(FIND(MID($B219,{1,2,3,4,5,6,7,8,9,10,11},1),"0123456789")))=11),1,0))</f>
        <v/>
      </c>
      <c r="G219">
        <f>IF($F219=1,VALUE(MID($B219,4,7)),"")</f>
        <v/>
      </c>
      <c r="H219">
        <f>IF($F219=1,MOD($G219,7),"")</f>
        <v/>
      </c>
    </row>
    <row r="220">
      <c r="A220" s="6" t="n"/>
      <c r="B220" s="7">
        <f>IF($A220="","",SUBSTITUTE(SUBSTITUTE(SUBSTITUTE(SUBSTITUTE($A220," ",""),"-",""),".",""),"/",""))</f>
        <v/>
      </c>
      <c r="C220" s="8">
        <f>IF($F220=1,$H220,"")</f>
        <v/>
      </c>
      <c r="D220" s="7">
        <f>IF($A220="","",IF($F220=0,"Biçim hatalı",IF(FIND(MID($B220,11,1),"0123456789")-1=$H220,"Geçerli","Kontrol hanesi hatalı (doğrusu: "&amp;$H220&amp;")")))</f>
        <v/>
      </c>
      <c r="F220">
        <f>IF($A220="","",IF(AND(LEN($B220)=11,SUMPRODUCT(--ISNUMBER(FIND(MID($B220,{1,2,3,4,5,6,7,8,9,10,11},1),"0123456789")))=11),1,0))</f>
        <v/>
      </c>
      <c r="G220">
        <f>IF($F220=1,VALUE(MID($B220,4,7)),"")</f>
        <v/>
      </c>
      <c r="H220">
        <f>IF($F220=1,MOD($G220,7),"")</f>
        <v/>
      </c>
    </row>
    <row r="221">
      <c r="A221" s="6" t="n"/>
      <c r="B221" s="7">
        <f>IF($A221="","",SUBSTITUTE(SUBSTITUTE(SUBSTITUTE(SUBSTITUTE($A221," ",""),"-",""),".",""),"/",""))</f>
        <v/>
      </c>
      <c r="C221" s="8">
        <f>IF($F221=1,$H221,"")</f>
        <v/>
      </c>
      <c r="D221" s="7">
        <f>IF($A221="","",IF($F221=0,"Biçim hatalı",IF(FIND(MID($B221,11,1),"0123456789")-1=$H221,"Geçerli","Kontrol hanesi hatalı (doğrusu: "&amp;$H221&amp;")")))</f>
        <v/>
      </c>
      <c r="F221">
        <f>IF($A221="","",IF(AND(LEN($B221)=11,SUMPRODUCT(--ISNUMBER(FIND(MID($B221,{1,2,3,4,5,6,7,8,9,10,11},1),"0123456789")))=11),1,0))</f>
        <v/>
      </c>
      <c r="G221">
        <f>IF($F221=1,VALUE(MID($B221,4,7)),"")</f>
        <v/>
      </c>
      <c r="H221">
        <f>IF($F221=1,MOD($G221,7),"")</f>
        <v/>
      </c>
    </row>
    <row r="222">
      <c r="A222" s="6" t="n"/>
      <c r="B222" s="7">
        <f>IF($A222="","",SUBSTITUTE(SUBSTITUTE(SUBSTITUTE(SUBSTITUTE($A222," ",""),"-",""),".",""),"/",""))</f>
        <v/>
      </c>
      <c r="C222" s="8">
        <f>IF($F222=1,$H222,"")</f>
        <v/>
      </c>
      <c r="D222" s="7">
        <f>IF($A222="","",IF($F222=0,"Biçim hatalı",IF(FIND(MID($B222,11,1),"0123456789")-1=$H222,"Geçerli","Kontrol hanesi hatalı (doğrusu: "&amp;$H222&amp;")")))</f>
        <v/>
      </c>
      <c r="F222">
        <f>IF($A222="","",IF(AND(LEN($B222)=11,SUMPRODUCT(--ISNUMBER(FIND(MID($B222,{1,2,3,4,5,6,7,8,9,10,11},1),"0123456789")))=11),1,0))</f>
        <v/>
      </c>
      <c r="G222">
        <f>IF($F222=1,VALUE(MID($B222,4,7)),"")</f>
        <v/>
      </c>
      <c r="H222">
        <f>IF($F222=1,MOD($G222,7),"")</f>
        <v/>
      </c>
    </row>
    <row r="223">
      <c r="A223" s="6" t="n"/>
      <c r="B223" s="7">
        <f>IF($A223="","",SUBSTITUTE(SUBSTITUTE(SUBSTITUTE(SUBSTITUTE($A223," ",""),"-",""),".",""),"/",""))</f>
        <v/>
      </c>
      <c r="C223" s="8">
        <f>IF($F223=1,$H223,"")</f>
        <v/>
      </c>
      <c r="D223" s="7">
        <f>IF($A223="","",IF($F223=0,"Biçim hatalı",IF(FIND(MID($B223,11,1),"0123456789")-1=$H223,"Geçerli","Kontrol hanesi hatalı (doğrusu: "&amp;$H223&amp;")")))</f>
        <v/>
      </c>
      <c r="F223">
        <f>IF($A223="","",IF(AND(LEN($B223)=11,SUMPRODUCT(--ISNUMBER(FIND(MID($B223,{1,2,3,4,5,6,7,8,9,10,11},1),"0123456789")))=11),1,0))</f>
        <v/>
      </c>
      <c r="G223">
        <f>IF($F223=1,VALUE(MID($B223,4,7)),"")</f>
        <v/>
      </c>
      <c r="H223">
        <f>IF($F223=1,MOD($G223,7),"")</f>
        <v/>
      </c>
    </row>
    <row r="224">
      <c r="A224" s="6" t="n"/>
      <c r="B224" s="7">
        <f>IF($A224="","",SUBSTITUTE(SUBSTITUTE(SUBSTITUTE(SUBSTITUTE($A224," ",""),"-",""),".",""),"/",""))</f>
        <v/>
      </c>
      <c r="C224" s="8">
        <f>IF($F224=1,$H224,"")</f>
        <v/>
      </c>
      <c r="D224" s="7">
        <f>IF($A224="","",IF($F224=0,"Biçim hatalı",IF(FIND(MID($B224,11,1),"0123456789")-1=$H224,"Geçerli","Kontrol hanesi hatalı (doğrusu: "&amp;$H224&amp;")")))</f>
        <v/>
      </c>
      <c r="F224">
        <f>IF($A224="","",IF(AND(LEN($B224)=11,SUMPRODUCT(--ISNUMBER(FIND(MID($B224,{1,2,3,4,5,6,7,8,9,10,11},1),"0123456789")))=11),1,0))</f>
        <v/>
      </c>
      <c r="G224">
        <f>IF($F224=1,VALUE(MID($B224,4,7)),"")</f>
        <v/>
      </c>
      <c r="H224">
        <f>IF($F224=1,MOD($G224,7),"")</f>
        <v/>
      </c>
    </row>
    <row r="225">
      <c r="A225" s="6" t="n"/>
      <c r="B225" s="7">
        <f>IF($A225="","",SUBSTITUTE(SUBSTITUTE(SUBSTITUTE(SUBSTITUTE($A225," ",""),"-",""),".",""),"/",""))</f>
        <v/>
      </c>
      <c r="C225" s="8">
        <f>IF($F225=1,$H225,"")</f>
        <v/>
      </c>
      <c r="D225" s="7">
        <f>IF($A225="","",IF($F225=0,"Biçim hatalı",IF(FIND(MID($B225,11,1),"0123456789")-1=$H225,"Geçerli","Kontrol hanesi hatalı (doğrusu: "&amp;$H225&amp;")")))</f>
        <v/>
      </c>
      <c r="F225">
        <f>IF($A225="","",IF(AND(LEN($B225)=11,SUMPRODUCT(--ISNUMBER(FIND(MID($B225,{1,2,3,4,5,6,7,8,9,10,11},1),"0123456789")))=11),1,0))</f>
        <v/>
      </c>
      <c r="G225">
        <f>IF($F225=1,VALUE(MID($B225,4,7)),"")</f>
        <v/>
      </c>
      <c r="H225">
        <f>IF($F225=1,MOD($G225,7),"")</f>
        <v/>
      </c>
    </row>
    <row r="226">
      <c r="A226" s="6" t="n"/>
      <c r="B226" s="7">
        <f>IF($A226="","",SUBSTITUTE(SUBSTITUTE(SUBSTITUTE(SUBSTITUTE($A226," ",""),"-",""),".",""),"/",""))</f>
        <v/>
      </c>
      <c r="C226" s="8">
        <f>IF($F226=1,$H226,"")</f>
        <v/>
      </c>
      <c r="D226" s="7">
        <f>IF($A226="","",IF($F226=0,"Biçim hatalı",IF(FIND(MID($B226,11,1),"0123456789")-1=$H226,"Geçerli","Kontrol hanesi hatalı (doğrusu: "&amp;$H226&amp;")")))</f>
        <v/>
      </c>
      <c r="F226">
        <f>IF($A226="","",IF(AND(LEN($B226)=11,SUMPRODUCT(--ISNUMBER(FIND(MID($B226,{1,2,3,4,5,6,7,8,9,10,11},1),"0123456789")))=11),1,0))</f>
        <v/>
      </c>
      <c r="G226">
        <f>IF($F226=1,VALUE(MID($B226,4,7)),"")</f>
        <v/>
      </c>
      <c r="H226">
        <f>IF($F226=1,MOD($G226,7),"")</f>
        <v/>
      </c>
    </row>
    <row r="227">
      <c r="A227" s="6" t="n"/>
      <c r="B227" s="7">
        <f>IF($A227="","",SUBSTITUTE(SUBSTITUTE(SUBSTITUTE(SUBSTITUTE($A227," ",""),"-",""),".",""),"/",""))</f>
        <v/>
      </c>
      <c r="C227" s="8">
        <f>IF($F227=1,$H227,"")</f>
        <v/>
      </c>
      <c r="D227" s="7">
        <f>IF($A227="","",IF($F227=0,"Biçim hatalı",IF(FIND(MID($B227,11,1),"0123456789")-1=$H227,"Geçerli","Kontrol hanesi hatalı (doğrusu: "&amp;$H227&amp;")")))</f>
        <v/>
      </c>
      <c r="F227">
        <f>IF($A227="","",IF(AND(LEN($B227)=11,SUMPRODUCT(--ISNUMBER(FIND(MID($B227,{1,2,3,4,5,6,7,8,9,10,11},1),"0123456789")))=11),1,0))</f>
        <v/>
      </c>
      <c r="G227">
        <f>IF($F227=1,VALUE(MID($B227,4,7)),"")</f>
        <v/>
      </c>
      <c r="H227">
        <f>IF($F227=1,MOD($G227,7),"")</f>
        <v/>
      </c>
    </row>
    <row r="228">
      <c r="A228" s="6" t="n"/>
      <c r="B228" s="7">
        <f>IF($A228="","",SUBSTITUTE(SUBSTITUTE(SUBSTITUTE(SUBSTITUTE($A228," ",""),"-",""),".",""),"/",""))</f>
        <v/>
      </c>
      <c r="C228" s="8">
        <f>IF($F228=1,$H228,"")</f>
        <v/>
      </c>
      <c r="D228" s="7">
        <f>IF($A228="","",IF($F228=0,"Biçim hatalı",IF(FIND(MID($B228,11,1),"0123456789")-1=$H228,"Geçerli","Kontrol hanesi hatalı (doğrusu: "&amp;$H228&amp;")")))</f>
        <v/>
      </c>
      <c r="F228">
        <f>IF($A228="","",IF(AND(LEN($B228)=11,SUMPRODUCT(--ISNUMBER(FIND(MID($B228,{1,2,3,4,5,6,7,8,9,10,11},1),"0123456789")))=11),1,0))</f>
        <v/>
      </c>
      <c r="G228">
        <f>IF($F228=1,VALUE(MID($B228,4,7)),"")</f>
        <v/>
      </c>
      <c r="H228">
        <f>IF($F228=1,MOD($G228,7),"")</f>
        <v/>
      </c>
    </row>
    <row r="229">
      <c r="A229" s="6" t="n"/>
      <c r="B229" s="7">
        <f>IF($A229="","",SUBSTITUTE(SUBSTITUTE(SUBSTITUTE(SUBSTITUTE($A229," ",""),"-",""),".",""),"/",""))</f>
        <v/>
      </c>
      <c r="C229" s="8">
        <f>IF($F229=1,$H229,"")</f>
        <v/>
      </c>
      <c r="D229" s="7">
        <f>IF($A229="","",IF($F229=0,"Biçim hatalı",IF(FIND(MID($B229,11,1),"0123456789")-1=$H229,"Geçerli","Kontrol hanesi hatalı (doğrusu: "&amp;$H229&amp;")")))</f>
        <v/>
      </c>
      <c r="F229">
        <f>IF($A229="","",IF(AND(LEN($B229)=11,SUMPRODUCT(--ISNUMBER(FIND(MID($B229,{1,2,3,4,5,6,7,8,9,10,11},1),"0123456789")))=11),1,0))</f>
        <v/>
      </c>
      <c r="G229">
        <f>IF($F229=1,VALUE(MID($B229,4,7)),"")</f>
        <v/>
      </c>
      <c r="H229">
        <f>IF($F229=1,MOD($G229,7),"")</f>
        <v/>
      </c>
    </row>
    <row r="230">
      <c r="A230" s="6" t="n"/>
      <c r="B230" s="7">
        <f>IF($A230="","",SUBSTITUTE(SUBSTITUTE(SUBSTITUTE(SUBSTITUTE($A230," ",""),"-",""),".",""),"/",""))</f>
        <v/>
      </c>
      <c r="C230" s="8">
        <f>IF($F230=1,$H230,"")</f>
        <v/>
      </c>
      <c r="D230" s="7">
        <f>IF($A230="","",IF($F230=0,"Biçim hatalı",IF(FIND(MID($B230,11,1),"0123456789")-1=$H230,"Geçerli","Kontrol hanesi hatalı (doğrusu: "&amp;$H230&amp;")")))</f>
        <v/>
      </c>
      <c r="F230">
        <f>IF($A230="","",IF(AND(LEN($B230)=11,SUMPRODUCT(--ISNUMBER(FIND(MID($B230,{1,2,3,4,5,6,7,8,9,10,11},1),"0123456789")))=11),1,0))</f>
        <v/>
      </c>
      <c r="G230">
        <f>IF($F230=1,VALUE(MID($B230,4,7)),"")</f>
        <v/>
      </c>
      <c r="H230">
        <f>IF($F230=1,MOD($G230,7),"")</f>
        <v/>
      </c>
    </row>
    <row r="231">
      <c r="A231" s="6" t="n"/>
      <c r="B231" s="7">
        <f>IF($A231="","",SUBSTITUTE(SUBSTITUTE(SUBSTITUTE(SUBSTITUTE($A231," ",""),"-",""),".",""),"/",""))</f>
        <v/>
      </c>
      <c r="C231" s="8">
        <f>IF($F231=1,$H231,"")</f>
        <v/>
      </c>
      <c r="D231" s="7">
        <f>IF($A231="","",IF($F231=0,"Biçim hatalı",IF(FIND(MID($B231,11,1),"0123456789")-1=$H231,"Geçerli","Kontrol hanesi hatalı (doğrusu: "&amp;$H231&amp;")")))</f>
        <v/>
      </c>
      <c r="F231">
        <f>IF($A231="","",IF(AND(LEN($B231)=11,SUMPRODUCT(--ISNUMBER(FIND(MID($B231,{1,2,3,4,5,6,7,8,9,10,11},1),"0123456789")))=11),1,0))</f>
        <v/>
      </c>
      <c r="G231">
        <f>IF($F231=1,VALUE(MID($B231,4,7)),"")</f>
        <v/>
      </c>
      <c r="H231">
        <f>IF($F231=1,MOD($G231,7),"")</f>
        <v/>
      </c>
    </row>
    <row r="232">
      <c r="A232" s="6" t="n"/>
      <c r="B232" s="7">
        <f>IF($A232="","",SUBSTITUTE(SUBSTITUTE(SUBSTITUTE(SUBSTITUTE($A232," ",""),"-",""),".",""),"/",""))</f>
        <v/>
      </c>
      <c r="C232" s="8">
        <f>IF($F232=1,$H232,"")</f>
        <v/>
      </c>
      <c r="D232" s="7">
        <f>IF($A232="","",IF($F232=0,"Biçim hatalı",IF(FIND(MID($B232,11,1),"0123456789")-1=$H232,"Geçerli","Kontrol hanesi hatalı (doğrusu: "&amp;$H232&amp;")")))</f>
        <v/>
      </c>
      <c r="F232">
        <f>IF($A232="","",IF(AND(LEN($B232)=11,SUMPRODUCT(--ISNUMBER(FIND(MID($B232,{1,2,3,4,5,6,7,8,9,10,11},1),"0123456789")))=11),1,0))</f>
        <v/>
      </c>
      <c r="G232">
        <f>IF($F232=1,VALUE(MID($B232,4,7)),"")</f>
        <v/>
      </c>
      <c r="H232">
        <f>IF($F232=1,MOD($G232,7),"")</f>
        <v/>
      </c>
    </row>
    <row r="233">
      <c r="A233" s="6" t="n"/>
      <c r="B233" s="7">
        <f>IF($A233="","",SUBSTITUTE(SUBSTITUTE(SUBSTITUTE(SUBSTITUTE($A233," ",""),"-",""),".",""),"/",""))</f>
        <v/>
      </c>
      <c r="C233" s="8">
        <f>IF($F233=1,$H233,"")</f>
        <v/>
      </c>
      <c r="D233" s="7">
        <f>IF($A233="","",IF($F233=0,"Biçim hatalı",IF(FIND(MID($B233,11,1),"0123456789")-1=$H233,"Geçerli","Kontrol hanesi hatalı (doğrusu: "&amp;$H233&amp;")")))</f>
        <v/>
      </c>
      <c r="F233">
        <f>IF($A233="","",IF(AND(LEN($B233)=11,SUMPRODUCT(--ISNUMBER(FIND(MID($B233,{1,2,3,4,5,6,7,8,9,10,11},1),"0123456789")))=11),1,0))</f>
        <v/>
      </c>
      <c r="G233">
        <f>IF($F233=1,VALUE(MID($B233,4,7)),"")</f>
        <v/>
      </c>
      <c r="H233">
        <f>IF($F233=1,MOD($G233,7),"")</f>
        <v/>
      </c>
    </row>
    <row r="234">
      <c r="A234" s="6" t="n"/>
      <c r="B234" s="7">
        <f>IF($A234="","",SUBSTITUTE(SUBSTITUTE(SUBSTITUTE(SUBSTITUTE($A234," ",""),"-",""),".",""),"/",""))</f>
        <v/>
      </c>
      <c r="C234" s="8">
        <f>IF($F234=1,$H234,"")</f>
        <v/>
      </c>
      <c r="D234" s="7">
        <f>IF($A234="","",IF($F234=0,"Biçim hatalı",IF(FIND(MID($B234,11,1),"0123456789")-1=$H234,"Geçerli","Kontrol hanesi hatalı (doğrusu: "&amp;$H234&amp;")")))</f>
        <v/>
      </c>
      <c r="F234">
        <f>IF($A234="","",IF(AND(LEN($B234)=11,SUMPRODUCT(--ISNUMBER(FIND(MID($B234,{1,2,3,4,5,6,7,8,9,10,11},1),"0123456789")))=11),1,0))</f>
        <v/>
      </c>
      <c r="G234">
        <f>IF($F234=1,VALUE(MID($B234,4,7)),"")</f>
        <v/>
      </c>
      <c r="H234">
        <f>IF($F234=1,MOD($G234,7),"")</f>
        <v/>
      </c>
    </row>
    <row r="235">
      <c r="A235" s="6" t="n"/>
      <c r="B235" s="7">
        <f>IF($A235="","",SUBSTITUTE(SUBSTITUTE(SUBSTITUTE(SUBSTITUTE($A235," ",""),"-",""),".",""),"/",""))</f>
        <v/>
      </c>
      <c r="C235" s="8">
        <f>IF($F235=1,$H235,"")</f>
        <v/>
      </c>
      <c r="D235" s="7">
        <f>IF($A235="","",IF($F235=0,"Biçim hatalı",IF(FIND(MID($B235,11,1),"0123456789")-1=$H235,"Geçerli","Kontrol hanesi hatalı (doğrusu: "&amp;$H235&amp;")")))</f>
        <v/>
      </c>
      <c r="F235">
        <f>IF($A235="","",IF(AND(LEN($B235)=11,SUMPRODUCT(--ISNUMBER(FIND(MID($B235,{1,2,3,4,5,6,7,8,9,10,11},1),"0123456789")))=11),1,0))</f>
        <v/>
      </c>
      <c r="G235">
        <f>IF($F235=1,VALUE(MID($B235,4,7)),"")</f>
        <v/>
      </c>
      <c r="H235">
        <f>IF($F235=1,MOD($G235,7),"")</f>
        <v/>
      </c>
    </row>
    <row r="236">
      <c r="A236" s="6" t="n"/>
      <c r="B236" s="7">
        <f>IF($A236="","",SUBSTITUTE(SUBSTITUTE(SUBSTITUTE(SUBSTITUTE($A236," ",""),"-",""),".",""),"/",""))</f>
        <v/>
      </c>
      <c r="C236" s="8">
        <f>IF($F236=1,$H236,"")</f>
        <v/>
      </c>
      <c r="D236" s="7">
        <f>IF($A236="","",IF($F236=0,"Biçim hatalı",IF(FIND(MID($B236,11,1),"0123456789")-1=$H236,"Geçerli","Kontrol hanesi hatalı (doğrusu: "&amp;$H236&amp;")")))</f>
        <v/>
      </c>
      <c r="F236">
        <f>IF($A236="","",IF(AND(LEN($B236)=11,SUMPRODUCT(--ISNUMBER(FIND(MID($B236,{1,2,3,4,5,6,7,8,9,10,11},1),"0123456789")))=11),1,0))</f>
        <v/>
      </c>
      <c r="G236">
        <f>IF($F236=1,VALUE(MID($B236,4,7)),"")</f>
        <v/>
      </c>
      <c r="H236">
        <f>IF($F236=1,MOD($G236,7),"")</f>
        <v/>
      </c>
    </row>
    <row r="237">
      <c r="A237" s="6" t="n"/>
      <c r="B237" s="7">
        <f>IF($A237="","",SUBSTITUTE(SUBSTITUTE(SUBSTITUTE(SUBSTITUTE($A237," ",""),"-",""),".",""),"/",""))</f>
        <v/>
      </c>
      <c r="C237" s="8">
        <f>IF($F237=1,$H237,"")</f>
        <v/>
      </c>
      <c r="D237" s="7">
        <f>IF($A237="","",IF($F237=0,"Biçim hatalı",IF(FIND(MID($B237,11,1),"0123456789")-1=$H237,"Geçerli","Kontrol hanesi hatalı (doğrusu: "&amp;$H237&amp;")")))</f>
        <v/>
      </c>
      <c r="F237">
        <f>IF($A237="","",IF(AND(LEN($B237)=11,SUMPRODUCT(--ISNUMBER(FIND(MID($B237,{1,2,3,4,5,6,7,8,9,10,11},1),"0123456789")))=11),1,0))</f>
        <v/>
      </c>
      <c r="G237">
        <f>IF($F237=1,VALUE(MID($B237,4,7)),"")</f>
        <v/>
      </c>
      <c r="H237">
        <f>IF($F237=1,MOD($G237,7),"")</f>
        <v/>
      </c>
    </row>
    <row r="238">
      <c r="A238" s="6" t="n"/>
      <c r="B238" s="7">
        <f>IF($A238="","",SUBSTITUTE(SUBSTITUTE(SUBSTITUTE(SUBSTITUTE($A238," ",""),"-",""),".",""),"/",""))</f>
        <v/>
      </c>
      <c r="C238" s="8">
        <f>IF($F238=1,$H238,"")</f>
        <v/>
      </c>
      <c r="D238" s="7">
        <f>IF($A238="","",IF($F238=0,"Biçim hatalı",IF(FIND(MID($B238,11,1),"0123456789")-1=$H238,"Geçerli","Kontrol hanesi hatalı (doğrusu: "&amp;$H238&amp;")")))</f>
        <v/>
      </c>
      <c r="F238">
        <f>IF($A238="","",IF(AND(LEN($B238)=11,SUMPRODUCT(--ISNUMBER(FIND(MID($B238,{1,2,3,4,5,6,7,8,9,10,11},1),"0123456789")))=11),1,0))</f>
        <v/>
      </c>
      <c r="G238">
        <f>IF($F238=1,VALUE(MID($B238,4,7)),"")</f>
        <v/>
      </c>
      <c r="H238">
        <f>IF($F238=1,MOD($G238,7),"")</f>
        <v/>
      </c>
    </row>
    <row r="239">
      <c r="A239" s="6" t="n"/>
      <c r="B239" s="7">
        <f>IF($A239="","",SUBSTITUTE(SUBSTITUTE(SUBSTITUTE(SUBSTITUTE($A239," ",""),"-",""),".",""),"/",""))</f>
        <v/>
      </c>
      <c r="C239" s="8">
        <f>IF($F239=1,$H239,"")</f>
        <v/>
      </c>
      <c r="D239" s="7">
        <f>IF($A239="","",IF($F239=0,"Biçim hatalı",IF(FIND(MID($B239,11,1),"0123456789")-1=$H239,"Geçerli","Kontrol hanesi hatalı (doğrusu: "&amp;$H239&amp;")")))</f>
        <v/>
      </c>
      <c r="F239">
        <f>IF($A239="","",IF(AND(LEN($B239)=11,SUMPRODUCT(--ISNUMBER(FIND(MID($B239,{1,2,3,4,5,6,7,8,9,10,11},1),"0123456789")))=11),1,0))</f>
        <v/>
      </c>
      <c r="G239">
        <f>IF($F239=1,VALUE(MID($B239,4,7)),"")</f>
        <v/>
      </c>
      <c r="H239">
        <f>IF($F239=1,MOD($G239,7),"")</f>
        <v/>
      </c>
    </row>
    <row r="240">
      <c r="A240" s="6" t="n"/>
      <c r="B240" s="7">
        <f>IF($A240="","",SUBSTITUTE(SUBSTITUTE(SUBSTITUTE(SUBSTITUTE($A240," ",""),"-",""),".",""),"/",""))</f>
        <v/>
      </c>
      <c r="C240" s="8">
        <f>IF($F240=1,$H240,"")</f>
        <v/>
      </c>
      <c r="D240" s="7">
        <f>IF($A240="","",IF($F240=0,"Biçim hatalı",IF(FIND(MID($B240,11,1),"0123456789")-1=$H240,"Geçerli","Kontrol hanesi hatalı (doğrusu: "&amp;$H240&amp;")")))</f>
        <v/>
      </c>
      <c r="F240">
        <f>IF($A240="","",IF(AND(LEN($B240)=11,SUMPRODUCT(--ISNUMBER(FIND(MID($B240,{1,2,3,4,5,6,7,8,9,10,11},1),"0123456789")))=11),1,0))</f>
        <v/>
      </c>
      <c r="G240">
        <f>IF($F240=1,VALUE(MID($B240,4,7)),"")</f>
        <v/>
      </c>
      <c r="H240">
        <f>IF($F240=1,MOD($G240,7),"")</f>
        <v/>
      </c>
    </row>
    <row r="241">
      <c r="A241" s="6" t="n"/>
      <c r="B241" s="7">
        <f>IF($A241="","",SUBSTITUTE(SUBSTITUTE(SUBSTITUTE(SUBSTITUTE($A241," ",""),"-",""),".",""),"/",""))</f>
        <v/>
      </c>
      <c r="C241" s="8">
        <f>IF($F241=1,$H241,"")</f>
        <v/>
      </c>
      <c r="D241" s="7">
        <f>IF($A241="","",IF($F241=0,"Biçim hatalı",IF(FIND(MID($B241,11,1),"0123456789")-1=$H241,"Geçerli","Kontrol hanesi hatalı (doğrusu: "&amp;$H241&amp;")")))</f>
        <v/>
      </c>
      <c r="F241">
        <f>IF($A241="","",IF(AND(LEN($B241)=11,SUMPRODUCT(--ISNUMBER(FIND(MID($B241,{1,2,3,4,5,6,7,8,9,10,11},1),"0123456789")))=11),1,0))</f>
        <v/>
      </c>
      <c r="G241">
        <f>IF($F241=1,VALUE(MID($B241,4,7)),"")</f>
        <v/>
      </c>
      <c r="H241">
        <f>IF($F241=1,MOD($G241,7),"")</f>
        <v/>
      </c>
    </row>
    <row r="242">
      <c r="A242" s="6" t="n"/>
      <c r="B242" s="7">
        <f>IF($A242="","",SUBSTITUTE(SUBSTITUTE(SUBSTITUTE(SUBSTITUTE($A242," ",""),"-",""),".",""),"/",""))</f>
        <v/>
      </c>
      <c r="C242" s="8">
        <f>IF($F242=1,$H242,"")</f>
        <v/>
      </c>
      <c r="D242" s="7">
        <f>IF($A242="","",IF($F242=0,"Biçim hatalı",IF(FIND(MID($B242,11,1),"0123456789")-1=$H242,"Geçerli","Kontrol hanesi hatalı (doğrusu: "&amp;$H242&amp;")")))</f>
        <v/>
      </c>
      <c r="F242">
        <f>IF($A242="","",IF(AND(LEN($B242)=11,SUMPRODUCT(--ISNUMBER(FIND(MID($B242,{1,2,3,4,5,6,7,8,9,10,11},1),"0123456789")))=11),1,0))</f>
        <v/>
      </c>
      <c r="G242">
        <f>IF($F242=1,VALUE(MID($B242,4,7)),"")</f>
        <v/>
      </c>
      <c r="H242">
        <f>IF($F242=1,MOD($G242,7),"")</f>
        <v/>
      </c>
    </row>
    <row r="243">
      <c r="A243" s="6" t="n"/>
      <c r="B243" s="7">
        <f>IF($A243="","",SUBSTITUTE(SUBSTITUTE(SUBSTITUTE(SUBSTITUTE($A243," ",""),"-",""),".",""),"/",""))</f>
        <v/>
      </c>
      <c r="C243" s="8">
        <f>IF($F243=1,$H243,"")</f>
        <v/>
      </c>
      <c r="D243" s="7">
        <f>IF($A243="","",IF($F243=0,"Biçim hatalı",IF(FIND(MID($B243,11,1),"0123456789")-1=$H243,"Geçerli","Kontrol hanesi hatalı (doğrusu: "&amp;$H243&amp;")")))</f>
        <v/>
      </c>
      <c r="F243">
        <f>IF($A243="","",IF(AND(LEN($B243)=11,SUMPRODUCT(--ISNUMBER(FIND(MID($B243,{1,2,3,4,5,6,7,8,9,10,11},1),"0123456789")))=11),1,0))</f>
        <v/>
      </c>
      <c r="G243">
        <f>IF($F243=1,VALUE(MID($B243,4,7)),"")</f>
        <v/>
      </c>
      <c r="H243">
        <f>IF($F243=1,MOD($G243,7),"")</f>
        <v/>
      </c>
    </row>
    <row r="244">
      <c r="A244" s="6" t="n"/>
      <c r="B244" s="7">
        <f>IF($A244="","",SUBSTITUTE(SUBSTITUTE(SUBSTITUTE(SUBSTITUTE($A244," ",""),"-",""),".",""),"/",""))</f>
        <v/>
      </c>
      <c r="C244" s="8">
        <f>IF($F244=1,$H244,"")</f>
        <v/>
      </c>
      <c r="D244" s="7">
        <f>IF($A244="","",IF($F244=0,"Biçim hatalı",IF(FIND(MID($B244,11,1),"0123456789")-1=$H244,"Geçerli","Kontrol hanesi hatalı (doğrusu: "&amp;$H244&amp;")")))</f>
        <v/>
      </c>
      <c r="F244">
        <f>IF($A244="","",IF(AND(LEN($B244)=11,SUMPRODUCT(--ISNUMBER(FIND(MID($B244,{1,2,3,4,5,6,7,8,9,10,11},1),"0123456789")))=11),1,0))</f>
        <v/>
      </c>
      <c r="G244">
        <f>IF($F244=1,VALUE(MID($B244,4,7)),"")</f>
        <v/>
      </c>
      <c r="H244">
        <f>IF($F244=1,MOD($G244,7),"")</f>
        <v/>
      </c>
    </row>
    <row r="245">
      <c r="A245" s="6" t="n"/>
      <c r="B245" s="7">
        <f>IF($A245="","",SUBSTITUTE(SUBSTITUTE(SUBSTITUTE(SUBSTITUTE($A245," ",""),"-",""),".",""),"/",""))</f>
        <v/>
      </c>
      <c r="C245" s="8">
        <f>IF($F245=1,$H245,"")</f>
        <v/>
      </c>
      <c r="D245" s="7">
        <f>IF($A245="","",IF($F245=0,"Biçim hatalı",IF(FIND(MID($B245,11,1),"0123456789")-1=$H245,"Geçerli","Kontrol hanesi hatalı (doğrusu: "&amp;$H245&amp;")")))</f>
        <v/>
      </c>
      <c r="F245">
        <f>IF($A245="","",IF(AND(LEN($B245)=11,SUMPRODUCT(--ISNUMBER(FIND(MID($B245,{1,2,3,4,5,6,7,8,9,10,11},1),"0123456789")))=11),1,0))</f>
        <v/>
      </c>
      <c r="G245">
        <f>IF($F245=1,VALUE(MID($B245,4,7)),"")</f>
        <v/>
      </c>
      <c r="H245">
        <f>IF($F245=1,MOD($G245,7),"")</f>
        <v/>
      </c>
    </row>
    <row r="246">
      <c r="A246" s="6" t="n"/>
      <c r="B246" s="7">
        <f>IF($A246="","",SUBSTITUTE(SUBSTITUTE(SUBSTITUTE(SUBSTITUTE($A246," ",""),"-",""),".",""),"/",""))</f>
        <v/>
      </c>
      <c r="C246" s="8">
        <f>IF($F246=1,$H246,"")</f>
        <v/>
      </c>
      <c r="D246" s="7">
        <f>IF($A246="","",IF($F246=0,"Biçim hatalı",IF(FIND(MID($B246,11,1),"0123456789")-1=$H246,"Geçerli","Kontrol hanesi hatalı (doğrusu: "&amp;$H246&amp;")")))</f>
        <v/>
      </c>
      <c r="F246">
        <f>IF($A246="","",IF(AND(LEN($B246)=11,SUMPRODUCT(--ISNUMBER(FIND(MID($B246,{1,2,3,4,5,6,7,8,9,10,11},1),"0123456789")))=11),1,0))</f>
        <v/>
      </c>
      <c r="G246">
        <f>IF($F246=1,VALUE(MID($B246,4,7)),"")</f>
        <v/>
      </c>
      <c r="H246">
        <f>IF($F246=1,MOD($G246,7),"")</f>
        <v/>
      </c>
    </row>
    <row r="247">
      <c r="A247" s="6" t="n"/>
      <c r="B247" s="7">
        <f>IF($A247="","",SUBSTITUTE(SUBSTITUTE(SUBSTITUTE(SUBSTITUTE($A247," ",""),"-",""),".",""),"/",""))</f>
        <v/>
      </c>
      <c r="C247" s="8">
        <f>IF($F247=1,$H247,"")</f>
        <v/>
      </c>
      <c r="D247" s="7">
        <f>IF($A247="","",IF($F247=0,"Biçim hatalı",IF(FIND(MID($B247,11,1),"0123456789")-1=$H247,"Geçerli","Kontrol hanesi hatalı (doğrusu: "&amp;$H247&amp;")")))</f>
        <v/>
      </c>
      <c r="F247">
        <f>IF($A247="","",IF(AND(LEN($B247)=11,SUMPRODUCT(--ISNUMBER(FIND(MID($B247,{1,2,3,4,5,6,7,8,9,10,11},1),"0123456789")))=11),1,0))</f>
        <v/>
      </c>
      <c r="G247">
        <f>IF($F247=1,VALUE(MID($B247,4,7)),"")</f>
        <v/>
      </c>
      <c r="H247">
        <f>IF($F247=1,MOD($G247,7),"")</f>
        <v/>
      </c>
    </row>
    <row r="248">
      <c r="A248" s="6" t="n"/>
      <c r="B248" s="7">
        <f>IF($A248="","",SUBSTITUTE(SUBSTITUTE(SUBSTITUTE(SUBSTITUTE($A248," ",""),"-",""),".",""),"/",""))</f>
        <v/>
      </c>
      <c r="C248" s="8">
        <f>IF($F248=1,$H248,"")</f>
        <v/>
      </c>
      <c r="D248" s="7">
        <f>IF($A248="","",IF($F248=0,"Biçim hatalı",IF(FIND(MID($B248,11,1),"0123456789")-1=$H248,"Geçerli","Kontrol hanesi hatalı (doğrusu: "&amp;$H248&amp;")")))</f>
        <v/>
      </c>
      <c r="F248">
        <f>IF($A248="","",IF(AND(LEN($B248)=11,SUMPRODUCT(--ISNUMBER(FIND(MID($B248,{1,2,3,4,5,6,7,8,9,10,11},1),"0123456789")))=11),1,0))</f>
        <v/>
      </c>
      <c r="G248">
        <f>IF($F248=1,VALUE(MID($B248,4,7)),"")</f>
        <v/>
      </c>
      <c r="H248">
        <f>IF($F248=1,MOD($G248,7),"")</f>
        <v/>
      </c>
    </row>
    <row r="249">
      <c r="A249" s="6" t="n"/>
      <c r="B249" s="7">
        <f>IF($A249="","",SUBSTITUTE(SUBSTITUTE(SUBSTITUTE(SUBSTITUTE($A249," ",""),"-",""),".",""),"/",""))</f>
        <v/>
      </c>
      <c r="C249" s="8">
        <f>IF($F249=1,$H249,"")</f>
        <v/>
      </c>
      <c r="D249" s="7">
        <f>IF($A249="","",IF($F249=0,"Biçim hatalı",IF(FIND(MID($B249,11,1),"0123456789")-1=$H249,"Geçerli","Kontrol hanesi hatalı (doğrusu: "&amp;$H249&amp;")")))</f>
        <v/>
      </c>
      <c r="F249">
        <f>IF($A249="","",IF(AND(LEN($B249)=11,SUMPRODUCT(--ISNUMBER(FIND(MID($B249,{1,2,3,4,5,6,7,8,9,10,11},1),"0123456789")))=11),1,0))</f>
        <v/>
      </c>
      <c r="G249">
        <f>IF($F249=1,VALUE(MID($B249,4,7)),"")</f>
        <v/>
      </c>
      <c r="H249">
        <f>IF($F249=1,MOD($G249,7),"")</f>
        <v/>
      </c>
    </row>
    <row r="250">
      <c r="A250" s="6" t="n"/>
      <c r="B250" s="7">
        <f>IF($A250="","",SUBSTITUTE(SUBSTITUTE(SUBSTITUTE(SUBSTITUTE($A250," ",""),"-",""),".",""),"/",""))</f>
        <v/>
      </c>
      <c r="C250" s="8">
        <f>IF($F250=1,$H250,"")</f>
        <v/>
      </c>
      <c r="D250" s="7">
        <f>IF($A250="","",IF($F250=0,"Biçim hatalı",IF(FIND(MID($B250,11,1),"0123456789")-1=$H250,"Geçerli","Kontrol hanesi hatalı (doğrusu: "&amp;$H250&amp;")")))</f>
        <v/>
      </c>
      <c r="F250">
        <f>IF($A250="","",IF(AND(LEN($B250)=11,SUMPRODUCT(--ISNUMBER(FIND(MID($B250,{1,2,3,4,5,6,7,8,9,10,11},1),"0123456789")))=11),1,0))</f>
        <v/>
      </c>
      <c r="G250">
        <f>IF($F250=1,VALUE(MID($B250,4,7)),"")</f>
        <v/>
      </c>
      <c r="H250">
        <f>IF($F250=1,MOD($G250,7),"")</f>
        <v/>
      </c>
    </row>
    <row r="251">
      <c r="A251" s="6" t="n"/>
      <c r="B251" s="7">
        <f>IF($A251="","",SUBSTITUTE(SUBSTITUTE(SUBSTITUTE(SUBSTITUTE($A251," ",""),"-",""),".",""),"/",""))</f>
        <v/>
      </c>
      <c r="C251" s="8">
        <f>IF($F251=1,$H251,"")</f>
        <v/>
      </c>
      <c r="D251" s="7">
        <f>IF($A251="","",IF($F251=0,"Biçim hatalı",IF(FIND(MID($B251,11,1),"0123456789")-1=$H251,"Geçerli","Kontrol hanesi hatalı (doğrusu: "&amp;$H251&amp;")")))</f>
        <v/>
      </c>
      <c r="F251">
        <f>IF($A251="","",IF(AND(LEN($B251)=11,SUMPRODUCT(--ISNUMBER(FIND(MID($B251,{1,2,3,4,5,6,7,8,9,10,11},1),"0123456789")))=11),1,0))</f>
        <v/>
      </c>
      <c r="G251">
        <f>IF($F251=1,VALUE(MID($B251,4,7)),"")</f>
        <v/>
      </c>
      <c r="H251">
        <f>IF($F251=1,MOD($G251,7),"")</f>
        <v/>
      </c>
    </row>
    <row r="252">
      <c r="A252" s="6" t="n"/>
      <c r="B252" s="7">
        <f>IF($A252="","",SUBSTITUTE(SUBSTITUTE(SUBSTITUTE(SUBSTITUTE($A252," ",""),"-",""),".",""),"/",""))</f>
        <v/>
      </c>
      <c r="C252" s="8">
        <f>IF($F252=1,$H252,"")</f>
        <v/>
      </c>
      <c r="D252" s="7">
        <f>IF($A252="","",IF($F252=0,"Biçim hatalı",IF(FIND(MID($B252,11,1),"0123456789")-1=$H252,"Geçerli","Kontrol hanesi hatalı (doğrusu: "&amp;$H252&amp;")")))</f>
        <v/>
      </c>
      <c r="F252">
        <f>IF($A252="","",IF(AND(LEN($B252)=11,SUMPRODUCT(--ISNUMBER(FIND(MID($B252,{1,2,3,4,5,6,7,8,9,10,11},1),"0123456789")))=11),1,0))</f>
        <v/>
      </c>
      <c r="G252">
        <f>IF($F252=1,VALUE(MID($B252,4,7)),"")</f>
        <v/>
      </c>
      <c r="H252">
        <f>IF($F252=1,MOD($G252,7),"")</f>
        <v/>
      </c>
    </row>
    <row r="253">
      <c r="A253" s="6" t="n"/>
      <c r="B253" s="7">
        <f>IF($A253="","",SUBSTITUTE(SUBSTITUTE(SUBSTITUTE(SUBSTITUTE($A253," ",""),"-",""),".",""),"/",""))</f>
        <v/>
      </c>
      <c r="C253" s="8">
        <f>IF($F253=1,$H253,"")</f>
        <v/>
      </c>
      <c r="D253" s="7">
        <f>IF($A253="","",IF($F253=0,"Biçim hatalı",IF(FIND(MID($B253,11,1),"0123456789")-1=$H253,"Geçerli","Kontrol hanesi hatalı (doğrusu: "&amp;$H253&amp;")")))</f>
        <v/>
      </c>
      <c r="F253">
        <f>IF($A253="","",IF(AND(LEN($B253)=11,SUMPRODUCT(--ISNUMBER(FIND(MID($B253,{1,2,3,4,5,6,7,8,9,10,11},1),"0123456789")))=11),1,0))</f>
        <v/>
      </c>
      <c r="G253">
        <f>IF($F253=1,VALUE(MID($B253,4,7)),"")</f>
        <v/>
      </c>
      <c r="H253">
        <f>IF($F253=1,MOD($G253,7),"")</f>
        <v/>
      </c>
    </row>
    <row r="254">
      <c r="A254" s="6" t="n"/>
      <c r="B254" s="7">
        <f>IF($A254="","",SUBSTITUTE(SUBSTITUTE(SUBSTITUTE(SUBSTITUTE($A254," ",""),"-",""),".",""),"/",""))</f>
        <v/>
      </c>
      <c r="C254" s="8">
        <f>IF($F254=1,$H254,"")</f>
        <v/>
      </c>
      <c r="D254" s="7">
        <f>IF($A254="","",IF($F254=0,"Biçim hatalı",IF(FIND(MID($B254,11,1),"0123456789")-1=$H254,"Geçerli","Kontrol hanesi hatalı (doğrusu: "&amp;$H254&amp;")")))</f>
        <v/>
      </c>
      <c r="F254">
        <f>IF($A254="","",IF(AND(LEN($B254)=11,SUMPRODUCT(--ISNUMBER(FIND(MID($B254,{1,2,3,4,5,6,7,8,9,10,11},1),"0123456789")))=11),1,0))</f>
        <v/>
      </c>
      <c r="G254">
        <f>IF($F254=1,VALUE(MID($B254,4,7)),"")</f>
        <v/>
      </c>
      <c r="H254">
        <f>IF($F254=1,MOD($G254,7),"")</f>
        <v/>
      </c>
    </row>
    <row r="255">
      <c r="A255" s="6" t="n"/>
      <c r="B255" s="7">
        <f>IF($A255="","",SUBSTITUTE(SUBSTITUTE(SUBSTITUTE(SUBSTITUTE($A255," ",""),"-",""),".",""),"/",""))</f>
        <v/>
      </c>
      <c r="C255" s="8">
        <f>IF($F255=1,$H255,"")</f>
        <v/>
      </c>
      <c r="D255" s="7">
        <f>IF($A255="","",IF($F255=0,"Biçim hatalı",IF(FIND(MID($B255,11,1),"0123456789")-1=$H255,"Geçerli","Kontrol hanesi hatalı (doğrusu: "&amp;$H255&amp;")")))</f>
        <v/>
      </c>
      <c r="F255">
        <f>IF($A255="","",IF(AND(LEN($B255)=11,SUMPRODUCT(--ISNUMBER(FIND(MID($B255,{1,2,3,4,5,6,7,8,9,10,11},1),"0123456789")))=11),1,0))</f>
        <v/>
      </c>
      <c r="G255">
        <f>IF($F255=1,VALUE(MID($B255,4,7)),"")</f>
        <v/>
      </c>
      <c r="H255">
        <f>IF($F255=1,MOD($G255,7),"")</f>
        <v/>
      </c>
    </row>
    <row r="256">
      <c r="A256" s="6" t="n"/>
      <c r="B256" s="7">
        <f>IF($A256="","",SUBSTITUTE(SUBSTITUTE(SUBSTITUTE(SUBSTITUTE($A256," ",""),"-",""),".",""),"/",""))</f>
        <v/>
      </c>
      <c r="C256" s="8">
        <f>IF($F256=1,$H256,"")</f>
        <v/>
      </c>
      <c r="D256" s="7">
        <f>IF($A256="","",IF($F256=0,"Biçim hatalı",IF(FIND(MID($B256,11,1),"0123456789")-1=$H256,"Geçerli","Kontrol hanesi hatalı (doğrusu: "&amp;$H256&amp;")")))</f>
        <v/>
      </c>
      <c r="F256">
        <f>IF($A256="","",IF(AND(LEN($B256)=11,SUMPRODUCT(--ISNUMBER(FIND(MID($B256,{1,2,3,4,5,6,7,8,9,10,11},1),"0123456789")))=11),1,0))</f>
        <v/>
      </c>
      <c r="G256">
        <f>IF($F256=1,VALUE(MID($B256,4,7)),"")</f>
        <v/>
      </c>
      <c r="H256">
        <f>IF($F256=1,MOD($G256,7),"")</f>
        <v/>
      </c>
    </row>
    <row r="257">
      <c r="A257" s="6" t="n"/>
      <c r="B257" s="7">
        <f>IF($A257="","",SUBSTITUTE(SUBSTITUTE(SUBSTITUTE(SUBSTITUTE($A257," ",""),"-",""),".",""),"/",""))</f>
        <v/>
      </c>
      <c r="C257" s="8">
        <f>IF($F257=1,$H257,"")</f>
        <v/>
      </c>
      <c r="D257" s="7">
        <f>IF($A257="","",IF($F257=0,"Biçim hatalı",IF(FIND(MID($B257,11,1),"0123456789")-1=$H257,"Geçerli","Kontrol hanesi hatalı (doğrusu: "&amp;$H257&amp;")")))</f>
        <v/>
      </c>
      <c r="F257">
        <f>IF($A257="","",IF(AND(LEN($B257)=11,SUMPRODUCT(--ISNUMBER(FIND(MID($B257,{1,2,3,4,5,6,7,8,9,10,11},1),"0123456789")))=11),1,0))</f>
        <v/>
      </c>
      <c r="G257">
        <f>IF($F257=1,VALUE(MID($B257,4,7)),"")</f>
        <v/>
      </c>
      <c r="H257">
        <f>IF($F257=1,MOD($G257,7),"")</f>
        <v/>
      </c>
    </row>
    <row r="258">
      <c r="A258" s="6" t="n"/>
      <c r="B258" s="7">
        <f>IF($A258="","",SUBSTITUTE(SUBSTITUTE(SUBSTITUTE(SUBSTITUTE($A258," ",""),"-",""),".",""),"/",""))</f>
        <v/>
      </c>
      <c r="C258" s="8">
        <f>IF($F258=1,$H258,"")</f>
        <v/>
      </c>
      <c r="D258" s="7">
        <f>IF($A258="","",IF($F258=0,"Biçim hatalı",IF(FIND(MID($B258,11,1),"0123456789")-1=$H258,"Geçerli","Kontrol hanesi hatalı (doğrusu: "&amp;$H258&amp;")")))</f>
        <v/>
      </c>
      <c r="F258">
        <f>IF($A258="","",IF(AND(LEN($B258)=11,SUMPRODUCT(--ISNUMBER(FIND(MID($B258,{1,2,3,4,5,6,7,8,9,10,11},1),"0123456789")))=11),1,0))</f>
        <v/>
      </c>
      <c r="G258">
        <f>IF($F258=1,VALUE(MID($B258,4,7)),"")</f>
        <v/>
      </c>
      <c r="H258">
        <f>IF($F258=1,MOD($G258,7),"")</f>
        <v/>
      </c>
    </row>
    <row r="259">
      <c r="A259" s="6" t="n"/>
      <c r="B259" s="7">
        <f>IF($A259="","",SUBSTITUTE(SUBSTITUTE(SUBSTITUTE(SUBSTITUTE($A259," ",""),"-",""),".",""),"/",""))</f>
        <v/>
      </c>
      <c r="C259" s="8">
        <f>IF($F259=1,$H259,"")</f>
        <v/>
      </c>
      <c r="D259" s="7">
        <f>IF($A259="","",IF($F259=0,"Biçim hatalı",IF(FIND(MID($B259,11,1),"0123456789")-1=$H259,"Geçerli","Kontrol hanesi hatalı (doğrusu: "&amp;$H259&amp;")")))</f>
        <v/>
      </c>
      <c r="F259">
        <f>IF($A259="","",IF(AND(LEN($B259)=11,SUMPRODUCT(--ISNUMBER(FIND(MID($B259,{1,2,3,4,5,6,7,8,9,10,11},1),"0123456789")))=11),1,0))</f>
        <v/>
      </c>
      <c r="G259">
        <f>IF($F259=1,VALUE(MID($B259,4,7)),"")</f>
        <v/>
      </c>
      <c r="H259">
        <f>IF($F259=1,MOD($G259,7),"")</f>
        <v/>
      </c>
    </row>
    <row r="260">
      <c r="A260" s="6" t="n"/>
      <c r="B260" s="7">
        <f>IF($A260="","",SUBSTITUTE(SUBSTITUTE(SUBSTITUTE(SUBSTITUTE($A260," ",""),"-",""),".",""),"/",""))</f>
        <v/>
      </c>
      <c r="C260" s="8">
        <f>IF($F260=1,$H260,"")</f>
        <v/>
      </c>
      <c r="D260" s="7">
        <f>IF($A260="","",IF($F260=0,"Biçim hatalı",IF(FIND(MID($B260,11,1),"0123456789")-1=$H260,"Geçerli","Kontrol hanesi hatalı (doğrusu: "&amp;$H260&amp;")")))</f>
        <v/>
      </c>
      <c r="F260">
        <f>IF($A260="","",IF(AND(LEN($B260)=11,SUMPRODUCT(--ISNUMBER(FIND(MID($B260,{1,2,3,4,5,6,7,8,9,10,11},1),"0123456789")))=11),1,0))</f>
        <v/>
      </c>
      <c r="G260">
        <f>IF($F260=1,VALUE(MID($B260,4,7)),"")</f>
        <v/>
      </c>
      <c r="H260">
        <f>IF($F260=1,MOD($G260,7),"")</f>
        <v/>
      </c>
    </row>
    <row r="261">
      <c r="A261" s="6" t="n"/>
      <c r="B261" s="7">
        <f>IF($A261="","",SUBSTITUTE(SUBSTITUTE(SUBSTITUTE(SUBSTITUTE($A261," ",""),"-",""),".",""),"/",""))</f>
        <v/>
      </c>
      <c r="C261" s="8">
        <f>IF($F261=1,$H261,"")</f>
        <v/>
      </c>
      <c r="D261" s="7">
        <f>IF($A261="","",IF($F261=0,"Biçim hatalı",IF(FIND(MID($B261,11,1),"0123456789")-1=$H261,"Geçerli","Kontrol hanesi hatalı (doğrusu: "&amp;$H261&amp;")")))</f>
        <v/>
      </c>
      <c r="F261">
        <f>IF($A261="","",IF(AND(LEN($B261)=11,SUMPRODUCT(--ISNUMBER(FIND(MID($B261,{1,2,3,4,5,6,7,8,9,10,11},1),"0123456789")))=11),1,0))</f>
        <v/>
      </c>
      <c r="G261">
        <f>IF($F261=1,VALUE(MID($B261,4,7)),"")</f>
        <v/>
      </c>
      <c r="H261">
        <f>IF($F261=1,MOD($G261,7),"")</f>
        <v/>
      </c>
    </row>
    <row r="262">
      <c r="A262" s="6" t="n"/>
      <c r="B262" s="7">
        <f>IF($A262="","",SUBSTITUTE(SUBSTITUTE(SUBSTITUTE(SUBSTITUTE($A262," ",""),"-",""),".",""),"/",""))</f>
        <v/>
      </c>
      <c r="C262" s="8">
        <f>IF($F262=1,$H262,"")</f>
        <v/>
      </c>
      <c r="D262" s="7">
        <f>IF($A262="","",IF($F262=0,"Biçim hatalı",IF(FIND(MID($B262,11,1),"0123456789")-1=$H262,"Geçerli","Kontrol hanesi hatalı (doğrusu: "&amp;$H262&amp;")")))</f>
        <v/>
      </c>
      <c r="F262">
        <f>IF($A262="","",IF(AND(LEN($B262)=11,SUMPRODUCT(--ISNUMBER(FIND(MID($B262,{1,2,3,4,5,6,7,8,9,10,11},1),"0123456789")))=11),1,0))</f>
        <v/>
      </c>
      <c r="G262">
        <f>IF($F262=1,VALUE(MID($B262,4,7)),"")</f>
        <v/>
      </c>
      <c r="H262">
        <f>IF($F262=1,MOD($G262,7),"")</f>
        <v/>
      </c>
    </row>
    <row r="263">
      <c r="A263" s="6" t="n"/>
      <c r="B263" s="7">
        <f>IF($A263="","",SUBSTITUTE(SUBSTITUTE(SUBSTITUTE(SUBSTITUTE($A263," ",""),"-",""),".",""),"/",""))</f>
        <v/>
      </c>
      <c r="C263" s="8">
        <f>IF($F263=1,$H263,"")</f>
        <v/>
      </c>
      <c r="D263" s="7">
        <f>IF($A263="","",IF($F263=0,"Biçim hatalı",IF(FIND(MID($B263,11,1),"0123456789")-1=$H263,"Geçerli","Kontrol hanesi hatalı (doğrusu: "&amp;$H263&amp;")")))</f>
        <v/>
      </c>
      <c r="F263">
        <f>IF($A263="","",IF(AND(LEN($B263)=11,SUMPRODUCT(--ISNUMBER(FIND(MID($B263,{1,2,3,4,5,6,7,8,9,10,11},1),"0123456789")))=11),1,0))</f>
        <v/>
      </c>
      <c r="G263">
        <f>IF($F263=1,VALUE(MID($B263,4,7)),"")</f>
        <v/>
      </c>
      <c r="H263">
        <f>IF($F263=1,MOD($G263,7),"")</f>
        <v/>
      </c>
    </row>
    <row r="264">
      <c r="A264" s="6" t="n"/>
      <c r="B264" s="7">
        <f>IF($A264="","",SUBSTITUTE(SUBSTITUTE(SUBSTITUTE(SUBSTITUTE($A264," ",""),"-",""),".",""),"/",""))</f>
        <v/>
      </c>
      <c r="C264" s="8">
        <f>IF($F264=1,$H264,"")</f>
        <v/>
      </c>
      <c r="D264" s="7">
        <f>IF($A264="","",IF($F264=0,"Biçim hatalı",IF(FIND(MID($B264,11,1),"0123456789")-1=$H264,"Geçerli","Kontrol hanesi hatalı (doğrusu: "&amp;$H264&amp;")")))</f>
        <v/>
      </c>
      <c r="F264">
        <f>IF($A264="","",IF(AND(LEN($B264)=11,SUMPRODUCT(--ISNUMBER(FIND(MID($B264,{1,2,3,4,5,6,7,8,9,10,11},1),"0123456789")))=11),1,0))</f>
        <v/>
      </c>
      <c r="G264">
        <f>IF($F264=1,VALUE(MID($B264,4,7)),"")</f>
        <v/>
      </c>
      <c r="H264">
        <f>IF($F264=1,MOD($G264,7),"")</f>
        <v/>
      </c>
    </row>
    <row r="265">
      <c r="A265" s="6" t="n"/>
      <c r="B265" s="7">
        <f>IF($A265="","",SUBSTITUTE(SUBSTITUTE(SUBSTITUTE(SUBSTITUTE($A265," ",""),"-",""),".",""),"/",""))</f>
        <v/>
      </c>
      <c r="C265" s="8">
        <f>IF($F265=1,$H265,"")</f>
        <v/>
      </c>
      <c r="D265" s="7">
        <f>IF($A265="","",IF($F265=0,"Biçim hatalı",IF(FIND(MID($B265,11,1),"0123456789")-1=$H265,"Geçerli","Kontrol hanesi hatalı (doğrusu: "&amp;$H265&amp;")")))</f>
        <v/>
      </c>
      <c r="F265">
        <f>IF($A265="","",IF(AND(LEN($B265)=11,SUMPRODUCT(--ISNUMBER(FIND(MID($B265,{1,2,3,4,5,6,7,8,9,10,11},1),"0123456789")))=11),1,0))</f>
        <v/>
      </c>
      <c r="G265">
        <f>IF($F265=1,VALUE(MID($B265,4,7)),"")</f>
        <v/>
      </c>
      <c r="H265">
        <f>IF($F265=1,MOD($G265,7),"")</f>
        <v/>
      </c>
    </row>
    <row r="266">
      <c r="A266" s="6" t="n"/>
      <c r="B266" s="7">
        <f>IF($A266="","",SUBSTITUTE(SUBSTITUTE(SUBSTITUTE(SUBSTITUTE($A266," ",""),"-",""),".",""),"/",""))</f>
        <v/>
      </c>
      <c r="C266" s="8">
        <f>IF($F266=1,$H266,"")</f>
        <v/>
      </c>
      <c r="D266" s="7">
        <f>IF($A266="","",IF($F266=0,"Biçim hatalı",IF(FIND(MID($B266,11,1),"0123456789")-1=$H266,"Geçerli","Kontrol hanesi hatalı (doğrusu: "&amp;$H266&amp;")")))</f>
        <v/>
      </c>
      <c r="F266">
        <f>IF($A266="","",IF(AND(LEN($B266)=11,SUMPRODUCT(--ISNUMBER(FIND(MID($B266,{1,2,3,4,5,6,7,8,9,10,11},1),"0123456789")))=11),1,0))</f>
        <v/>
      </c>
      <c r="G266">
        <f>IF($F266=1,VALUE(MID($B266,4,7)),"")</f>
        <v/>
      </c>
      <c r="H266">
        <f>IF($F266=1,MOD($G266,7),"")</f>
        <v/>
      </c>
    </row>
    <row r="267">
      <c r="A267" s="6" t="n"/>
      <c r="B267" s="7">
        <f>IF($A267="","",SUBSTITUTE(SUBSTITUTE(SUBSTITUTE(SUBSTITUTE($A267," ",""),"-",""),".",""),"/",""))</f>
        <v/>
      </c>
      <c r="C267" s="8">
        <f>IF($F267=1,$H267,"")</f>
        <v/>
      </c>
      <c r="D267" s="7">
        <f>IF($A267="","",IF($F267=0,"Biçim hatalı",IF(FIND(MID($B267,11,1),"0123456789")-1=$H267,"Geçerli","Kontrol hanesi hatalı (doğrusu: "&amp;$H267&amp;")")))</f>
        <v/>
      </c>
      <c r="F267">
        <f>IF($A267="","",IF(AND(LEN($B267)=11,SUMPRODUCT(--ISNUMBER(FIND(MID($B267,{1,2,3,4,5,6,7,8,9,10,11},1),"0123456789")))=11),1,0))</f>
        <v/>
      </c>
      <c r="G267">
        <f>IF($F267=1,VALUE(MID($B267,4,7)),"")</f>
        <v/>
      </c>
      <c r="H267">
        <f>IF($F267=1,MOD($G267,7),"")</f>
        <v/>
      </c>
    </row>
    <row r="268">
      <c r="A268" s="6" t="n"/>
      <c r="B268" s="7">
        <f>IF($A268="","",SUBSTITUTE(SUBSTITUTE(SUBSTITUTE(SUBSTITUTE($A268," ",""),"-",""),".",""),"/",""))</f>
        <v/>
      </c>
      <c r="C268" s="8">
        <f>IF($F268=1,$H268,"")</f>
        <v/>
      </c>
      <c r="D268" s="7">
        <f>IF($A268="","",IF($F268=0,"Biçim hatalı",IF(FIND(MID($B268,11,1),"0123456789")-1=$H268,"Geçerli","Kontrol hanesi hatalı (doğrusu: "&amp;$H268&amp;")")))</f>
        <v/>
      </c>
      <c r="F268">
        <f>IF($A268="","",IF(AND(LEN($B268)=11,SUMPRODUCT(--ISNUMBER(FIND(MID($B268,{1,2,3,4,5,6,7,8,9,10,11},1),"0123456789")))=11),1,0))</f>
        <v/>
      </c>
      <c r="G268">
        <f>IF($F268=1,VALUE(MID($B268,4,7)),"")</f>
        <v/>
      </c>
      <c r="H268">
        <f>IF($F268=1,MOD($G268,7),"")</f>
        <v/>
      </c>
    </row>
    <row r="269">
      <c r="A269" s="6" t="n"/>
      <c r="B269" s="7">
        <f>IF($A269="","",SUBSTITUTE(SUBSTITUTE(SUBSTITUTE(SUBSTITUTE($A269," ",""),"-",""),".",""),"/",""))</f>
        <v/>
      </c>
      <c r="C269" s="8">
        <f>IF($F269=1,$H269,"")</f>
        <v/>
      </c>
      <c r="D269" s="7">
        <f>IF($A269="","",IF($F269=0,"Biçim hatalı",IF(FIND(MID($B269,11,1),"0123456789")-1=$H269,"Geçerli","Kontrol hanesi hatalı (doğrusu: "&amp;$H269&amp;")")))</f>
        <v/>
      </c>
      <c r="F269">
        <f>IF($A269="","",IF(AND(LEN($B269)=11,SUMPRODUCT(--ISNUMBER(FIND(MID($B269,{1,2,3,4,5,6,7,8,9,10,11},1),"0123456789")))=11),1,0))</f>
        <v/>
      </c>
      <c r="G269">
        <f>IF($F269=1,VALUE(MID($B269,4,7)),"")</f>
        <v/>
      </c>
      <c r="H269">
        <f>IF($F269=1,MOD($G269,7),"")</f>
        <v/>
      </c>
    </row>
    <row r="270">
      <c r="A270" s="6" t="n"/>
      <c r="B270" s="7">
        <f>IF($A270="","",SUBSTITUTE(SUBSTITUTE(SUBSTITUTE(SUBSTITUTE($A270," ",""),"-",""),".",""),"/",""))</f>
        <v/>
      </c>
      <c r="C270" s="8">
        <f>IF($F270=1,$H270,"")</f>
        <v/>
      </c>
      <c r="D270" s="7">
        <f>IF($A270="","",IF($F270=0,"Biçim hatalı",IF(FIND(MID($B270,11,1),"0123456789")-1=$H270,"Geçerli","Kontrol hanesi hatalı (doğrusu: "&amp;$H270&amp;")")))</f>
        <v/>
      </c>
      <c r="F270">
        <f>IF($A270="","",IF(AND(LEN($B270)=11,SUMPRODUCT(--ISNUMBER(FIND(MID($B270,{1,2,3,4,5,6,7,8,9,10,11},1),"0123456789")))=11),1,0))</f>
        <v/>
      </c>
      <c r="G270">
        <f>IF($F270=1,VALUE(MID($B270,4,7)),"")</f>
        <v/>
      </c>
      <c r="H270">
        <f>IF($F270=1,MOD($G270,7),"")</f>
        <v/>
      </c>
    </row>
    <row r="271">
      <c r="A271" s="6" t="n"/>
      <c r="B271" s="7">
        <f>IF($A271="","",SUBSTITUTE(SUBSTITUTE(SUBSTITUTE(SUBSTITUTE($A271," ",""),"-",""),".",""),"/",""))</f>
        <v/>
      </c>
      <c r="C271" s="8">
        <f>IF($F271=1,$H271,"")</f>
        <v/>
      </c>
      <c r="D271" s="7">
        <f>IF($A271="","",IF($F271=0,"Biçim hatalı",IF(FIND(MID($B271,11,1),"0123456789")-1=$H271,"Geçerli","Kontrol hanesi hatalı (doğrusu: "&amp;$H271&amp;")")))</f>
        <v/>
      </c>
      <c r="F271">
        <f>IF($A271="","",IF(AND(LEN($B271)=11,SUMPRODUCT(--ISNUMBER(FIND(MID($B271,{1,2,3,4,5,6,7,8,9,10,11},1),"0123456789")))=11),1,0))</f>
        <v/>
      </c>
      <c r="G271">
        <f>IF($F271=1,VALUE(MID($B271,4,7)),"")</f>
        <v/>
      </c>
      <c r="H271">
        <f>IF($F271=1,MOD($G271,7),"")</f>
        <v/>
      </c>
    </row>
    <row r="272">
      <c r="A272" s="6" t="n"/>
      <c r="B272" s="7">
        <f>IF($A272="","",SUBSTITUTE(SUBSTITUTE(SUBSTITUTE(SUBSTITUTE($A272," ",""),"-",""),".",""),"/",""))</f>
        <v/>
      </c>
      <c r="C272" s="8">
        <f>IF($F272=1,$H272,"")</f>
        <v/>
      </c>
      <c r="D272" s="7">
        <f>IF($A272="","",IF($F272=0,"Biçim hatalı",IF(FIND(MID($B272,11,1),"0123456789")-1=$H272,"Geçerli","Kontrol hanesi hatalı (doğrusu: "&amp;$H272&amp;")")))</f>
        <v/>
      </c>
      <c r="F272">
        <f>IF($A272="","",IF(AND(LEN($B272)=11,SUMPRODUCT(--ISNUMBER(FIND(MID($B272,{1,2,3,4,5,6,7,8,9,10,11},1),"0123456789")))=11),1,0))</f>
        <v/>
      </c>
      <c r="G272">
        <f>IF($F272=1,VALUE(MID($B272,4,7)),"")</f>
        <v/>
      </c>
      <c r="H272">
        <f>IF($F272=1,MOD($G272,7),"")</f>
        <v/>
      </c>
    </row>
    <row r="273">
      <c r="A273" s="6" t="n"/>
      <c r="B273" s="7">
        <f>IF($A273="","",SUBSTITUTE(SUBSTITUTE(SUBSTITUTE(SUBSTITUTE($A273," ",""),"-",""),".",""),"/",""))</f>
        <v/>
      </c>
      <c r="C273" s="8">
        <f>IF($F273=1,$H273,"")</f>
        <v/>
      </c>
      <c r="D273" s="7">
        <f>IF($A273="","",IF($F273=0,"Biçim hatalı",IF(FIND(MID($B273,11,1),"0123456789")-1=$H273,"Geçerli","Kontrol hanesi hatalı (doğrusu: "&amp;$H273&amp;")")))</f>
        <v/>
      </c>
      <c r="F273">
        <f>IF($A273="","",IF(AND(LEN($B273)=11,SUMPRODUCT(--ISNUMBER(FIND(MID($B273,{1,2,3,4,5,6,7,8,9,10,11},1),"0123456789")))=11),1,0))</f>
        <v/>
      </c>
      <c r="G273">
        <f>IF($F273=1,VALUE(MID($B273,4,7)),"")</f>
        <v/>
      </c>
      <c r="H273">
        <f>IF($F273=1,MOD($G273,7),"")</f>
        <v/>
      </c>
    </row>
    <row r="274">
      <c r="A274" s="6" t="n"/>
      <c r="B274" s="7">
        <f>IF($A274="","",SUBSTITUTE(SUBSTITUTE(SUBSTITUTE(SUBSTITUTE($A274," ",""),"-",""),".",""),"/",""))</f>
        <v/>
      </c>
      <c r="C274" s="8">
        <f>IF($F274=1,$H274,"")</f>
        <v/>
      </c>
      <c r="D274" s="7">
        <f>IF($A274="","",IF($F274=0,"Biçim hatalı",IF(FIND(MID($B274,11,1),"0123456789")-1=$H274,"Geçerli","Kontrol hanesi hatalı (doğrusu: "&amp;$H274&amp;")")))</f>
        <v/>
      </c>
      <c r="F274">
        <f>IF($A274="","",IF(AND(LEN($B274)=11,SUMPRODUCT(--ISNUMBER(FIND(MID($B274,{1,2,3,4,5,6,7,8,9,10,11},1),"0123456789")))=11),1,0))</f>
        <v/>
      </c>
      <c r="G274">
        <f>IF($F274=1,VALUE(MID($B274,4,7)),"")</f>
        <v/>
      </c>
      <c r="H274">
        <f>IF($F274=1,MOD($G274,7),"")</f>
        <v/>
      </c>
    </row>
    <row r="275">
      <c r="A275" s="6" t="n"/>
      <c r="B275" s="7">
        <f>IF($A275="","",SUBSTITUTE(SUBSTITUTE(SUBSTITUTE(SUBSTITUTE($A275," ",""),"-",""),".",""),"/",""))</f>
        <v/>
      </c>
      <c r="C275" s="8">
        <f>IF($F275=1,$H275,"")</f>
        <v/>
      </c>
      <c r="D275" s="7">
        <f>IF($A275="","",IF($F275=0,"Biçim hatalı",IF(FIND(MID($B275,11,1),"0123456789")-1=$H275,"Geçerli","Kontrol hanesi hatalı (doğrusu: "&amp;$H275&amp;")")))</f>
        <v/>
      </c>
      <c r="F275">
        <f>IF($A275="","",IF(AND(LEN($B275)=11,SUMPRODUCT(--ISNUMBER(FIND(MID($B275,{1,2,3,4,5,6,7,8,9,10,11},1),"0123456789")))=11),1,0))</f>
        <v/>
      </c>
      <c r="G275">
        <f>IF($F275=1,VALUE(MID($B275,4,7)),"")</f>
        <v/>
      </c>
      <c r="H275">
        <f>IF($F275=1,MOD($G275,7),"")</f>
        <v/>
      </c>
    </row>
    <row r="276">
      <c r="A276" s="6" t="n"/>
      <c r="B276" s="7">
        <f>IF($A276="","",SUBSTITUTE(SUBSTITUTE(SUBSTITUTE(SUBSTITUTE($A276," ",""),"-",""),".",""),"/",""))</f>
        <v/>
      </c>
      <c r="C276" s="8">
        <f>IF($F276=1,$H276,"")</f>
        <v/>
      </c>
      <c r="D276" s="7">
        <f>IF($A276="","",IF($F276=0,"Biçim hatalı",IF(FIND(MID($B276,11,1),"0123456789")-1=$H276,"Geçerli","Kontrol hanesi hatalı (doğrusu: "&amp;$H276&amp;")")))</f>
        <v/>
      </c>
      <c r="F276">
        <f>IF($A276="","",IF(AND(LEN($B276)=11,SUMPRODUCT(--ISNUMBER(FIND(MID($B276,{1,2,3,4,5,6,7,8,9,10,11},1),"0123456789")))=11),1,0))</f>
        <v/>
      </c>
      <c r="G276">
        <f>IF($F276=1,VALUE(MID($B276,4,7)),"")</f>
        <v/>
      </c>
      <c r="H276">
        <f>IF($F276=1,MOD($G276,7),"")</f>
        <v/>
      </c>
    </row>
    <row r="277">
      <c r="A277" s="6" t="n"/>
      <c r="B277" s="7">
        <f>IF($A277="","",SUBSTITUTE(SUBSTITUTE(SUBSTITUTE(SUBSTITUTE($A277," ",""),"-",""),".",""),"/",""))</f>
        <v/>
      </c>
      <c r="C277" s="8">
        <f>IF($F277=1,$H277,"")</f>
        <v/>
      </c>
      <c r="D277" s="7">
        <f>IF($A277="","",IF($F277=0,"Biçim hatalı",IF(FIND(MID($B277,11,1),"0123456789")-1=$H277,"Geçerli","Kontrol hanesi hatalı (doğrusu: "&amp;$H277&amp;")")))</f>
        <v/>
      </c>
      <c r="F277">
        <f>IF($A277="","",IF(AND(LEN($B277)=11,SUMPRODUCT(--ISNUMBER(FIND(MID($B277,{1,2,3,4,5,6,7,8,9,10,11},1),"0123456789")))=11),1,0))</f>
        <v/>
      </c>
      <c r="G277">
        <f>IF($F277=1,VALUE(MID($B277,4,7)),"")</f>
        <v/>
      </c>
      <c r="H277">
        <f>IF($F277=1,MOD($G277,7),"")</f>
        <v/>
      </c>
    </row>
    <row r="278">
      <c r="A278" s="6" t="n"/>
      <c r="B278" s="7">
        <f>IF($A278="","",SUBSTITUTE(SUBSTITUTE(SUBSTITUTE(SUBSTITUTE($A278," ",""),"-",""),".",""),"/",""))</f>
        <v/>
      </c>
      <c r="C278" s="8">
        <f>IF($F278=1,$H278,"")</f>
        <v/>
      </c>
      <c r="D278" s="7">
        <f>IF($A278="","",IF($F278=0,"Biçim hatalı",IF(FIND(MID($B278,11,1),"0123456789")-1=$H278,"Geçerli","Kontrol hanesi hatalı (doğrusu: "&amp;$H278&amp;")")))</f>
        <v/>
      </c>
      <c r="F278">
        <f>IF($A278="","",IF(AND(LEN($B278)=11,SUMPRODUCT(--ISNUMBER(FIND(MID($B278,{1,2,3,4,5,6,7,8,9,10,11},1),"0123456789")))=11),1,0))</f>
        <v/>
      </c>
      <c r="G278">
        <f>IF($F278=1,VALUE(MID($B278,4,7)),"")</f>
        <v/>
      </c>
      <c r="H278">
        <f>IF($F278=1,MOD($G278,7),"")</f>
        <v/>
      </c>
    </row>
    <row r="279">
      <c r="A279" s="6" t="n"/>
      <c r="B279" s="7">
        <f>IF($A279="","",SUBSTITUTE(SUBSTITUTE(SUBSTITUTE(SUBSTITUTE($A279," ",""),"-",""),".",""),"/",""))</f>
        <v/>
      </c>
      <c r="C279" s="8">
        <f>IF($F279=1,$H279,"")</f>
        <v/>
      </c>
      <c r="D279" s="7">
        <f>IF($A279="","",IF($F279=0,"Biçim hatalı",IF(FIND(MID($B279,11,1),"0123456789")-1=$H279,"Geçerli","Kontrol hanesi hatalı (doğrusu: "&amp;$H279&amp;")")))</f>
        <v/>
      </c>
      <c r="F279">
        <f>IF($A279="","",IF(AND(LEN($B279)=11,SUMPRODUCT(--ISNUMBER(FIND(MID($B279,{1,2,3,4,5,6,7,8,9,10,11},1),"0123456789")))=11),1,0))</f>
        <v/>
      </c>
      <c r="G279">
        <f>IF($F279=1,VALUE(MID($B279,4,7)),"")</f>
        <v/>
      </c>
      <c r="H279">
        <f>IF($F279=1,MOD($G279,7),"")</f>
        <v/>
      </c>
    </row>
    <row r="280">
      <c r="A280" s="6" t="n"/>
      <c r="B280" s="7">
        <f>IF($A280="","",SUBSTITUTE(SUBSTITUTE(SUBSTITUTE(SUBSTITUTE($A280," ",""),"-",""),".",""),"/",""))</f>
        <v/>
      </c>
      <c r="C280" s="8">
        <f>IF($F280=1,$H280,"")</f>
        <v/>
      </c>
      <c r="D280" s="7">
        <f>IF($A280="","",IF($F280=0,"Biçim hatalı",IF(FIND(MID($B280,11,1),"0123456789")-1=$H280,"Geçerli","Kontrol hanesi hatalı (doğrusu: "&amp;$H280&amp;")")))</f>
        <v/>
      </c>
      <c r="F280">
        <f>IF($A280="","",IF(AND(LEN($B280)=11,SUMPRODUCT(--ISNUMBER(FIND(MID($B280,{1,2,3,4,5,6,7,8,9,10,11},1),"0123456789")))=11),1,0))</f>
        <v/>
      </c>
      <c r="G280">
        <f>IF($F280=1,VALUE(MID($B280,4,7)),"")</f>
        <v/>
      </c>
      <c r="H280">
        <f>IF($F280=1,MOD($G280,7),"")</f>
        <v/>
      </c>
    </row>
    <row r="281">
      <c r="A281" s="6" t="n"/>
      <c r="B281" s="7">
        <f>IF($A281="","",SUBSTITUTE(SUBSTITUTE(SUBSTITUTE(SUBSTITUTE($A281," ",""),"-",""),".",""),"/",""))</f>
        <v/>
      </c>
      <c r="C281" s="8">
        <f>IF($F281=1,$H281,"")</f>
        <v/>
      </c>
      <c r="D281" s="7">
        <f>IF($A281="","",IF($F281=0,"Biçim hatalı",IF(FIND(MID($B281,11,1),"0123456789")-1=$H281,"Geçerli","Kontrol hanesi hatalı (doğrusu: "&amp;$H281&amp;")")))</f>
        <v/>
      </c>
      <c r="F281">
        <f>IF($A281="","",IF(AND(LEN($B281)=11,SUMPRODUCT(--ISNUMBER(FIND(MID($B281,{1,2,3,4,5,6,7,8,9,10,11},1),"0123456789")))=11),1,0))</f>
        <v/>
      </c>
      <c r="G281">
        <f>IF($F281=1,VALUE(MID($B281,4,7)),"")</f>
        <v/>
      </c>
      <c r="H281">
        <f>IF($F281=1,MOD($G281,7),"")</f>
        <v/>
      </c>
    </row>
    <row r="282">
      <c r="A282" s="6" t="n"/>
      <c r="B282" s="7">
        <f>IF($A282="","",SUBSTITUTE(SUBSTITUTE(SUBSTITUTE(SUBSTITUTE($A282," ",""),"-",""),".",""),"/",""))</f>
        <v/>
      </c>
      <c r="C282" s="8">
        <f>IF($F282=1,$H282,"")</f>
        <v/>
      </c>
      <c r="D282" s="7">
        <f>IF($A282="","",IF($F282=0,"Biçim hatalı",IF(FIND(MID($B282,11,1),"0123456789")-1=$H282,"Geçerli","Kontrol hanesi hatalı (doğrusu: "&amp;$H282&amp;")")))</f>
        <v/>
      </c>
      <c r="F282">
        <f>IF($A282="","",IF(AND(LEN($B282)=11,SUMPRODUCT(--ISNUMBER(FIND(MID($B282,{1,2,3,4,5,6,7,8,9,10,11},1),"0123456789")))=11),1,0))</f>
        <v/>
      </c>
      <c r="G282">
        <f>IF($F282=1,VALUE(MID($B282,4,7)),"")</f>
        <v/>
      </c>
      <c r="H282">
        <f>IF($F282=1,MOD($G282,7),"")</f>
        <v/>
      </c>
    </row>
    <row r="283">
      <c r="A283" s="6" t="n"/>
      <c r="B283" s="7">
        <f>IF($A283="","",SUBSTITUTE(SUBSTITUTE(SUBSTITUTE(SUBSTITUTE($A283," ",""),"-",""),".",""),"/",""))</f>
        <v/>
      </c>
      <c r="C283" s="8">
        <f>IF($F283=1,$H283,"")</f>
        <v/>
      </c>
      <c r="D283" s="7">
        <f>IF($A283="","",IF($F283=0,"Biçim hatalı",IF(FIND(MID($B283,11,1),"0123456789")-1=$H283,"Geçerli","Kontrol hanesi hatalı (doğrusu: "&amp;$H283&amp;")")))</f>
        <v/>
      </c>
      <c r="F283">
        <f>IF($A283="","",IF(AND(LEN($B283)=11,SUMPRODUCT(--ISNUMBER(FIND(MID($B283,{1,2,3,4,5,6,7,8,9,10,11},1),"0123456789")))=11),1,0))</f>
        <v/>
      </c>
      <c r="G283">
        <f>IF($F283=1,VALUE(MID($B283,4,7)),"")</f>
        <v/>
      </c>
      <c r="H283">
        <f>IF($F283=1,MOD($G283,7),"")</f>
        <v/>
      </c>
    </row>
    <row r="284">
      <c r="A284" s="6" t="n"/>
      <c r="B284" s="7">
        <f>IF($A284="","",SUBSTITUTE(SUBSTITUTE(SUBSTITUTE(SUBSTITUTE($A284," ",""),"-",""),".",""),"/",""))</f>
        <v/>
      </c>
      <c r="C284" s="8">
        <f>IF($F284=1,$H284,"")</f>
        <v/>
      </c>
      <c r="D284" s="7">
        <f>IF($A284="","",IF($F284=0,"Biçim hatalı",IF(FIND(MID($B284,11,1),"0123456789")-1=$H284,"Geçerli","Kontrol hanesi hatalı (doğrusu: "&amp;$H284&amp;")")))</f>
        <v/>
      </c>
      <c r="F284">
        <f>IF($A284="","",IF(AND(LEN($B284)=11,SUMPRODUCT(--ISNUMBER(FIND(MID($B284,{1,2,3,4,5,6,7,8,9,10,11},1),"0123456789")))=11),1,0))</f>
        <v/>
      </c>
      <c r="G284">
        <f>IF($F284=1,VALUE(MID($B284,4,7)),"")</f>
        <v/>
      </c>
      <c r="H284">
        <f>IF($F284=1,MOD($G284,7),"")</f>
        <v/>
      </c>
    </row>
    <row r="285">
      <c r="A285" s="6" t="n"/>
      <c r="B285" s="7">
        <f>IF($A285="","",SUBSTITUTE(SUBSTITUTE(SUBSTITUTE(SUBSTITUTE($A285," ",""),"-",""),".",""),"/",""))</f>
        <v/>
      </c>
      <c r="C285" s="8">
        <f>IF($F285=1,$H285,"")</f>
        <v/>
      </c>
      <c r="D285" s="7">
        <f>IF($A285="","",IF($F285=0,"Biçim hatalı",IF(FIND(MID($B285,11,1),"0123456789")-1=$H285,"Geçerli","Kontrol hanesi hatalı (doğrusu: "&amp;$H285&amp;")")))</f>
        <v/>
      </c>
      <c r="F285">
        <f>IF($A285="","",IF(AND(LEN($B285)=11,SUMPRODUCT(--ISNUMBER(FIND(MID($B285,{1,2,3,4,5,6,7,8,9,10,11},1),"0123456789")))=11),1,0))</f>
        <v/>
      </c>
      <c r="G285">
        <f>IF($F285=1,VALUE(MID($B285,4,7)),"")</f>
        <v/>
      </c>
      <c r="H285">
        <f>IF($F285=1,MOD($G285,7),"")</f>
        <v/>
      </c>
    </row>
    <row r="286">
      <c r="A286" s="6" t="n"/>
      <c r="B286" s="7">
        <f>IF($A286="","",SUBSTITUTE(SUBSTITUTE(SUBSTITUTE(SUBSTITUTE($A286," ",""),"-",""),".",""),"/",""))</f>
        <v/>
      </c>
      <c r="C286" s="8">
        <f>IF($F286=1,$H286,"")</f>
        <v/>
      </c>
      <c r="D286" s="7">
        <f>IF($A286="","",IF($F286=0,"Biçim hatalı",IF(FIND(MID($B286,11,1),"0123456789")-1=$H286,"Geçerli","Kontrol hanesi hatalı (doğrusu: "&amp;$H286&amp;")")))</f>
        <v/>
      </c>
      <c r="F286">
        <f>IF($A286="","",IF(AND(LEN($B286)=11,SUMPRODUCT(--ISNUMBER(FIND(MID($B286,{1,2,3,4,5,6,7,8,9,10,11},1),"0123456789")))=11),1,0))</f>
        <v/>
      </c>
      <c r="G286">
        <f>IF($F286=1,VALUE(MID($B286,4,7)),"")</f>
        <v/>
      </c>
      <c r="H286">
        <f>IF($F286=1,MOD($G286,7),"")</f>
        <v/>
      </c>
    </row>
    <row r="287">
      <c r="A287" s="6" t="n"/>
      <c r="B287" s="7">
        <f>IF($A287="","",SUBSTITUTE(SUBSTITUTE(SUBSTITUTE(SUBSTITUTE($A287," ",""),"-",""),".",""),"/",""))</f>
        <v/>
      </c>
      <c r="C287" s="8">
        <f>IF($F287=1,$H287,"")</f>
        <v/>
      </c>
      <c r="D287" s="7">
        <f>IF($A287="","",IF($F287=0,"Biçim hatalı",IF(FIND(MID($B287,11,1),"0123456789")-1=$H287,"Geçerli","Kontrol hanesi hatalı (doğrusu: "&amp;$H287&amp;")")))</f>
        <v/>
      </c>
      <c r="F287">
        <f>IF($A287="","",IF(AND(LEN($B287)=11,SUMPRODUCT(--ISNUMBER(FIND(MID($B287,{1,2,3,4,5,6,7,8,9,10,11},1),"0123456789")))=11),1,0))</f>
        <v/>
      </c>
      <c r="G287">
        <f>IF($F287=1,VALUE(MID($B287,4,7)),"")</f>
        <v/>
      </c>
      <c r="H287">
        <f>IF($F287=1,MOD($G287,7),"")</f>
        <v/>
      </c>
    </row>
    <row r="288">
      <c r="A288" s="6" t="n"/>
      <c r="B288" s="7">
        <f>IF($A288="","",SUBSTITUTE(SUBSTITUTE(SUBSTITUTE(SUBSTITUTE($A288," ",""),"-",""),".",""),"/",""))</f>
        <v/>
      </c>
      <c r="C288" s="8">
        <f>IF($F288=1,$H288,"")</f>
        <v/>
      </c>
      <c r="D288" s="7">
        <f>IF($A288="","",IF($F288=0,"Biçim hatalı",IF(FIND(MID($B288,11,1),"0123456789")-1=$H288,"Geçerli","Kontrol hanesi hatalı (doğrusu: "&amp;$H288&amp;")")))</f>
        <v/>
      </c>
      <c r="F288">
        <f>IF($A288="","",IF(AND(LEN($B288)=11,SUMPRODUCT(--ISNUMBER(FIND(MID($B288,{1,2,3,4,5,6,7,8,9,10,11},1),"0123456789")))=11),1,0))</f>
        <v/>
      </c>
      <c r="G288">
        <f>IF($F288=1,VALUE(MID($B288,4,7)),"")</f>
        <v/>
      </c>
      <c r="H288">
        <f>IF($F288=1,MOD($G288,7),"")</f>
        <v/>
      </c>
    </row>
    <row r="289">
      <c r="A289" s="6" t="n"/>
      <c r="B289" s="7">
        <f>IF($A289="","",SUBSTITUTE(SUBSTITUTE(SUBSTITUTE(SUBSTITUTE($A289," ",""),"-",""),".",""),"/",""))</f>
        <v/>
      </c>
      <c r="C289" s="8">
        <f>IF($F289=1,$H289,"")</f>
        <v/>
      </c>
      <c r="D289" s="7">
        <f>IF($A289="","",IF($F289=0,"Biçim hatalı",IF(FIND(MID($B289,11,1),"0123456789")-1=$H289,"Geçerli","Kontrol hanesi hatalı (doğrusu: "&amp;$H289&amp;")")))</f>
        <v/>
      </c>
      <c r="F289">
        <f>IF($A289="","",IF(AND(LEN($B289)=11,SUMPRODUCT(--ISNUMBER(FIND(MID($B289,{1,2,3,4,5,6,7,8,9,10,11},1),"0123456789")))=11),1,0))</f>
        <v/>
      </c>
      <c r="G289">
        <f>IF($F289=1,VALUE(MID($B289,4,7)),"")</f>
        <v/>
      </c>
      <c r="H289">
        <f>IF($F289=1,MOD($G289,7),"")</f>
        <v/>
      </c>
    </row>
    <row r="290">
      <c r="A290" s="6" t="n"/>
      <c r="B290" s="7">
        <f>IF($A290="","",SUBSTITUTE(SUBSTITUTE(SUBSTITUTE(SUBSTITUTE($A290," ",""),"-",""),".",""),"/",""))</f>
        <v/>
      </c>
      <c r="C290" s="8">
        <f>IF($F290=1,$H290,"")</f>
        <v/>
      </c>
      <c r="D290" s="7">
        <f>IF($A290="","",IF($F290=0,"Biçim hatalı",IF(FIND(MID($B290,11,1),"0123456789")-1=$H290,"Geçerli","Kontrol hanesi hatalı (doğrusu: "&amp;$H290&amp;")")))</f>
        <v/>
      </c>
      <c r="F290">
        <f>IF($A290="","",IF(AND(LEN($B290)=11,SUMPRODUCT(--ISNUMBER(FIND(MID($B290,{1,2,3,4,5,6,7,8,9,10,11},1),"0123456789")))=11),1,0))</f>
        <v/>
      </c>
      <c r="G290">
        <f>IF($F290=1,VALUE(MID($B290,4,7)),"")</f>
        <v/>
      </c>
      <c r="H290">
        <f>IF($F290=1,MOD($G290,7),"")</f>
        <v/>
      </c>
    </row>
    <row r="291">
      <c r="A291" s="6" t="n"/>
      <c r="B291" s="7">
        <f>IF($A291="","",SUBSTITUTE(SUBSTITUTE(SUBSTITUTE(SUBSTITUTE($A291," ",""),"-",""),".",""),"/",""))</f>
        <v/>
      </c>
      <c r="C291" s="8">
        <f>IF($F291=1,$H291,"")</f>
        <v/>
      </c>
      <c r="D291" s="7">
        <f>IF($A291="","",IF($F291=0,"Biçim hatalı",IF(FIND(MID($B291,11,1),"0123456789")-1=$H291,"Geçerli","Kontrol hanesi hatalı (doğrusu: "&amp;$H291&amp;")")))</f>
        <v/>
      </c>
      <c r="F291">
        <f>IF($A291="","",IF(AND(LEN($B291)=11,SUMPRODUCT(--ISNUMBER(FIND(MID($B291,{1,2,3,4,5,6,7,8,9,10,11},1),"0123456789")))=11),1,0))</f>
        <v/>
      </c>
      <c r="G291">
        <f>IF($F291=1,VALUE(MID($B291,4,7)),"")</f>
        <v/>
      </c>
      <c r="H291">
        <f>IF($F291=1,MOD($G291,7),"")</f>
        <v/>
      </c>
    </row>
    <row r="292">
      <c r="A292" s="6" t="n"/>
      <c r="B292" s="7">
        <f>IF($A292="","",SUBSTITUTE(SUBSTITUTE(SUBSTITUTE(SUBSTITUTE($A292," ",""),"-",""),".",""),"/",""))</f>
        <v/>
      </c>
      <c r="C292" s="8">
        <f>IF($F292=1,$H292,"")</f>
        <v/>
      </c>
      <c r="D292" s="7">
        <f>IF($A292="","",IF($F292=0,"Biçim hatalı",IF(FIND(MID($B292,11,1),"0123456789")-1=$H292,"Geçerli","Kontrol hanesi hatalı (doğrusu: "&amp;$H292&amp;")")))</f>
        <v/>
      </c>
      <c r="F292">
        <f>IF($A292="","",IF(AND(LEN($B292)=11,SUMPRODUCT(--ISNUMBER(FIND(MID($B292,{1,2,3,4,5,6,7,8,9,10,11},1),"0123456789")))=11),1,0))</f>
        <v/>
      </c>
      <c r="G292">
        <f>IF($F292=1,VALUE(MID($B292,4,7)),"")</f>
        <v/>
      </c>
      <c r="H292">
        <f>IF($F292=1,MOD($G292,7),"")</f>
        <v/>
      </c>
    </row>
    <row r="293">
      <c r="A293" s="6" t="n"/>
      <c r="B293" s="7">
        <f>IF($A293="","",SUBSTITUTE(SUBSTITUTE(SUBSTITUTE(SUBSTITUTE($A293," ",""),"-",""),".",""),"/",""))</f>
        <v/>
      </c>
      <c r="C293" s="8">
        <f>IF($F293=1,$H293,"")</f>
        <v/>
      </c>
      <c r="D293" s="7">
        <f>IF($A293="","",IF($F293=0,"Biçim hatalı",IF(FIND(MID($B293,11,1),"0123456789")-1=$H293,"Geçerli","Kontrol hanesi hatalı (doğrusu: "&amp;$H293&amp;")")))</f>
        <v/>
      </c>
      <c r="F293">
        <f>IF($A293="","",IF(AND(LEN($B293)=11,SUMPRODUCT(--ISNUMBER(FIND(MID($B293,{1,2,3,4,5,6,7,8,9,10,11},1),"0123456789")))=11),1,0))</f>
        <v/>
      </c>
      <c r="G293">
        <f>IF($F293=1,VALUE(MID($B293,4,7)),"")</f>
        <v/>
      </c>
      <c r="H293">
        <f>IF($F293=1,MOD($G293,7),"")</f>
        <v/>
      </c>
    </row>
    <row r="294">
      <c r="A294" s="6" t="n"/>
      <c r="B294" s="7">
        <f>IF($A294="","",SUBSTITUTE(SUBSTITUTE(SUBSTITUTE(SUBSTITUTE($A294," ",""),"-",""),".",""),"/",""))</f>
        <v/>
      </c>
      <c r="C294" s="8">
        <f>IF($F294=1,$H294,"")</f>
        <v/>
      </c>
      <c r="D294" s="7">
        <f>IF($A294="","",IF($F294=0,"Biçim hatalı",IF(FIND(MID($B294,11,1),"0123456789")-1=$H294,"Geçerli","Kontrol hanesi hatalı (doğrusu: "&amp;$H294&amp;")")))</f>
        <v/>
      </c>
      <c r="F294">
        <f>IF($A294="","",IF(AND(LEN($B294)=11,SUMPRODUCT(--ISNUMBER(FIND(MID($B294,{1,2,3,4,5,6,7,8,9,10,11},1),"0123456789")))=11),1,0))</f>
        <v/>
      </c>
      <c r="G294">
        <f>IF($F294=1,VALUE(MID($B294,4,7)),"")</f>
        <v/>
      </c>
      <c r="H294">
        <f>IF($F294=1,MOD($G294,7),"")</f>
        <v/>
      </c>
    </row>
    <row r="295">
      <c r="A295" s="6" t="n"/>
      <c r="B295" s="7">
        <f>IF($A295="","",SUBSTITUTE(SUBSTITUTE(SUBSTITUTE(SUBSTITUTE($A295," ",""),"-",""),".",""),"/",""))</f>
        <v/>
      </c>
      <c r="C295" s="8">
        <f>IF($F295=1,$H295,"")</f>
        <v/>
      </c>
      <c r="D295" s="7">
        <f>IF($A295="","",IF($F295=0,"Biçim hatalı",IF(FIND(MID($B295,11,1),"0123456789")-1=$H295,"Geçerli","Kontrol hanesi hatalı (doğrusu: "&amp;$H295&amp;")")))</f>
        <v/>
      </c>
      <c r="F295">
        <f>IF($A295="","",IF(AND(LEN($B295)=11,SUMPRODUCT(--ISNUMBER(FIND(MID($B295,{1,2,3,4,5,6,7,8,9,10,11},1),"0123456789")))=11),1,0))</f>
        <v/>
      </c>
      <c r="G295">
        <f>IF($F295=1,VALUE(MID($B295,4,7)),"")</f>
        <v/>
      </c>
      <c r="H295">
        <f>IF($F295=1,MOD($G295,7),"")</f>
        <v/>
      </c>
    </row>
    <row r="296">
      <c r="A296" s="6" t="n"/>
      <c r="B296" s="7">
        <f>IF($A296="","",SUBSTITUTE(SUBSTITUTE(SUBSTITUTE(SUBSTITUTE($A296," ",""),"-",""),".",""),"/",""))</f>
        <v/>
      </c>
      <c r="C296" s="8">
        <f>IF($F296=1,$H296,"")</f>
        <v/>
      </c>
      <c r="D296" s="7">
        <f>IF($A296="","",IF($F296=0,"Biçim hatalı",IF(FIND(MID($B296,11,1),"0123456789")-1=$H296,"Geçerli","Kontrol hanesi hatalı (doğrusu: "&amp;$H296&amp;")")))</f>
        <v/>
      </c>
      <c r="F296">
        <f>IF($A296="","",IF(AND(LEN($B296)=11,SUMPRODUCT(--ISNUMBER(FIND(MID($B296,{1,2,3,4,5,6,7,8,9,10,11},1),"0123456789")))=11),1,0))</f>
        <v/>
      </c>
      <c r="G296">
        <f>IF($F296=1,VALUE(MID($B296,4,7)),"")</f>
        <v/>
      </c>
      <c r="H296">
        <f>IF($F296=1,MOD($G296,7),"")</f>
        <v/>
      </c>
    </row>
    <row r="297">
      <c r="A297" s="6" t="n"/>
      <c r="B297" s="7">
        <f>IF($A297="","",SUBSTITUTE(SUBSTITUTE(SUBSTITUTE(SUBSTITUTE($A297," ",""),"-",""),".",""),"/",""))</f>
        <v/>
      </c>
      <c r="C297" s="8">
        <f>IF($F297=1,$H297,"")</f>
        <v/>
      </c>
      <c r="D297" s="7">
        <f>IF($A297="","",IF($F297=0,"Biçim hatalı",IF(FIND(MID($B297,11,1),"0123456789")-1=$H297,"Geçerli","Kontrol hanesi hatalı (doğrusu: "&amp;$H297&amp;")")))</f>
        <v/>
      </c>
      <c r="F297">
        <f>IF($A297="","",IF(AND(LEN($B297)=11,SUMPRODUCT(--ISNUMBER(FIND(MID($B297,{1,2,3,4,5,6,7,8,9,10,11},1),"0123456789")))=11),1,0))</f>
        <v/>
      </c>
      <c r="G297">
        <f>IF($F297=1,VALUE(MID($B297,4,7)),"")</f>
        <v/>
      </c>
      <c r="H297">
        <f>IF($F297=1,MOD($G297,7),"")</f>
        <v/>
      </c>
    </row>
    <row r="298">
      <c r="A298" s="6" t="n"/>
      <c r="B298" s="7">
        <f>IF($A298="","",SUBSTITUTE(SUBSTITUTE(SUBSTITUTE(SUBSTITUTE($A298," ",""),"-",""),".",""),"/",""))</f>
        <v/>
      </c>
      <c r="C298" s="8">
        <f>IF($F298=1,$H298,"")</f>
        <v/>
      </c>
      <c r="D298" s="7">
        <f>IF($A298="","",IF($F298=0,"Biçim hatalı",IF(FIND(MID($B298,11,1),"0123456789")-1=$H298,"Geçerli","Kontrol hanesi hatalı (doğrusu: "&amp;$H298&amp;")")))</f>
        <v/>
      </c>
      <c r="F298">
        <f>IF($A298="","",IF(AND(LEN($B298)=11,SUMPRODUCT(--ISNUMBER(FIND(MID($B298,{1,2,3,4,5,6,7,8,9,10,11},1),"0123456789")))=11),1,0))</f>
        <v/>
      </c>
      <c r="G298">
        <f>IF($F298=1,VALUE(MID($B298,4,7)),"")</f>
        <v/>
      </c>
      <c r="H298">
        <f>IF($F298=1,MOD($G298,7),"")</f>
        <v/>
      </c>
    </row>
    <row r="299">
      <c r="A299" s="6" t="n"/>
      <c r="B299" s="7">
        <f>IF($A299="","",SUBSTITUTE(SUBSTITUTE(SUBSTITUTE(SUBSTITUTE($A299," ",""),"-",""),".",""),"/",""))</f>
        <v/>
      </c>
      <c r="C299" s="8">
        <f>IF($F299=1,$H299,"")</f>
        <v/>
      </c>
      <c r="D299" s="7">
        <f>IF($A299="","",IF($F299=0,"Biçim hatalı",IF(FIND(MID($B299,11,1),"0123456789")-1=$H299,"Geçerli","Kontrol hanesi hatalı (doğrusu: "&amp;$H299&amp;")")))</f>
        <v/>
      </c>
      <c r="F299">
        <f>IF($A299="","",IF(AND(LEN($B299)=11,SUMPRODUCT(--ISNUMBER(FIND(MID($B299,{1,2,3,4,5,6,7,8,9,10,11},1),"0123456789")))=11),1,0))</f>
        <v/>
      </c>
      <c r="G299">
        <f>IF($F299=1,VALUE(MID($B299,4,7)),"")</f>
        <v/>
      </c>
      <c r="H299">
        <f>IF($F299=1,MOD($G299,7),"")</f>
        <v/>
      </c>
    </row>
    <row r="300">
      <c r="A300" s="6" t="n"/>
      <c r="B300" s="7">
        <f>IF($A300="","",SUBSTITUTE(SUBSTITUTE(SUBSTITUTE(SUBSTITUTE($A300," ",""),"-",""),".",""),"/",""))</f>
        <v/>
      </c>
      <c r="C300" s="8">
        <f>IF($F300=1,$H300,"")</f>
        <v/>
      </c>
      <c r="D300" s="7">
        <f>IF($A300="","",IF($F300=0,"Biçim hatalı",IF(FIND(MID($B300,11,1),"0123456789")-1=$H300,"Geçerli","Kontrol hanesi hatalı (doğrusu: "&amp;$H300&amp;")")))</f>
        <v/>
      </c>
      <c r="F300">
        <f>IF($A300="","",IF(AND(LEN($B300)=11,SUMPRODUCT(--ISNUMBER(FIND(MID($B300,{1,2,3,4,5,6,7,8,9,10,11},1),"0123456789")))=11),1,0))</f>
        <v/>
      </c>
      <c r="G300">
        <f>IF($F300=1,VALUE(MID($B300,4,7)),"")</f>
        <v/>
      </c>
      <c r="H300">
        <f>IF($F300=1,MOD($G300,7),"")</f>
        <v/>
      </c>
    </row>
    <row r="301">
      <c r="A301" s="6" t="n"/>
      <c r="B301" s="7">
        <f>IF($A301="","",SUBSTITUTE(SUBSTITUTE(SUBSTITUTE(SUBSTITUTE($A301," ",""),"-",""),".",""),"/",""))</f>
        <v/>
      </c>
      <c r="C301" s="8">
        <f>IF($F301=1,$H301,"")</f>
        <v/>
      </c>
      <c r="D301" s="7">
        <f>IF($A301="","",IF($F301=0,"Biçim hatalı",IF(FIND(MID($B301,11,1),"0123456789")-1=$H301,"Geçerli","Kontrol hanesi hatalı (doğrusu: "&amp;$H301&amp;")")))</f>
        <v/>
      </c>
      <c r="F301">
        <f>IF($A301="","",IF(AND(LEN($B301)=11,SUMPRODUCT(--ISNUMBER(FIND(MID($B301,{1,2,3,4,5,6,7,8,9,10,11},1),"0123456789")))=11),1,0))</f>
        <v/>
      </c>
      <c r="G301">
        <f>IF($F301=1,VALUE(MID($B301,4,7)),"")</f>
        <v/>
      </c>
      <c r="H301">
        <f>IF($F301=1,MOD($G301,7),"")</f>
        <v/>
      </c>
    </row>
    <row r="302">
      <c r="A302" s="6" t="n"/>
      <c r="B302" s="7">
        <f>IF($A302="","",SUBSTITUTE(SUBSTITUTE(SUBSTITUTE(SUBSTITUTE($A302," ",""),"-",""),".",""),"/",""))</f>
        <v/>
      </c>
      <c r="C302" s="8">
        <f>IF($F302=1,$H302,"")</f>
        <v/>
      </c>
      <c r="D302" s="7">
        <f>IF($A302="","",IF($F302=0,"Biçim hatalı",IF(FIND(MID($B302,11,1),"0123456789")-1=$H302,"Geçerli","Kontrol hanesi hatalı (doğrusu: "&amp;$H302&amp;")")))</f>
        <v/>
      </c>
      <c r="F302">
        <f>IF($A302="","",IF(AND(LEN($B302)=11,SUMPRODUCT(--ISNUMBER(FIND(MID($B302,{1,2,3,4,5,6,7,8,9,10,11},1),"0123456789")))=11),1,0))</f>
        <v/>
      </c>
      <c r="G302">
        <f>IF($F302=1,VALUE(MID($B302,4,7)),"")</f>
        <v/>
      </c>
      <c r="H302">
        <f>IF($F302=1,MOD($G302,7),"")</f>
        <v/>
      </c>
    </row>
    <row r="303">
      <c r="A303" s="6" t="n"/>
      <c r="B303" s="7">
        <f>IF($A303="","",SUBSTITUTE(SUBSTITUTE(SUBSTITUTE(SUBSTITUTE($A303," ",""),"-",""),".",""),"/",""))</f>
        <v/>
      </c>
      <c r="C303" s="8">
        <f>IF($F303=1,$H303,"")</f>
        <v/>
      </c>
      <c r="D303" s="7">
        <f>IF($A303="","",IF($F303=0,"Biçim hatalı",IF(FIND(MID($B303,11,1),"0123456789")-1=$H303,"Geçerli","Kontrol hanesi hatalı (doğrusu: "&amp;$H303&amp;")")))</f>
        <v/>
      </c>
      <c r="F303">
        <f>IF($A303="","",IF(AND(LEN($B303)=11,SUMPRODUCT(--ISNUMBER(FIND(MID($B303,{1,2,3,4,5,6,7,8,9,10,11},1),"0123456789")))=11),1,0))</f>
        <v/>
      </c>
      <c r="G303">
        <f>IF($F303=1,VALUE(MID($B303,4,7)),"")</f>
        <v/>
      </c>
      <c r="H303">
        <f>IF($F303=1,MOD($G303,7),"")</f>
        <v/>
      </c>
    </row>
    <row r="304">
      <c r="A304" s="6" t="n"/>
      <c r="B304" s="7">
        <f>IF($A304="","",SUBSTITUTE(SUBSTITUTE(SUBSTITUTE(SUBSTITUTE($A304," ",""),"-",""),".",""),"/",""))</f>
        <v/>
      </c>
      <c r="C304" s="8">
        <f>IF($F304=1,$H304,"")</f>
        <v/>
      </c>
      <c r="D304" s="7">
        <f>IF($A304="","",IF($F304=0,"Biçim hatalı",IF(FIND(MID($B304,11,1),"0123456789")-1=$H304,"Geçerli","Kontrol hanesi hatalı (doğrusu: "&amp;$H304&amp;")")))</f>
        <v/>
      </c>
      <c r="F304">
        <f>IF($A304="","",IF(AND(LEN($B304)=11,SUMPRODUCT(--ISNUMBER(FIND(MID($B304,{1,2,3,4,5,6,7,8,9,10,11},1),"0123456789")))=11),1,0))</f>
        <v/>
      </c>
      <c r="G304">
        <f>IF($F304=1,VALUE(MID($B304,4,7)),"")</f>
        <v/>
      </c>
      <c r="H304">
        <f>IF($F304=1,MOD($G304,7),"")</f>
        <v/>
      </c>
    </row>
    <row r="305">
      <c r="A305" s="6" t="n"/>
      <c r="B305" s="7">
        <f>IF($A305="","",SUBSTITUTE(SUBSTITUTE(SUBSTITUTE(SUBSTITUTE($A305," ",""),"-",""),".",""),"/",""))</f>
        <v/>
      </c>
      <c r="C305" s="8">
        <f>IF($F305=1,$H305,"")</f>
        <v/>
      </c>
      <c r="D305" s="7">
        <f>IF($A305="","",IF($F305=0,"Biçim hatalı",IF(FIND(MID($B305,11,1),"0123456789")-1=$H305,"Geçerli","Kontrol hanesi hatalı (doğrusu: "&amp;$H305&amp;")")))</f>
        <v/>
      </c>
      <c r="F305">
        <f>IF($A305="","",IF(AND(LEN($B305)=11,SUMPRODUCT(--ISNUMBER(FIND(MID($B305,{1,2,3,4,5,6,7,8,9,10,11},1),"0123456789")))=11),1,0))</f>
        <v/>
      </c>
      <c r="G305">
        <f>IF($F305=1,VALUE(MID($B305,4,7)),"")</f>
        <v/>
      </c>
      <c r="H305">
        <f>IF($F305=1,MOD($G305,7),"")</f>
        <v/>
      </c>
    </row>
    <row r="306">
      <c r="A306" s="6" t="n"/>
      <c r="B306" s="7">
        <f>IF($A306="","",SUBSTITUTE(SUBSTITUTE(SUBSTITUTE(SUBSTITUTE($A306," ",""),"-",""),".",""),"/",""))</f>
        <v/>
      </c>
      <c r="C306" s="8">
        <f>IF($F306=1,$H306,"")</f>
        <v/>
      </c>
      <c r="D306" s="7">
        <f>IF($A306="","",IF($F306=0,"Biçim hatalı",IF(FIND(MID($B306,11,1),"0123456789")-1=$H306,"Geçerli","Kontrol hanesi hatalı (doğrusu: "&amp;$H306&amp;")")))</f>
        <v/>
      </c>
      <c r="F306">
        <f>IF($A306="","",IF(AND(LEN($B306)=11,SUMPRODUCT(--ISNUMBER(FIND(MID($B306,{1,2,3,4,5,6,7,8,9,10,11},1),"0123456789")))=11),1,0))</f>
        <v/>
      </c>
      <c r="G306">
        <f>IF($F306=1,VALUE(MID($B306,4,7)),"")</f>
        <v/>
      </c>
      <c r="H306">
        <f>IF($F306=1,MOD($G306,7),"")</f>
        <v/>
      </c>
    </row>
    <row r="307">
      <c r="A307" s="6" t="n"/>
      <c r="B307" s="7">
        <f>IF($A307="","",SUBSTITUTE(SUBSTITUTE(SUBSTITUTE(SUBSTITUTE($A307," ",""),"-",""),".",""),"/",""))</f>
        <v/>
      </c>
      <c r="C307" s="8">
        <f>IF($F307=1,$H307,"")</f>
        <v/>
      </c>
      <c r="D307" s="7">
        <f>IF($A307="","",IF($F307=0,"Biçim hatalı",IF(FIND(MID($B307,11,1),"0123456789")-1=$H307,"Geçerli","Kontrol hanesi hatalı (doğrusu: "&amp;$H307&amp;")")))</f>
        <v/>
      </c>
      <c r="F307">
        <f>IF($A307="","",IF(AND(LEN($B307)=11,SUMPRODUCT(--ISNUMBER(FIND(MID($B307,{1,2,3,4,5,6,7,8,9,10,11},1),"0123456789")))=11),1,0))</f>
        <v/>
      </c>
      <c r="G307">
        <f>IF($F307=1,VALUE(MID($B307,4,7)),"")</f>
        <v/>
      </c>
      <c r="H307">
        <f>IF($F307=1,MOD($G307,7),"")</f>
        <v/>
      </c>
    </row>
    <row r="308">
      <c r="A308" s="6" t="n"/>
      <c r="B308" s="7">
        <f>IF($A308="","",SUBSTITUTE(SUBSTITUTE(SUBSTITUTE(SUBSTITUTE($A308," ",""),"-",""),".",""),"/",""))</f>
        <v/>
      </c>
      <c r="C308" s="8">
        <f>IF($F308=1,$H308,"")</f>
        <v/>
      </c>
      <c r="D308" s="7">
        <f>IF($A308="","",IF($F308=0,"Biçim hatalı",IF(FIND(MID($B308,11,1),"0123456789")-1=$H308,"Geçerli","Kontrol hanesi hatalı (doğrusu: "&amp;$H308&amp;")")))</f>
        <v/>
      </c>
      <c r="F308">
        <f>IF($A308="","",IF(AND(LEN($B308)=11,SUMPRODUCT(--ISNUMBER(FIND(MID($B308,{1,2,3,4,5,6,7,8,9,10,11},1),"0123456789")))=11),1,0))</f>
        <v/>
      </c>
      <c r="G308">
        <f>IF($F308=1,VALUE(MID($B308,4,7)),"")</f>
        <v/>
      </c>
      <c r="H308">
        <f>IF($F308=1,MOD($G308,7),"")</f>
        <v/>
      </c>
    </row>
    <row r="309">
      <c r="A309" s="6" t="n"/>
      <c r="B309" s="7">
        <f>IF($A309="","",SUBSTITUTE(SUBSTITUTE(SUBSTITUTE(SUBSTITUTE($A309," ",""),"-",""),".",""),"/",""))</f>
        <v/>
      </c>
      <c r="C309" s="8">
        <f>IF($F309=1,$H309,"")</f>
        <v/>
      </c>
      <c r="D309" s="7">
        <f>IF($A309="","",IF($F309=0,"Biçim hatalı",IF(FIND(MID($B309,11,1),"0123456789")-1=$H309,"Geçerli","Kontrol hanesi hatalı (doğrusu: "&amp;$H309&amp;")")))</f>
        <v/>
      </c>
      <c r="F309">
        <f>IF($A309="","",IF(AND(LEN($B309)=11,SUMPRODUCT(--ISNUMBER(FIND(MID($B309,{1,2,3,4,5,6,7,8,9,10,11},1),"0123456789")))=11),1,0))</f>
        <v/>
      </c>
      <c r="G309">
        <f>IF($F309=1,VALUE(MID($B309,4,7)),"")</f>
        <v/>
      </c>
      <c r="H309">
        <f>IF($F309=1,MOD($G309,7),"")</f>
        <v/>
      </c>
    </row>
    <row r="310">
      <c r="A310" s="6" t="n"/>
      <c r="B310" s="7">
        <f>IF($A310="","",SUBSTITUTE(SUBSTITUTE(SUBSTITUTE(SUBSTITUTE($A310," ",""),"-",""),".",""),"/",""))</f>
        <v/>
      </c>
      <c r="C310" s="8">
        <f>IF($F310=1,$H310,"")</f>
        <v/>
      </c>
      <c r="D310" s="7">
        <f>IF($A310="","",IF($F310=0,"Biçim hatalı",IF(FIND(MID($B310,11,1),"0123456789")-1=$H310,"Geçerli","Kontrol hanesi hatalı (doğrusu: "&amp;$H310&amp;")")))</f>
        <v/>
      </c>
      <c r="F310">
        <f>IF($A310="","",IF(AND(LEN($B310)=11,SUMPRODUCT(--ISNUMBER(FIND(MID($B310,{1,2,3,4,5,6,7,8,9,10,11},1),"0123456789")))=11),1,0))</f>
        <v/>
      </c>
      <c r="G310">
        <f>IF($F310=1,VALUE(MID($B310,4,7)),"")</f>
        <v/>
      </c>
      <c r="H310">
        <f>IF($F310=1,MOD($G310,7),"")</f>
        <v/>
      </c>
    </row>
    <row r="311">
      <c r="A311" s="6" t="n"/>
      <c r="B311" s="7">
        <f>IF($A311="","",SUBSTITUTE(SUBSTITUTE(SUBSTITUTE(SUBSTITUTE($A311," ",""),"-",""),".",""),"/",""))</f>
        <v/>
      </c>
      <c r="C311" s="8">
        <f>IF($F311=1,$H311,"")</f>
        <v/>
      </c>
      <c r="D311" s="7">
        <f>IF($A311="","",IF($F311=0,"Biçim hatalı",IF(FIND(MID($B311,11,1),"0123456789")-1=$H311,"Geçerli","Kontrol hanesi hatalı (doğrusu: "&amp;$H311&amp;")")))</f>
        <v/>
      </c>
      <c r="F311">
        <f>IF($A311="","",IF(AND(LEN($B311)=11,SUMPRODUCT(--ISNUMBER(FIND(MID($B311,{1,2,3,4,5,6,7,8,9,10,11},1),"0123456789")))=11),1,0))</f>
        <v/>
      </c>
      <c r="G311">
        <f>IF($F311=1,VALUE(MID($B311,4,7)),"")</f>
        <v/>
      </c>
      <c r="H311">
        <f>IF($F311=1,MOD($G311,7),"")</f>
        <v/>
      </c>
    </row>
    <row r="312">
      <c r="A312" s="6" t="n"/>
      <c r="B312" s="7">
        <f>IF($A312="","",SUBSTITUTE(SUBSTITUTE(SUBSTITUTE(SUBSTITUTE($A312," ",""),"-",""),".",""),"/",""))</f>
        <v/>
      </c>
      <c r="C312" s="8">
        <f>IF($F312=1,$H312,"")</f>
        <v/>
      </c>
      <c r="D312" s="7">
        <f>IF($A312="","",IF($F312=0,"Biçim hatalı",IF(FIND(MID($B312,11,1),"0123456789")-1=$H312,"Geçerli","Kontrol hanesi hatalı (doğrusu: "&amp;$H312&amp;")")))</f>
        <v/>
      </c>
      <c r="F312">
        <f>IF($A312="","",IF(AND(LEN($B312)=11,SUMPRODUCT(--ISNUMBER(FIND(MID($B312,{1,2,3,4,5,6,7,8,9,10,11},1),"0123456789")))=11),1,0))</f>
        <v/>
      </c>
      <c r="G312">
        <f>IF($F312=1,VALUE(MID($B312,4,7)),"")</f>
        <v/>
      </c>
      <c r="H312">
        <f>IF($F312=1,MOD($G312,7),"")</f>
        <v/>
      </c>
    </row>
    <row r="313">
      <c r="A313" s="6" t="n"/>
      <c r="B313" s="7">
        <f>IF($A313="","",SUBSTITUTE(SUBSTITUTE(SUBSTITUTE(SUBSTITUTE($A313," ",""),"-",""),".",""),"/",""))</f>
        <v/>
      </c>
      <c r="C313" s="8">
        <f>IF($F313=1,$H313,"")</f>
        <v/>
      </c>
      <c r="D313" s="7">
        <f>IF($A313="","",IF($F313=0,"Biçim hatalı",IF(FIND(MID($B313,11,1),"0123456789")-1=$H313,"Geçerli","Kontrol hanesi hatalı (doğrusu: "&amp;$H313&amp;")")))</f>
        <v/>
      </c>
      <c r="F313">
        <f>IF($A313="","",IF(AND(LEN($B313)=11,SUMPRODUCT(--ISNUMBER(FIND(MID($B313,{1,2,3,4,5,6,7,8,9,10,11},1),"0123456789")))=11),1,0))</f>
        <v/>
      </c>
      <c r="G313">
        <f>IF($F313=1,VALUE(MID($B313,4,7)),"")</f>
        <v/>
      </c>
      <c r="H313">
        <f>IF($F313=1,MOD($G313,7),"")</f>
        <v/>
      </c>
    </row>
    <row r="314">
      <c r="A314" s="6" t="n"/>
      <c r="B314" s="7">
        <f>IF($A314="","",SUBSTITUTE(SUBSTITUTE(SUBSTITUTE(SUBSTITUTE($A314," ",""),"-",""),".",""),"/",""))</f>
        <v/>
      </c>
      <c r="C314" s="8">
        <f>IF($F314=1,$H314,"")</f>
        <v/>
      </c>
      <c r="D314" s="7">
        <f>IF($A314="","",IF($F314=0,"Biçim hatalı",IF(FIND(MID($B314,11,1),"0123456789")-1=$H314,"Geçerli","Kontrol hanesi hatalı (doğrusu: "&amp;$H314&amp;")")))</f>
        <v/>
      </c>
      <c r="F314">
        <f>IF($A314="","",IF(AND(LEN($B314)=11,SUMPRODUCT(--ISNUMBER(FIND(MID($B314,{1,2,3,4,5,6,7,8,9,10,11},1),"0123456789")))=11),1,0))</f>
        <v/>
      </c>
      <c r="G314">
        <f>IF($F314=1,VALUE(MID($B314,4,7)),"")</f>
        <v/>
      </c>
      <c r="H314">
        <f>IF($F314=1,MOD($G314,7),"")</f>
        <v/>
      </c>
    </row>
    <row r="315">
      <c r="A315" s="6" t="n"/>
      <c r="B315" s="7">
        <f>IF($A315="","",SUBSTITUTE(SUBSTITUTE(SUBSTITUTE(SUBSTITUTE($A315," ",""),"-",""),".",""),"/",""))</f>
        <v/>
      </c>
      <c r="C315" s="8">
        <f>IF($F315=1,$H315,"")</f>
        <v/>
      </c>
      <c r="D315" s="7">
        <f>IF($A315="","",IF($F315=0,"Biçim hatalı",IF(FIND(MID($B315,11,1),"0123456789")-1=$H315,"Geçerli","Kontrol hanesi hatalı (doğrusu: "&amp;$H315&amp;")")))</f>
        <v/>
      </c>
      <c r="F315">
        <f>IF($A315="","",IF(AND(LEN($B315)=11,SUMPRODUCT(--ISNUMBER(FIND(MID($B315,{1,2,3,4,5,6,7,8,9,10,11},1),"0123456789")))=11),1,0))</f>
        <v/>
      </c>
      <c r="G315">
        <f>IF($F315=1,VALUE(MID($B315,4,7)),"")</f>
        <v/>
      </c>
      <c r="H315">
        <f>IF($F315=1,MOD($G315,7),"")</f>
        <v/>
      </c>
    </row>
    <row r="316">
      <c r="A316" s="6" t="n"/>
      <c r="B316" s="7">
        <f>IF($A316="","",SUBSTITUTE(SUBSTITUTE(SUBSTITUTE(SUBSTITUTE($A316," ",""),"-",""),".",""),"/",""))</f>
        <v/>
      </c>
      <c r="C316" s="8">
        <f>IF($F316=1,$H316,"")</f>
        <v/>
      </c>
      <c r="D316" s="7">
        <f>IF($A316="","",IF($F316=0,"Biçim hatalı",IF(FIND(MID($B316,11,1),"0123456789")-1=$H316,"Geçerli","Kontrol hanesi hatalı (doğrusu: "&amp;$H316&amp;")")))</f>
        <v/>
      </c>
      <c r="F316">
        <f>IF($A316="","",IF(AND(LEN($B316)=11,SUMPRODUCT(--ISNUMBER(FIND(MID($B316,{1,2,3,4,5,6,7,8,9,10,11},1),"0123456789")))=11),1,0))</f>
        <v/>
      </c>
      <c r="G316">
        <f>IF($F316=1,VALUE(MID($B316,4,7)),"")</f>
        <v/>
      </c>
      <c r="H316">
        <f>IF($F316=1,MOD($G316,7),"")</f>
        <v/>
      </c>
    </row>
    <row r="317">
      <c r="A317" s="6" t="n"/>
      <c r="B317" s="7">
        <f>IF($A317="","",SUBSTITUTE(SUBSTITUTE(SUBSTITUTE(SUBSTITUTE($A317," ",""),"-",""),".",""),"/",""))</f>
        <v/>
      </c>
      <c r="C317" s="8">
        <f>IF($F317=1,$H317,"")</f>
        <v/>
      </c>
      <c r="D317" s="7">
        <f>IF($A317="","",IF($F317=0,"Biçim hatalı",IF(FIND(MID($B317,11,1),"0123456789")-1=$H317,"Geçerli","Kontrol hanesi hatalı (doğrusu: "&amp;$H317&amp;")")))</f>
        <v/>
      </c>
      <c r="F317">
        <f>IF($A317="","",IF(AND(LEN($B317)=11,SUMPRODUCT(--ISNUMBER(FIND(MID($B317,{1,2,3,4,5,6,7,8,9,10,11},1),"0123456789")))=11),1,0))</f>
        <v/>
      </c>
      <c r="G317">
        <f>IF($F317=1,VALUE(MID($B317,4,7)),"")</f>
        <v/>
      </c>
      <c r="H317">
        <f>IF($F317=1,MOD($G317,7),"")</f>
        <v/>
      </c>
    </row>
    <row r="318">
      <c r="A318" s="6" t="n"/>
      <c r="B318" s="7">
        <f>IF($A318="","",SUBSTITUTE(SUBSTITUTE(SUBSTITUTE(SUBSTITUTE($A318," ",""),"-",""),".",""),"/",""))</f>
        <v/>
      </c>
      <c r="C318" s="8">
        <f>IF($F318=1,$H318,"")</f>
        <v/>
      </c>
      <c r="D318" s="7">
        <f>IF($A318="","",IF($F318=0,"Biçim hatalı",IF(FIND(MID($B318,11,1),"0123456789")-1=$H318,"Geçerli","Kontrol hanesi hatalı (doğrusu: "&amp;$H318&amp;")")))</f>
        <v/>
      </c>
      <c r="F318">
        <f>IF($A318="","",IF(AND(LEN($B318)=11,SUMPRODUCT(--ISNUMBER(FIND(MID($B318,{1,2,3,4,5,6,7,8,9,10,11},1),"0123456789")))=11),1,0))</f>
        <v/>
      </c>
      <c r="G318">
        <f>IF($F318=1,VALUE(MID($B318,4,7)),"")</f>
        <v/>
      </c>
      <c r="H318">
        <f>IF($F318=1,MOD($G318,7),"")</f>
        <v/>
      </c>
    </row>
    <row r="319">
      <c r="A319" s="6" t="n"/>
      <c r="B319" s="7">
        <f>IF($A319="","",SUBSTITUTE(SUBSTITUTE(SUBSTITUTE(SUBSTITUTE($A319," ",""),"-",""),".",""),"/",""))</f>
        <v/>
      </c>
      <c r="C319" s="8">
        <f>IF($F319=1,$H319,"")</f>
        <v/>
      </c>
      <c r="D319" s="7">
        <f>IF($A319="","",IF($F319=0,"Biçim hatalı",IF(FIND(MID($B319,11,1),"0123456789")-1=$H319,"Geçerli","Kontrol hanesi hatalı (doğrusu: "&amp;$H319&amp;")")))</f>
        <v/>
      </c>
      <c r="F319">
        <f>IF($A319="","",IF(AND(LEN($B319)=11,SUMPRODUCT(--ISNUMBER(FIND(MID($B319,{1,2,3,4,5,6,7,8,9,10,11},1),"0123456789")))=11),1,0))</f>
        <v/>
      </c>
      <c r="G319">
        <f>IF($F319=1,VALUE(MID($B319,4,7)),"")</f>
        <v/>
      </c>
      <c r="H319">
        <f>IF($F319=1,MOD($G319,7),"")</f>
        <v/>
      </c>
    </row>
    <row r="320">
      <c r="A320" s="6" t="n"/>
      <c r="B320" s="7">
        <f>IF($A320="","",SUBSTITUTE(SUBSTITUTE(SUBSTITUTE(SUBSTITUTE($A320," ",""),"-",""),".",""),"/",""))</f>
        <v/>
      </c>
      <c r="C320" s="8">
        <f>IF($F320=1,$H320,"")</f>
        <v/>
      </c>
      <c r="D320" s="7">
        <f>IF($A320="","",IF($F320=0,"Biçim hatalı",IF(FIND(MID($B320,11,1),"0123456789")-1=$H320,"Geçerli","Kontrol hanesi hatalı (doğrusu: "&amp;$H320&amp;")")))</f>
        <v/>
      </c>
      <c r="F320">
        <f>IF($A320="","",IF(AND(LEN($B320)=11,SUMPRODUCT(--ISNUMBER(FIND(MID($B320,{1,2,3,4,5,6,7,8,9,10,11},1),"0123456789")))=11),1,0))</f>
        <v/>
      </c>
      <c r="G320">
        <f>IF($F320=1,VALUE(MID($B320,4,7)),"")</f>
        <v/>
      </c>
      <c r="H320">
        <f>IF($F320=1,MOD($G320,7),"")</f>
        <v/>
      </c>
    </row>
    <row r="321">
      <c r="A321" s="6" t="n"/>
      <c r="B321" s="7">
        <f>IF($A321="","",SUBSTITUTE(SUBSTITUTE(SUBSTITUTE(SUBSTITUTE($A321," ",""),"-",""),".",""),"/",""))</f>
        <v/>
      </c>
      <c r="C321" s="8">
        <f>IF($F321=1,$H321,"")</f>
        <v/>
      </c>
      <c r="D321" s="7">
        <f>IF($A321="","",IF($F321=0,"Biçim hatalı",IF(FIND(MID($B321,11,1),"0123456789")-1=$H321,"Geçerli","Kontrol hanesi hatalı (doğrusu: "&amp;$H321&amp;")")))</f>
        <v/>
      </c>
      <c r="F321">
        <f>IF($A321="","",IF(AND(LEN($B321)=11,SUMPRODUCT(--ISNUMBER(FIND(MID($B321,{1,2,3,4,5,6,7,8,9,10,11},1),"0123456789")))=11),1,0))</f>
        <v/>
      </c>
      <c r="G321">
        <f>IF($F321=1,VALUE(MID($B321,4,7)),"")</f>
        <v/>
      </c>
      <c r="H321">
        <f>IF($F321=1,MOD($G321,7),"")</f>
        <v/>
      </c>
    </row>
    <row r="322">
      <c r="A322" s="6" t="n"/>
      <c r="B322" s="7">
        <f>IF($A322="","",SUBSTITUTE(SUBSTITUTE(SUBSTITUTE(SUBSTITUTE($A322," ",""),"-",""),".",""),"/",""))</f>
        <v/>
      </c>
      <c r="C322" s="8">
        <f>IF($F322=1,$H322,"")</f>
        <v/>
      </c>
      <c r="D322" s="7">
        <f>IF($A322="","",IF($F322=0,"Biçim hatalı",IF(FIND(MID($B322,11,1),"0123456789")-1=$H322,"Geçerli","Kontrol hanesi hatalı (doğrusu: "&amp;$H322&amp;")")))</f>
        <v/>
      </c>
      <c r="F322">
        <f>IF($A322="","",IF(AND(LEN($B322)=11,SUMPRODUCT(--ISNUMBER(FIND(MID($B322,{1,2,3,4,5,6,7,8,9,10,11},1),"0123456789")))=11),1,0))</f>
        <v/>
      </c>
      <c r="G322">
        <f>IF($F322=1,VALUE(MID($B322,4,7)),"")</f>
        <v/>
      </c>
      <c r="H322">
        <f>IF($F322=1,MOD($G322,7),"")</f>
        <v/>
      </c>
    </row>
    <row r="323">
      <c r="A323" s="6" t="n"/>
      <c r="B323" s="7">
        <f>IF($A323="","",SUBSTITUTE(SUBSTITUTE(SUBSTITUTE(SUBSTITUTE($A323," ",""),"-",""),".",""),"/",""))</f>
        <v/>
      </c>
      <c r="C323" s="8">
        <f>IF($F323=1,$H323,"")</f>
        <v/>
      </c>
      <c r="D323" s="7">
        <f>IF($A323="","",IF($F323=0,"Biçim hatalı",IF(FIND(MID($B323,11,1),"0123456789")-1=$H323,"Geçerli","Kontrol hanesi hatalı (doğrusu: "&amp;$H323&amp;")")))</f>
        <v/>
      </c>
      <c r="F323">
        <f>IF($A323="","",IF(AND(LEN($B323)=11,SUMPRODUCT(--ISNUMBER(FIND(MID($B323,{1,2,3,4,5,6,7,8,9,10,11},1),"0123456789")))=11),1,0))</f>
        <v/>
      </c>
      <c r="G323">
        <f>IF($F323=1,VALUE(MID($B323,4,7)),"")</f>
        <v/>
      </c>
      <c r="H323">
        <f>IF($F323=1,MOD($G323,7),"")</f>
        <v/>
      </c>
    </row>
    <row r="324">
      <c r="A324" s="6" t="n"/>
      <c r="B324" s="7">
        <f>IF($A324="","",SUBSTITUTE(SUBSTITUTE(SUBSTITUTE(SUBSTITUTE($A324," ",""),"-",""),".",""),"/",""))</f>
        <v/>
      </c>
      <c r="C324" s="8">
        <f>IF($F324=1,$H324,"")</f>
        <v/>
      </c>
      <c r="D324" s="7">
        <f>IF($A324="","",IF($F324=0,"Biçim hatalı",IF(FIND(MID($B324,11,1),"0123456789")-1=$H324,"Geçerli","Kontrol hanesi hatalı (doğrusu: "&amp;$H324&amp;")")))</f>
        <v/>
      </c>
      <c r="F324">
        <f>IF($A324="","",IF(AND(LEN($B324)=11,SUMPRODUCT(--ISNUMBER(FIND(MID($B324,{1,2,3,4,5,6,7,8,9,10,11},1),"0123456789")))=11),1,0))</f>
        <v/>
      </c>
      <c r="G324">
        <f>IF($F324=1,VALUE(MID($B324,4,7)),"")</f>
        <v/>
      </c>
      <c r="H324">
        <f>IF($F324=1,MOD($G324,7),"")</f>
        <v/>
      </c>
    </row>
    <row r="325">
      <c r="A325" s="6" t="n"/>
      <c r="B325" s="7">
        <f>IF($A325="","",SUBSTITUTE(SUBSTITUTE(SUBSTITUTE(SUBSTITUTE($A325," ",""),"-",""),".",""),"/",""))</f>
        <v/>
      </c>
      <c r="C325" s="8">
        <f>IF($F325=1,$H325,"")</f>
        <v/>
      </c>
      <c r="D325" s="7">
        <f>IF($A325="","",IF($F325=0,"Biçim hatalı",IF(FIND(MID($B325,11,1),"0123456789")-1=$H325,"Geçerli","Kontrol hanesi hatalı (doğrusu: "&amp;$H325&amp;")")))</f>
        <v/>
      </c>
      <c r="F325">
        <f>IF($A325="","",IF(AND(LEN($B325)=11,SUMPRODUCT(--ISNUMBER(FIND(MID($B325,{1,2,3,4,5,6,7,8,9,10,11},1),"0123456789")))=11),1,0))</f>
        <v/>
      </c>
      <c r="G325">
        <f>IF($F325=1,VALUE(MID($B325,4,7)),"")</f>
        <v/>
      </c>
      <c r="H325">
        <f>IF($F325=1,MOD($G325,7),"")</f>
        <v/>
      </c>
    </row>
    <row r="326">
      <c r="A326" s="6" t="n"/>
      <c r="B326" s="7">
        <f>IF($A326="","",SUBSTITUTE(SUBSTITUTE(SUBSTITUTE(SUBSTITUTE($A326," ",""),"-",""),".",""),"/",""))</f>
        <v/>
      </c>
      <c r="C326" s="8">
        <f>IF($F326=1,$H326,"")</f>
        <v/>
      </c>
      <c r="D326" s="7">
        <f>IF($A326="","",IF($F326=0,"Biçim hatalı",IF(FIND(MID($B326,11,1),"0123456789")-1=$H326,"Geçerli","Kontrol hanesi hatalı (doğrusu: "&amp;$H326&amp;")")))</f>
        <v/>
      </c>
      <c r="F326">
        <f>IF($A326="","",IF(AND(LEN($B326)=11,SUMPRODUCT(--ISNUMBER(FIND(MID($B326,{1,2,3,4,5,6,7,8,9,10,11},1),"0123456789")))=11),1,0))</f>
        <v/>
      </c>
      <c r="G326">
        <f>IF($F326=1,VALUE(MID($B326,4,7)),"")</f>
        <v/>
      </c>
      <c r="H326">
        <f>IF($F326=1,MOD($G326,7),"")</f>
        <v/>
      </c>
    </row>
    <row r="327">
      <c r="A327" s="6" t="n"/>
      <c r="B327" s="7">
        <f>IF($A327="","",SUBSTITUTE(SUBSTITUTE(SUBSTITUTE(SUBSTITUTE($A327," ",""),"-",""),".",""),"/",""))</f>
        <v/>
      </c>
      <c r="C327" s="8">
        <f>IF($F327=1,$H327,"")</f>
        <v/>
      </c>
      <c r="D327" s="7">
        <f>IF($A327="","",IF($F327=0,"Biçim hatalı",IF(FIND(MID($B327,11,1),"0123456789")-1=$H327,"Geçerli","Kontrol hanesi hatalı (doğrusu: "&amp;$H327&amp;")")))</f>
        <v/>
      </c>
      <c r="F327">
        <f>IF($A327="","",IF(AND(LEN($B327)=11,SUMPRODUCT(--ISNUMBER(FIND(MID($B327,{1,2,3,4,5,6,7,8,9,10,11},1),"0123456789")))=11),1,0))</f>
        <v/>
      </c>
      <c r="G327">
        <f>IF($F327=1,VALUE(MID($B327,4,7)),"")</f>
        <v/>
      </c>
      <c r="H327">
        <f>IF($F327=1,MOD($G327,7),"")</f>
        <v/>
      </c>
    </row>
    <row r="328">
      <c r="A328" s="6" t="n"/>
      <c r="B328" s="7">
        <f>IF($A328="","",SUBSTITUTE(SUBSTITUTE(SUBSTITUTE(SUBSTITUTE($A328," ",""),"-",""),".",""),"/",""))</f>
        <v/>
      </c>
      <c r="C328" s="8">
        <f>IF($F328=1,$H328,"")</f>
        <v/>
      </c>
      <c r="D328" s="7">
        <f>IF($A328="","",IF($F328=0,"Biçim hatalı",IF(FIND(MID($B328,11,1),"0123456789")-1=$H328,"Geçerli","Kontrol hanesi hatalı (doğrusu: "&amp;$H328&amp;")")))</f>
        <v/>
      </c>
      <c r="F328">
        <f>IF($A328="","",IF(AND(LEN($B328)=11,SUMPRODUCT(--ISNUMBER(FIND(MID($B328,{1,2,3,4,5,6,7,8,9,10,11},1),"0123456789")))=11),1,0))</f>
        <v/>
      </c>
      <c r="G328">
        <f>IF($F328=1,VALUE(MID($B328,4,7)),"")</f>
        <v/>
      </c>
      <c r="H328">
        <f>IF($F328=1,MOD($G328,7),"")</f>
        <v/>
      </c>
    </row>
    <row r="329">
      <c r="A329" s="6" t="n"/>
      <c r="B329" s="7">
        <f>IF($A329="","",SUBSTITUTE(SUBSTITUTE(SUBSTITUTE(SUBSTITUTE($A329," ",""),"-",""),".",""),"/",""))</f>
        <v/>
      </c>
      <c r="C329" s="8">
        <f>IF($F329=1,$H329,"")</f>
        <v/>
      </c>
      <c r="D329" s="7">
        <f>IF($A329="","",IF($F329=0,"Biçim hatalı",IF(FIND(MID($B329,11,1),"0123456789")-1=$H329,"Geçerli","Kontrol hanesi hatalı (doğrusu: "&amp;$H329&amp;")")))</f>
        <v/>
      </c>
      <c r="F329">
        <f>IF($A329="","",IF(AND(LEN($B329)=11,SUMPRODUCT(--ISNUMBER(FIND(MID($B329,{1,2,3,4,5,6,7,8,9,10,11},1),"0123456789")))=11),1,0))</f>
        <v/>
      </c>
      <c r="G329">
        <f>IF($F329=1,VALUE(MID($B329,4,7)),"")</f>
        <v/>
      </c>
      <c r="H329">
        <f>IF($F329=1,MOD($G329,7),"")</f>
        <v/>
      </c>
    </row>
    <row r="330">
      <c r="A330" s="6" t="n"/>
      <c r="B330" s="7">
        <f>IF($A330="","",SUBSTITUTE(SUBSTITUTE(SUBSTITUTE(SUBSTITUTE($A330," ",""),"-",""),".",""),"/",""))</f>
        <v/>
      </c>
      <c r="C330" s="8">
        <f>IF($F330=1,$H330,"")</f>
        <v/>
      </c>
      <c r="D330" s="7">
        <f>IF($A330="","",IF($F330=0,"Biçim hatalı",IF(FIND(MID($B330,11,1),"0123456789")-1=$H330,"Geçerli","Kontrol hanesi hatalı (doğrusu: "&amp;$H330&amp;")")))</f>
        <v/>
      </c>
      <c r="F330">
        <f>IF($A330="","",IF(AND(LEN($B330)=11,SUMPRODUCT(--ISNUMBER(FIND(MID($B330,{1,2,3,4,5,6,7,8,9,10,11},1),"0123456789")))=11),1,0))</f>
        <v/>
      </c>
      <c r="G330">
        <f>IF($F330=1,VALUE(MID($B330,4,7)),"")</f>
        <v/>
      </c>
      <c r="H330">
        <f>IF($F330=1,MOD($G330,7),"")</f>
        <v/>
      </c>
    </row>
    <row r="331">
      <c r="A331" s="6" t="n"/>
      <c r="B331" s="7">
        <f>IF($A331="","",SUBSTITUTE(SUBSTITUTE(SUBSTITUTE(SUBSTITUTE($A331," ",""),"-",""),".",""),"/",""))</f>
        <v/>
      </c>
      <c r="C331" s="8">
        <f>IF($F331=1,$H331,"")</f>
        <v/>
      </c>
      <c r="D331" s="7">
        <f>IF($A331="","",IF($F331=0,"Biçim hatalı",IF(FIND(MID($B331,11,1),"0123456789")-1=$H331,"Geçerli","Kontrol hanesi hatalı (doğrusu: "&amp;$H331&amp;")")))</f>
        <v/>
      </c>
      <c r="F331">
        <f>IF($A331="","",IF(AND(LEN($B331)=11,SUMPRODUCT(--ISNUMBER(FIND(MID($B331,{1,2,3,4,5,6,7,8,9,10,11},1),"0123456789")))=11),1,0))</f>
        <v/>
      </c>
      <c r="G331">
        <f>IF($F331=1,VALUE(MID($B331,4,7)),"")</f>
        <v/>
      </c>
      <c r="H331">
        <f>IF($F331=1,MOD($G331,7),"")</f>
        <v/>
      </c>
    </row>
    <row r="332">
      <c r="A332" s="6" t="n"/>
      <c r="B332" s="7">
        <f>IF($A332="","",SUBSTITUTE(SUBSTITUTE(SUBSTITUTE(SUBSTITUTE($A332," ",""),"-",""),".",""),"/",""))</f>
        <v/>
      </c>
      <c r="C332" s="8">
        <f>IF($F332=1,$H332,"")</f>
        <v/>
      </c>
      <c r="D332" s="7">
        <f>IF($A332="","",IF($F332=0,"Biçim hatalı",IF(FIND(MID($B332,11,1),"0123456789")-1=$H332,"Geçerli","Kontrol hanesi hatalı (doğrusu: "&amp;$H332&amp;")")))</f>
        <v/>
      </c>
      <c r="F332">
        <f>IF($A332="","",IF(AND(LEN($B332)=11,SUMPRODUCT(--ISNUMBER(FIND(MID($B332,{1,2,3,4,5,6,7,8,9,10,11},1),"0123456789")))=11),1,0))</f>
        <v/>
      </c>
      <c r="G332">
        <f>IF($F332=1,VALUE(MID($B332,4,7)),"")</f>
        <v/>
      </c>
      <c r="H332">
        <f>IF($F332=1,MOD($G332,7),"")</f>
        <v/>
      </c>
    </row>
    <row r="333">
      <c r="A333" s="6" t="n"/>
      <c r="B333" s="7">
        <f>IF($A333="","",SUBSTITUTE(SUBSTITUTE(SUBSTITUTE(SUBSTITUTE($A333," ",""),"-",""),".",""),"/",""))</f>
        <v/>
      </c>
      <c r="C333" s="8">
        <f>IF($F333=1,$H333,"")</f>
        <v/>
      </c>
      <c r="D333" s="7">
        <f>IF($A333="","",IF($F333=0,"Biçim hatalı",IF(FIND(MID($B333,11,1),"0123456789")-1=$H333,"Geçerli","Kontrol hanesi hatalı (doğrusu: "&amp;$H333&amp;")")))</f>
        <v/>
      </c>
      <c r="F333">
        <f>IF($A333="","",IF(AND(LEN($B333)=11,SUMPRODUCT(--ISNUMBER(FIND(MID($B333,{1,2,3,4,5,6,7,8,9,10,11},1),"0123456789")))=11),1,0))</f>
        <v/>
      </c>
      <c r="G333">
        <f>IF($F333=1,VALUE(MID($B333,4,7)),"")</f>
        <v/>
      </c>
      <c r="H333">
        <f>IF($F333=1,MOD($G333,7),"")</f>
        <v/>
      </c>
    </row>
    <row r="334">
      <c r="A334" s="6" t="n"/>
      <c r="B334" s="7">
        <f>IF($A334="","",SUBSTITUTE(SUBSTITUTE(SUBSTITUTE(SUBSTITUTE($A334," ",""),"-",""),".",""),"/",""))</f>
        <v/>
      </c>
      <c r="C334" s="8">
        <f>IF($F334=1,$H334,"")</f>
        <v/>
      </c>
      <c r="D334" s="7">
        <f>IF($A334="","",IF($F334=0,"Biçim hatalı",IF(FIND(MID($B334,11,1),"0123456789")-1=$H334,"Geçerli","Kontrol hanesi hatalı (doğrusu: "&amp;$H334&amp;")")))</f>
        <v/>
      </c>
      <c r="F334">
        <f>IF($A334="","",IF(AND(LEN($B334)=11,SUMPRODUCT(--ISNUMBER(FIND(MID($B334,{1,2,3,4,5,6,7,8,9,10,11},1),"0123456789")))=11),1,0))</f>
        <v/>
      </c>
      <c r="G334">
        <f>IF($F334=1,VALUE(MID($B334,4,7)),"")</f>
        <v/>
      </c>
      <c r="H334">
        <f>IF($F334=1,MOD($G334,7),"")</f>
        <v/>
      </c>
    </row>
    <row r="335">
      <c r="A335" s="6" t="n"/>
      <c r="B335" s="7">
        <f>IF($A335="","",SUBSTITUTE(SUBSTITUTE(SUBSTITUTE(SUBSTITUTE($A335," ",""),"-",""),".",""),"/",""))</f>
        <v/>
      </c>
      <c r="C335" s="8">
        <f>IF($F335=1,$H335,"")</f>
        <v/>
      </c>
      <c r="D335" s="7">
        <f>IF($A335="","",IF($F335=0,"Biçim hatalı",IF(FIND(MID($B335,11,1),"0123456789")-1=$H335,"Geçerli","Kontrol hanesi hatalı (doğrusu: "&amp;$H335&amp;")")))</f>
        <v/>
      </c>
      <c r="F335">
        <f>IF($A335="","",IF(AND(LEN($B335)=11,SUMPRODUCT(--ISNUMBER(FIND(MID($B335,{1,2,3,4,5,6,7,8,9,10,11},1),"0123456789")))=11),1,0))</f>
        <v/>
      </c>
      <c r="G335">
        <f>IF($F335=1,VALUE(MID($B335,4,7)),"")</f>
        <v/>
      </c>
      <c r="H335">
        <f>IF($F335=1,MOD($G335,7),"")</f>
        <v/>
      </c>
    </row>
    <row r="336">
      <c r="A336" s="6" t="n"/>
      <c r="B336" s="7">
        <f>IF($A336="","",SUBSTITUTE(SUBSTITUTE(SUBSTITUTE(SUBSTITUTE($A336," ",""),"-",""),".",""),"/",""))</f>
        <v/>
      </c>
      <c r="C336" s="8">
        <f>IF($F336=1,$H336,"")</f>
        <v/>
      </c>
      <c r="D336" s="7">
        <f>IF($A336="","",IF($F336=0,"Biçim hatalı",IF(FIND(MID($B336,11,1),"0123456789")-1=$H336,"Geçerli","Kontrol hanesi hatalı (doğrusu: "&amp;$H336&amp;")")))</f>
        <v/>
      </c>
      <c r="F336">
        <f>IF($A336="","",IF(AND(LEN($B336)=11,SUMPRODUCT(--ISNUMBER(FIND(MID($B336,{1,2,3,4,5,6,7,8,9,10,11},1),"0123456789")))=11),1,0))</f>
        <v/>
      </c>
      <c r="G336">
        <f>IF($F336=1,VALUE(MID($B336,4,7)),"")</f>
        <v/>
      </c>
      <c r="H336">
        <f>IF($F336=1,MOD($G336,7),"")</f>
        <v/>
      </c>
    </row>
    <row r="337">
      <c r="A337" s="6" t="n"/>
      <c r="B337" s="7">
        <f>IF($A337="","",SUBSTITUTE(SUBSTITUTE(SUBSTITUTE(SUBSTITUTE($A337," ",""),"-",""),".",""),"/",""))</f>
        <v/>
      </c>
      <c r="C337" s="8">
        <f>IF($F337=1,$H337,"")</f>
        <v/>
      </c>
      <c r="D337" s="7">
        <f>IF($A337="","",IF($F337=0,"Biçim hatalı",IF(FIND(MID($B337,11,1),"0123456789")-1=$H337,"Geçerli","Kontrol hanesi hatalı (doğrusu: "&amp;$H337&amp;")")))</f>
        <v/>
      </c>
      <c r="F337">
        <f>IF($A337="","",IF(AND(LEN($B337)=11,SUMPRODUCT(--ISNUMBER(FIND(MID($B337,{1,2,3,4,5,6,7,8,9,10,11},1),"0123456789")))=11),1,0))</f>
        <v/>
      </c>
      <c r="G337">
        <f>IF($F337=1,VALUE(MID($B337,4,7)),"")</f>
        <v/>
      </c>
      <c r="H337">
        <f>IF($F337=1,MOD($G337,7),"")</f>
        <v/>
      </c>
    </row>
    <row r="338">
      <c r="A338" s="6" t="n"/>
      <c r="B338" s="7">
        <f>IF($A338="","",SUBSTITUTE(SUBSTITUTE(SUBSTITUTE(SUBSTITUTE($A338," ",""),"-",""),".",""),"/",""))</f>
        <v/>
      </c>
      <c r="C338" s="8">
        <f>IF($F338=1,$H338,"")</f>
        <v/>
      </c>
      <c r="D338" s="7">
        <f>IF($A338="","",IF($F338=0,"Biçim hatalı",IF(FIND(MID($B338,11,1),"0123456789")-1=$H338,"Geçerli","Kontrol hanesi hatalı (doğrusu: "&amp;$H338&amp;")")))</f>
        <v/>
      </c>
      <c r="F338">
        <f>IF($A338="","",IF(AND(LEN($B338)=11,SUMPRODUCT(--ISNUMBER(FIND(MID($B338,{1,2,3,4,5,6,7,8,9,10,11},1),"0123456789")))=11),1,0))</f>
        <v/>
      </c>
      <c r="G338">
        <f>IF($F338=1,VALUE(MID($B338,4,7)),"")</f>
        <v/>
      </c>
      <c r="H338">
        <f>IF($F338=1,MOD($G338,7),"")</f>
        <v/>
      </c>
    </row>
    <row r="339">
      <c r="A339" s="6" t="n"/>
      <c r="B339" s="7">
        <f>IF($A339="","",SUBSTITUTE(SUBSTITUTE(SUBSTITUTE(SUBSTITUTE($A339," ",""),"-",""),".",""),"/",""))</f>
        <v/>
      </c>
      <c r="C339" s="8">
        <f>IF($F339=1,$H339,"")</f>
        <v/>
      </c>
      <c r="D339" s="7">
        <f>IF($A339="","",IF($F339=0,"Biçim hatalı",IF(FIND(MID($B339,11,1),"0123456789")-1=$H339,"Geçerli","Kontrol hanesi hatalı (doğrusu: "&amp;$H339&amp;")")))</f>
        <v/>
      </c>
      <c r="F339">
        <f>IF($A339="","",IF(AND(LEN($B339)=11,SUMPRODUCT(--ISNUMBER(FIND(MID($B339,{1,2,3,4,5,6,7,8,9,10,11},1),"0123456789")))=11),1,0))</f>
        <v/>
      </c>
      <c r="G339">
        <f>IF($F339=1,VALUE(MID($B339,4,7)),"")</f>
        <v/>
      </c>
      <c r="H339">
        <f>IF($F339=1,MOD($G339,7),"")</f>
        <v/>
      </c>
    </row>
    <row r="340">
      <c r="A340" s="6" t="n"/>
      <c r="B340" s="7">
        <f>IF($A340="","",SUBSTITUTE(SUBSTITUTE(SUBSTITUTE(SUBSTITUTE($A340," ",""),"-",""),".",""),"/",""))</f>
        <v/>
      </c>
      <c r="C340" s="8">
        <f>IF($F340=1,$H340,"")</f>
        <v/>
      </c>
      <c r="D340" s="7">
        <f>IF($A340="","",IF($F340=0,"Biçim hatalı",IF(FIND(MID($B340,11,1),"0123456789")-1=$H340,"Geçerli","Kontrol hanesi hatalı (doğrusu: "&amp;$H340&amp;")")))</f>
        <v/>
      </c>
      <c r="F340">
        <f>IF($A340="","",IF(AND(LEN($B340)=11,SUMPRODUCT(--ISNUMBER(FIND(MID($B340,{1,2,3,4,5,6,7,8,9,10,11},1),"0123456789")))=11),1,0))</f>
        <v/>
      </c>
      <c r="G340">
        <f>IF($F340=1,VALUE(MID($B340,4,7)),"")</f>
        <v/>
      </c>
      <c r="H340">
        <f>IF($F340=1,MOD($G340,7),"")</f>
        <v/>
      </c>
    </row>
    <row r="341">
      <c r="A341" s="6" t="n"/>
      <c r="B341" s="7">
        <f>IF($A341="","",SUBSTITUTE(SUBSTITUTE(SUBSTITUTE(SUBSTITUTE($A341," ",""),"-",""),".",""),"/",""))</f>
        <v/>
      </c>
      <c r="C341" s="8">
        <f>IF($F341=1,$H341,"")</f>
        <v/>
      </c>
      <c r="D341" s="7">
        <f>IF($A341="","",IF($F341=0,"Biçim hatalı",IF(FIND(MID($B341,11,1),"0123456789")-1=$H341,"Geçerli","Kontrol hanesi hatalı (doğrusu: "&amp;$H341&amp;")")))</f>
        <v/>
      </c>
      <c r="F341">
        <f>IF($A341="","",IF(AND(LEN($B341)=11,SUMPRODUCT(--ISNUMBER(FIND(MID($B341,{1,2,3,4,5,6,7,8,9,10,11},1),"0123456789")))=11),1,0))</f>
        <v/>
      </c>
      <c r="G341">
        <f>IF($F341=1,VALUE(MID($B341,4,7)),"")</f>
        <v/>
      </c>
      <c r="H341">
        <f>IF($F341=1,MOD($G341,7),"")</f>
        <v/>
      </c>
    </row>
    <row r="342">
      <c r="A342" s="6" t="n"/>
      <c r="B342" s="7">
        <f>IF($A342="","",SUBSTITUTE(SUBSTITUTE(SUBSTITUTE(SUBSTITUTE($A342," ",""),"-",""),".",""),"/",""))</f>
        <v/>
      </c>
      <c r="C342" s="8">
        <f>IF($F342=1,$H342,"")</f>
        <v/>
      </c>
      <c r="D342" s="7">
        <f>IF($A342="","",IF($F342=0,"Biçim hatalı",IF(FIND(MID($B342,11,1),"0123456789")-1=$H342,"Geçerli","Kontrol hanesi hatalı (doğrusu: "&amp;$H342&amp;")")))</f>
        <v/>
      </c>
      <c r="F342">
        <f>IF($A342="","",IF(AND(LEN($B342)=11,SUMPRODUCT(--ISNUMBER(FIND(MID($B342,{1,2,3,4,5,6,7,8,9,10,11},1),"0123456789")))=11),1,0))</f>
        <v/>
      </c>
      <c r="G342">
        <f>IF($F342=1,VALUE(MID($B342,4,7)),"")</f>
        <v/>
      </c>
      <c r="H342">
        <f>IF($F342=1,MOD($G342,7),"")</f>
        <v/>
      </c>
    </row>
    <row r="343">
      <c r="A343" s="6" t="n"/>
      <c r="B343" s="7">
        <f>IF($A343="","",SUBSTITUTE(SUBSTITUTE(SUBSTITUTE(SUBSTITUTE($A343," ",""),"-",""),".",""),"/",""))</f>
        <v/>
      </c>
      <c r="C343" s="8">
        <f>IF($F343=1,$H343,"")</f>
        <v/>
      </c>
      <c r="D343" s="7">
        <f>IF($A343="","",IF($F343=0,"Biçim hatalı",IF(FIND(MID($B343,11,1),"0123456789")-1=$H343,"Geçerli","Kontrol hanesi hatalı (doğrusu: "&amp;$H343&amp;")")))</f>
        <v/>
      </c>
      <c r="F343">
        <f>IF($A343="","",IF(AND(LEN($B343)=11,SUMPRODUCT(--ISNUMBER(FIND(MID($B343,{1,2,3,4,5,6,7,8,9,10,11},1),"0123456789")))=11),1,0))</f>
        <v/>
      </c>
      <c r="G343">
        <f>IF($F343=1,VALUE(MID($B343,4,7)),"")</f>
        <v/>
      </c>
      <c r="H343">
        <f>IF($F343=1,MOD($G343,7),"")</f>
        <v/>
      </c>
    </row>
    <row r="344">
      <c r="A344" s="6" t="n"/>
      <c r="B344" s="7">
        <f>IF($A344="","",SUBSTITUTE(SUBSTITUTE(SUBSTITUTE(SUBSTITUTE($A344," ",""),"-",""),".",""),"/",""))</f>
        <v/>
      </c>
      <c r="C344" s="8">
        <f>IF($F344=1,$H344,"")</f>
        <v/>
      </c>
      <c r="D344" s="7">
        <f>IF($A344="","",IF($F344=0,"Biçim hatalı",IF(FIND(MID($B344,11,1),"0123456789")-1=$H344,"Geçerli","Kontrol hanesi hatalı (doğrusu: "&amp;$H344&amp;")")))</f>
        <v/>
      </c>
      <c r="F344">
        <f>IF($A344="","",IF(AND(LEN($B344)=11,SUMPRODUCT(--ISNUMBER(FIND(MID($B344,{1,2,3,4,5,6,7,8,9,10,11},1),"0123456789")))=11),1,0))</f>
        <v/>
      </c>
      <c r="G344">
        <f>IF($F344=1,VALUE(MID($B344,4,7)),"")</f>
        <v/>
      </c>
      <c r="H344">
        <f>IF($F344=1,MOD($G344,7),"")</f>
        <v/>
      </c>
    </row>
    <row r="345">
      <c r="A345" s="6" t="n"/>
      <c r="B345" s="7">
        <f>IF($A345="","",SUBSTITUTE(SUBSTITUTE(SUBSTITUTE(SUBSTITUTE($A345," ",""),"-",""),".",""),"/",""))</f>
        <v/>
      </c>
      <c r="C345" s="8">
        <f>IF($F345=1,$H345,"")</f>
        <v/>
      </c>
      <c r="D345" s="7">
        <f>IF($A345="","",IF($F345=0,"Biçim hatalı",IF(FIND(MID($B345,11,1),"0123456789")-1=$H345,"Geçerli","Kontrol hanesi hatalı (doğrusu: "&amp;$H345&amp;")")))</f>
        <v/>
      </c>
      <c r="F345">
        <f>IF($A345="","",IF(AND(LEN($B345)=11,SUMPRODUCT(--ISNUMBER(FIND(MID($B345,{1,2,3,4,5,6,7,8,9,10,11},1),"0123456789")))=11),1,0))</f>
        <v/>
      </c>
      <c r="G345">
        <f>IF($F345=1,VALUE(MID($B345,4,7)),"")</f>
        <v/>
      </c>
      <c r="H345">
        <f>IF($F345=1,MOD($G345,7),"")</f>
        <v/>
      </c>
    </row>
    <row r="346">
      <c r="A346" s="6" t="n"/>
      <c r="B346" s="7">
        <f>IF($A346="","",SUBSTITUTE(SUBSTITUTE(SUBSTITUTE(SUBSTITUTE($A346," ",""),"-",""),".",""),"/",""))</f>
        <v/>
      </c>
      <c r="C346" s="8">
        <f>IF($F346=1,$H346,"")</f>
        <v/>
      </c>
      <c r="D346" s="7">
        <f>IF($A346="","",IF($F346=0,"Biçim hatalı",IF(FIND(MID($B346,11,1),"0123456789")-1=$H346,"Geçerli","Kontrol hanesi hatalı (doğrusu: "&amp;$H346&amp;")")))</f>
        <v/>
      </c>
      <c r="F346">
        <f>IF($A346="","",IF(AND(LEN($B346)=11,SUMPRODUCT(--ISNUMBER(FIND(MID($B346,{1,2,3,4,5,6,7,8,9,10,11},1),"0123456789")))=11),1,0))</f>
        <v/>
      </c>
      <c r="G346">
        <f>IF($F346=1,VALUE(MID($B346,4,7)),"")</f>
        <v/>
      </c>
      <c r="H346">
        <f>IF($F346=1,MOD($G346,7),"")</f>
        <v/>
      </c>
    </row>
    <row r="347">
      <c r="A347" s="6" t="n"/>
      <c r="B347" s="7">
        <f>IF($A347="","",SUBSTITUTE(SUBSTITUTE(SUBSTITUTE(SUBSTITUTE($A347," ",""),"-",""),".",""),"/",""))</f>
        <v/>
      </c>
      <c r="C347" s="8">
        <f>IF($F347=1,$H347,"")</f>
        <v/>
      </c>
      <c r="D347" s="7">
        <f>IF($A347="","",IF($F347=0,"Biçim hatalı",IF(FIND(MID($B347,11,1),"0123456789")-1=$H347,"Geçerli","Kontrol hanesi hatalı (doğrusu: "&amp;$H347&amp;")")))</f>
        <v/>
      </c>
      <c r="F347">
        <f>IF($A347="","",IF(AND(LEN($B347)=11,SUMPRODUCT(--ISNUMBER(FIND(MID($B347,{1,2,3,4,5,6,7,8,9,10,11},1),"0123456789")))=11),1,0))</f>
        <v/>
      </c>
      <c r="G347">
        <f>IF($F347=1,VALUE(MID($B347,4,7)),"")</f>
        <v/>
      </c>
      <c r="H347">
        <f>IF($F347=1,MOD($G347,7),"")</f>
        <v/>
      </c>
    </row>
    <row r="348">
      <c r="A348" s="6" t="n"/>
      <c r="B348" s="7">
        <f>IF($A348="","",SUBSTITUTE(SUBSTITUTE(SUBSTITUTE(SUBSTITUTE($A348," ",""),"-",""),".",""),"/",""))</f>
        <v/>
      </c>
      <c r="C348" s="8">
        <f>IF($F348=1,$H348,"")</f>
        <v/>
      </c>
      <c r="D348" s="7">
        <f>IF($A348="","",IF($F348=0,"Biçim hatalı",IF(FIND(MID($B348,11,1),"0123456789")-1=$H348,"Geçerli","Kontrol hanesi hatalı (doğrusu: "&amp;$H348&amp;")")))</f>
        <v/>
      </c>
      <c r="F348">
        <f>IF($A348="","",IF(AND(LEN($B348)=11,SUMPRODUCT(--ISNUMBER(FIND(MID($B348,{1,2,3,4,5,6,7,8,9,10,11},1),"0123456789")))=11),1,0))</f>
        <v/>
      </c>
      <c r="G348">
        <f>IF($F348=1,VALUE(MID($B348,4,7)),"")</f>
        <v/>
      </c>
      <c r="H348">
        <f>IF($F348=1,MOD($G348,7),"")</f>
        <v/>
      </c>
    </row>
    <row r="349">
      <c r="A349" s="6" t="n"/>
      <c r="B349" s="7">
        <f>IF($A349="","",SUBSTITUTE(SUBSTITUTE(SUBSTITUTE(SUBSTITUTE($A349," ",""),"-",""),".",""),"/",""))</f>
        <v/>
      </c>
      <c r="C349" s="8">
        <f>IF($F349=1,$H349,"")</f>
        <v/>
      </c>
      <c r="D349" s="7">
        <f>IF($A349="","",IF($F349=0,"Biçim hatalı",IF(FIND(MID($B349,11,1),"0123456789")-1=$H349,"Geçerli","Kontrol hanesi hatalı (doğrusu: "&amp;$H349&amp;")")))</f>
        <v/>
      </c>
      <c r="F349">
        <f>IF($A349="","",IF(AND(LEN($B349)=11,SUMPRODUCT(--ISNUMBER(FIND(MID($B349,{1,2,3,4,5,6,7,8,9,10,11},1),"0123456789")))=11),1,0))</f>
        <v/>
      </c>
      <c r="G349">
        <f>IF($F349=1,VALUE(MID($B349,4,7)),"")</f>
        <v/>
      </c>
      <c r="H349">
        <f>IF($F349=1,MOD($G349,7),"")</f>
        <v/>
      </c>
    </row>
    <row r="350">
      <c r="A350" s="6" t="n"/>
      <c r="B350" s="7">
        <f>IF($A350="","",SUBSTITUTE(SUBSTITUTE(SUBSTITUTE(SUBSTITUTE($A350," ",""),"-",""),".",""),"/",""))</f>
        <v/>
      </c>
      <c r="C350" s="8">
        <f>IF($F350=1,$H350,"")</f>
        <v/>
      </c>
      <c r="D350" s="7">
        <f>IF($A350="","",IF($F350=0,"Biçim hatalı",IF(FIND(MID($B350,11,1),"0123456789")-1=$H350,"Geçerli","Kontrol hanesi hatalı (doğrusu: "&amp;$H350&amp;")")))</f>
        <v/>
      </c>
      <c r="F350">
        <f>IF($A350="","",IF(AND(LEN($B350)=11,SUMPRODUCT(--ISNUMBER(FIND(MID($B350,{1,2,3,4,5,6,7,8,9,10,11},1),"0123456789")))=11),1,0))</f>
        <v/>
      </c>
      <c r="G350">
        <f>IF($F350=1,VALUE(MID($B350,4,7)),"")</f>
        <v/>
      </c>
      <c r="H350">
        <f>IF($F350=1,MOD($G350,7),"")</f>
        <v/>
      </c>
    </row>
    <row r="351">
      <c r="A351" s="6" t="n"/>
      <c r="B351" s="7">
        <f>IF($A351="","",SUBSTITUTE(SUBSTITUTE(SUBSTITUTE(SUBSTITUTE($A351," ",""),"-",""),".",""),"/",""))</f>
        <v/>
      </c>
      <c r="C351" s="8">
        <f>IF($F351=1,$H351,"")</f>
        <v/>
      </c>
      <c r="D351" s="7">
        <f>IF($A351="","",IF($F351=0,"Biçim hatalı",IF(FIND(MID($B351,11,1),"0123456789")-1=$H351,"Geçerli","Kontrol hanesi hatalı (doğrusu: "&amp;$H351&amp;")")))</f>
        <v/>
      </c>
      <c r="F351">
        <f>IF($A351="","",IF(AND(LEN($B351)=11,SUMPRODUCT(--ISNUMBER(FIND(MID($B351,{1,2,3,4,5,6,7,8,9,10,11},1),"0123456789")))=11),1,0))</f>
        <v/>
      </c>
      <c r="G351">
        <f>IF($F351=1,VALUE(MID($B351,4,7)),"")</f>
        <v/>
      </c>
      <c r="H351">
        <f>IF($F351=1,MOD($G351,7),"")</f>
        <v/>
      </c>
    </row>
    <row r="352">
      <c r="A352" s="6" t="n"/>
      <c r="B352" s="7">
        <f>IF($A352="","",SUBSTITUTE(SUBSTITUTE(SUBSTITUTE(SUBSTITUTE($A352," ",""),"-",""),".",""),"/",""))</f>
        <v/>
      </c>
      <c r="C352" s="8">
        <f>IF($F352=1,$H352,"")</f>
        <v/>
      </c>
      <c r="D352" s="7">
        <f>IF($A352="","",IF($F352=0,"Biçim hatalı",IF(FIND(MID($B352,11,1),"0123456789")-1=$H352,"Geçerli","Kontrol hanesi hatalı (doğrusu: "&amp;$H352&amp;")")))</f>
        <v/>
      </c>
      <c r="F352">
        <f>IF($A352="","",IF(AND(LEN($B352)=11,SUMPRODUCT(--ISNUMBER(FIND(MID($B352,{1,2,3,4,5,6,7,8,9,10,11},1),"0123456789")))=11),1,0))</f>
        <v/>
      </c>
      <c r="G352">
        <f>IF($F352=1,VALUE(MID($B352,4,7)),"")</f>
        <v/>
      </c>
      <c r="H352">
        <f>IF($F352=1,MOD($G352,7),"")</f>
        <v/>
      </c>
    </row>
    <row r="353">
      <c r="A353" s="6" t="n"/>
      <c r="B353" s="7">
        <f>IF($A353="","",SUBSTITUTE(SUBSTITUTE(SUBSTITUTE(SUBSTITUTE($A353," ",""),"-",""),".",""),"/",""))</f>
        <v/>
      </c>
      <c r="C353" s="8">
        <f>IF($F353=1,$H353,"")</f>
        <v/>
      </c>
      <c r="D353" s="7">
        <f>IF($A353="","",IF($F353=0,"Biçim hatalı",IF(FIND(MID($B353,11,1),"0123456789")-1=$H353,"Geçerli","Kontrol hanesi hatalı (doğrusu: "&amp;$H353&amp;")")))</f>
        <v/>
      </c>
      <c r="F353">
        <f>IF($A353="","",IF(AND(LEN($B353)=11,SUMPRODUCT(--ISNUMBER(FIND(MID($B353,{1,2,3,4,5,6,7,8,9,10,11},1),"0123456789")))=11),1,0))</f>
        <v/>
      </c>
      <c r="G353">
        <f>IF($F353=1,VALUE(MID($B353,4,7)),"")</f>
        <v/>
      </c>
      <c r="H353">
        <f>IF($F353=1,MOD($G353,7),"")</f>
        <v/>
      </c>
    </row>
    <row r="354">
      <c r="A354" s="6" t="n"/>
      <c r="B354" s="7">
        <f>IF($A354="","",SUBSTITUTE(SUBSTITUTE(SUBSTITUTE(SUBSTITUTE($A354," ",""),"-",""),".",""),"/",""))</f>
        <v/>
      </c>
      <c r="C354" s="8">
        <f>IF($F354=1,$H354,"")</f>
        <v/>
      </c>
      <c r="D354" s="7">
        <f>IF($A354="","",IF($F354=0,"Biçim hatalı",IF(FIND(MID($B354,11,1),"0123456789")-1=$H354,"Geçerli","Kontrol hanesi hatalı (doğrusu: "&amp;$H354&amp;")")))</f>
        <v/>
      </c>
      <c r="F354">
        <f>IF($A354="","",IF(AND(LEN($B354)=11,SUMPRODUCT(--ISNUMBER(FIND(MID($B354,{1,2,3,4,5,6,7,8,9,10,11},1),"0123456789")))=11),1,0))</f>
        <v/>
      </c>
      <c r="G354">
        <f>IF($F354=1,VALUE(MID($B354,4,7)),"")</f>
        <v/>
      </c>
      <c r="H354">
        <f>IF($F354=1,MOD($G354,7),"")</f>
        <v/>
      </c>
    </row>
    <row r="355">
      <c r="A355" s="6" t="n"/>
      <c r="B355" s="7">
        <f>IF($A355="","",SUBSTITUTE(SUBSTITUTE(SUBSTITUTE(SUBSTITUTE($A355," ",""),"-",""),".",""),"/",""))</f>
        <v/>
      </c>
      <c r="C355" s="8">
        <f>IF($F355=1,$H355,"")</f>
        <v/>
      </c>
      <c r="D355" s="7">
        <f>IF($A355="","",IF($F355=0,"Biçim hatalı",IF(FIND(MID($B355,11,1),"0123456789")-1=$H355,"Geçerli","Kontrol hanesi hatalı (doğrusu: "&amp;$H355&amp;")")))</f>
        <v/>
      </c>
      <c r="F355">
        <f>IF($A355="","",IF(AND(LEN($B355)=11,SUMPRODUCT(--ISNUMBER(FIND(MID($B355,{1,2,3,4,5,6,7,8,9,10,11},1),"0123456789")))=11),1,0))</f>
        <v/>
      </c>
      <c r="G355">
        <f>IF($F355=1,VALUE(MID($B355,4,7)),"")</f>
        <v/>
      </c>
      <c r="H355">
        <f>IF($F355=1,MOD($G355,7),"")</f>
        <v/>
      </c>
    </row>
    <row r="356">
      <c r="A356" s="6" t="n"/>
      <c r="B356" s="7">
        <f>IF($A356="","",SUBSTITUTE(SUBSTITUTE(SUBSTITUTE(SUBSTITUTE($A356," ",""),"-",""),".",""),"/",""))</f>
        <v/>
      </c>
      <c r="C356" s="8">
        <f>IF($F356=1,$H356,"")</f>
        <v/>
      </c>
      <c r="D356" s="7">
        <f>IF($A356="","",IF($F356=0,"Biçim hatalı",IF(FIND(MID($B356,11,1),"0123456789")-1=$H356,"Geçerli","Kontrol hanesi hatalı (doğrusu: "&amp;$H356&amp;")")))</f>
        <v/>
      </c>
      <c r="F356">
        <f>IF($A356="","",IF(AND(LEN($B356)=11,SUMPRODUCT(--ISNUMBER(FIND(MID($B356,{1,2,3,4,5,6,7,8,9,10,11},1),"0123456789")))=11),1,0))</f>
        <v/>
      </c>
      <c r="G356">
        <f>IF($F356=1,VALUE(MID($B356,4,7)),"")</f>
        <v/>
      </c>
      <c r="H356">
        <f>IF($F356=1,MOD($G356,7),"")</f>
        <v/>
      </c>
    </row>
    <row r="357">
      <c r="A357" s="6" t="n"/>
      <c r="B357" s="7">
        <f>IF($A357="","",SUBSTITUTE(SUBSTITUTE(SUBSTITUTE(SUBSTITUTE($A357," ",""),"-",""),".",""),"/",""))</f>
        <v/>
      </c>
      <c r="C357" s="8">
        <f>IF($F357=1,$H357,"")</f>
        <v/>
      </c>
      <c r="D357" s="7">
        <f>IF($A357="","",IF($F357=0,"Biçim hatalı",IF(FIND(MID($B357,11,1),"0123456789")-1=$H357,"Geçerli","Kontrol hanesi hatalı (doğrusu: "&amp;$H357&amp;")")))</f>
        <v/>
      </c>
      <c r="F357">
        <f>IF($A357="","",IF(AND(LEN($B357)=11,SUMPRODUCT(--ISNUMBER(FIND(MID($B357,{1,2,3,4,5,6,7,8,9,10,11},1),"0123456789")))=11),1,0))</f>
        <v/>
      </c>
      <c r="G357">
        <f>IF($F357=1,VALUE(MID($B357,4,7)),"")</f>
        <v/>
      </c>
      <c r="H357">
        <f>IF($F357=1,MOD($G357,7),"")</f>
        <v/>
      </c>
    </row>
    <row r="358">
      <c r="A358" s="6" t="n"/>
      <c r="B358" s="7">
        <f>IF($A358="","",SUBSTITUTE(SUBSTITUTE(SUBSTITUTE(SUBSTITUTE($A358," ",""),"-",""),".",""),"/",""))</f>
        <v/>
      </c>
      <c r="C358" s="8">
        <f>IF($F358=1,$H358,"")</f>
        <v/>
      </c>
      <c r="D358" s="7">
        <f>IF($A358="","",IF($F358=0,"Biçim hatalı",IF(FIND(MID($B358,11,1),"0123456789")-1=$H358,"Geçerli","Kontrol hanesi hatalı (doğrusu: "&amp;$H358&amp;")")))</f>
        <v/>
      </c>
      <c r="F358">
        <f>IF($A358="","",IF(AND(LEN($B358)=11,SUMPRODUCT(--ISNUMBER(FIND(MID($B358,{1,2,3,4,5,6,7,8,9,10,11},1),"0123456789")))=11),1,0))</f>
        <v/>
      </c>
      <c r="G358">
        <f>IF($F358=1,VALUE(MID($B358,4,7)),"")</f>
        <v/>
      </c>
      <c r="H358">
        <f>IF($F358=1,MOD($G358,7),"")</f>
        <v/>
      </c>
    </row>
    <row r="359">
      <c r="A359" s="6" t="n"/>
      <c r="B359" s="7">
        <f>IF($A359="","",SUBSTITUTE(SUBSTITUTE(SUBSTITUTE(SUBSTITUTE($A359," ",""),"-",""),".",""),"/",""))</f>
        <v/>
      </c>
      <c r="C359" s="8">
        <f>IF($F359=1,$H359,"")</f>
        <v/>
      </c>
      <c r="D359" s="7">
        <f>IF($A359="","",IF($F359=0,"Biçim hatalı",IF(FIND(MID($B359,11,1),"0123456789")-1=$H359,"Geçerli","Kontrol hanesi hatalı (doğrusu: "&amp;$H359&amp;")")))</f>
        <v/>
      </c>
      <c r="F359">
        <f>IF($A359="","",IF(AND(LEN($B359)=11,SUMPRODUCT(--ISNUMBER(FIND(MID($B359,{1,2,3,4,5,6,7,8,9,10,11},1),"0123456789")))=11),1,0))</f>
        <v/>
      </c>
      <c r="G359">
        <f>IF($F359=1,VALUE(MID($B359,4,7)),"")</f>
        <v/>
      </c>
      <c r="H359">
        <f>IF($F359=1,MOD($G359,7),"")</f>
        <v/>
      </c>
    </row>
    <row r="360">
      <c r="A360" s="6" t="n"/>
      <c r="B360" s="7">
        <f>IF($A360="","",SUBSTITUTE(SUBSTITUTE(SUBSTITUTE(SUBSTITUTE($A360," ",""),"-",""),".",""),"/",""))</f>
        <v/>
      </c>
      <c r="C360" s="8">
        <f>IF($F360=1,$H360,"")</f>
        <v/>
      </c>
      <c r="D360" s="7">
        <f>IF($A360="","",IF($F360=0,"Biçim hatalı",IF(FIND(MID($B360,11,1),"0123456789")-1=$H360,"Geçerli","Kontrol hanesi hatalı (doğrusu: "&amp;$H360&amp;")")))</f>
        <v/>
      </c>
      <c r="F360">
        <f>IF($A360="","",IF(AND(LEN($B360)=11,SUMPRODUCT(--ISNUMBER(FIND(MID($B360,{1,2,3,4,5,6,7,8,9,10,11},1),"0123456789")))=11),1,0))</f>
        <v/>
      </c>
      <c r="G360">
        <f>IF($F360=1,VALUE(MID($B360,4,7)),"")</f>
        <v/>
      </c>
      <c r="H360">
        <f>IF($F360=1,MOD($G360,7),"")</f>
        <v/>
      </c>
    </row>
    <row r="361">
      <c r="A361" s="6" t="n"/>
      <c r="B361" s="7">
        <f>IF($A361="","",SUBSTITUTE(SUBSTITUTE(SUBSTITUTE(SUBSTITUTE($A361," ",""),"-",""),".",""),"/",""))</f>
        <v/>
      </c>
      <c r="C361" s="8">
        <f>IF($F361=1,$H361,"")</f>
        <v/>
      </c>
      <c r="D361" s="7">
        <f>IF($A361="","",IF($F361=0,"Biçim hatalı",IF(FIND(MID($B361,11,1),"0123456789")-1=$H361,"Geçerli","Kontrol hanesi hatalı (doğrusu: "&amp;$H361&amp;")")))</f>
        <v/>
      </c>
      <c r="F361">
        <f>IF($A361="","",IF(AND(LEN($B361)=11,SUMPRODUCT(--ISNUMBER(FIND(MID($B361,{1,2,3,4,5,6,7,8,9,10,11},1),"0123456789")))=11),1,0))</f>
        <v/>
      </c>
      <c r="G361">
        <f>IF($F361=1,VALUE(MID($B361,4,7)),"")</f>
        <v/>
      </c>
      <c r="H361">
        <f>IF($F361=1,MOD($G361,7),"")</f>
        <v/>
      </c>
    </row>
    <row r="362">
      <c r="A362" s="6" t="n"/>
      <c r="B362" s="7">
        <f>IF($A362="","",SUBSTITUTE(SUBSTITUTE(SUBSTITUTE(SUBSTITUTE($A362," ",""),"-",""),".",""),"/",""))</f>
        <v/>
      </c>
      <c r="C362" s="8">
        <f>IF($F362=1,$H362,"")</f>
        <v/>
      </c>
      <c r="D362" s="7">
        <f>IF($A362="","",IF($F362=0,"Biçim hatalı",IF(FIND(MID($B362,11,1),"0123456789")-1=$H362,"Geçerli","Kontrol hanesi hatalı (doğrusu: "&amp;$H362&amp;")")))</f>
        <v/>
      </c>
      <c r="F362">
        <f>IF($A362="","",IF(AND(LEN($B362)=11,SUMPRODUCT(--ISNUMBER(FIND(MID($B362,{1,2,3,4,5,6,7,8,9,10,11},1),"0123456789")))=11),1,0))</f>
        <v/>
      </c>
      <c r="G362">
        <f>IF($F362=1,VALUE(MID($B362,4,7)),"")</f>
        <v/>
      </c>
      <c r="H362">
        <f>IF($F362=1,MOD($G362,7),"")</f>
        <v/>
      </c>
    </row>
    <row r="363">
      <c r="A363" s="6" t="n"/>
      <c r="B363" s="7">
        <f>IF($A363="","",SUBSTITUTE(SUBSTITUTE(SUBSTITUTE(SUBSTITUTE($A363," ",""),"-",""),".",""),"/",""))</f>
        <v/>
      </c>
      <c r="C363" s="8">
        <f>IF($F363=1,$H363,"")</f>
        <v/>
      </c>
      <c r="D363" s="7">
        <f>IF($A363="","",IF($F363=0,"Biçim hatalı",IF(FIND(MID($B363,11,1),"0123456789")-1=$H363,"Geçerli","Kontrol hanesi hatalı (doğrusu: "&amp;$H363&amp;")")))</f>
        <v/>
      </c>
      <c r="F363">
        <f>IF($A363="","",IF(AND(LEN($B363)=11,SUMPRODUCT(--ISNUMBER(FIND(MID($B363,{1,2,3,4,5,6,7,8,9,10,11},1),"0123456789")))=11),1,0))</f>
        <v/>
      </c>
      <c r="G363">
        <f>IF($F363=1,VALUE(MID($B363,4,7)),"")</f>
        <v/>
      </c>
      <c r="H363">
        <f>IF($F363=1,MOD($G363,7),"")</f>
        <v/>
      </c>
    </row>
    <row r="364">
      <c r="A364" s="6" t="n"/>
      <c r="B364" s="7">
        <f>IF($A364="","",SUBSTITUTE(SUBSTITUTE(SUBSTITUTE(SUBSTITUTE($A364," ",""),"-",""),".",""),"/",""))</f>
        <v/>
      </c>
      <c r="C364" s="8">
        <f>IF($F364=1,$H364,"")</f>
        <v/>
      </c>
      <c r="D364" s="7">
        <f>IF($A364="","",IF($F364=0,"Biçim hatalı",IF(FIND(MID($B364,11,1),"0123456789")-1=$H364,"Geçerli","Kontrol hanesi hatalı (doğrusu: "&amp;$H364&amp;")")))</f>
        <v/>
      </c>
      <c r="F364">
        <f>IF($A364="","",IF(AND(LEN($B364)=11,SUMPRODUCT(--ISNUMBER(FIND(MID($B364,{1,2,3,4,5,6,7,8,9,10,11},1),"0123456789")))=11),1,0))</f>
        <v/>
      </c>
      <c r="G364">
        <f>IF($F364=1,VALUE(MID($B364,4,7)),"")</f>
        <v/>
      </c>
      <c r="H364">
        <f>IF($F364=1,MOD($G364,7),"")</f>
        <v/>
      </c>
    </row>
    <row r="365">
      <c r="A365" s="6" t="n"/>
      <c r="B365" s="7">
        <f>IF($A365="","",SUBSTITUTE(SUBSTITUTE(SUBSTITUTE(SUBSTITUTE($A365," ",""),"-",""),".",""),"/",""))</f>
        <v/>
      </c>
      <c r="C365" s="8">
        <f>IF($F365=1,$H365,"")</f>
        <v/>
      </c>
      <c r="D365" s="7">
        <f>IF($A365="","",IF($F365=0,"Biçim hatalı",IF(FIND(MID($B365,11,1),"0123456789")-1=$H365,"Geçerli","Kontrol hanesi hatalı (doğrusu: "&amp;$H365&amp;")")))</f>
        <v/>
      </c>
      <c r="F365">
        <f>IF($A365="","",IF(AND(LEN($B365)=11,SUMPRODUCT(--ISNUMBER(FIND(MID($B365,{1,2,3,4,5,6,7,8,9,10,11},1),"0123456789")))=11),1,0))</f>
        <v/>
      </c>
      <c r="G365">
        <f>IF($F365=1,VALUE(MID($B365,4,7)),"")</f>
        <v/>
      </c>
      <c r="H365">
        <f>IF($F365=1,MOD($G365,7),"")</f>
        <v/>
      </c>
    </row>
    <row r="366">
      <c r="A366" s="6" t="n"/>
      <c r="B366" s="7">
        <f>IF($A366="","",SUBSTITUTE(SUBSTITUTE(SUBSTITUTE(SUBSTITUTE($A366," ",""),"-",""),".",""),"/",""))</f>
        <v/>
      </c>
      <c r="C366" s="8">
        <f>IF($F366=1,$H366,"")</f>
        <v/>
      </c>
      <c r="D366" s="7">
        <f>IF($A366="","",IF($F366=0,"Biçim hatalı",IF(FIND(MID($B366,11,1),"0123456789")-1=$H366,"Geçerli","Kontrol hanesi hatalı (doğrusu: "&amp;$H366&amp;")")))</f>
        <v/>
      </c>
      <c r="F366">
        <f>IF($A366="","",IF(AND(LEN($B366)=11,SUMPRODUCT(--ISNUMBER(FIND(MID($B366,{1,2,3,4,5,6,7,8,9,10,11},1),"0123456789")))=11),1,0))</f>
        <v/>
      </c>
      <c r="G366">
        <f>IF($F366=1,VALUE(MID($B366,4,7)),"")</f>
        <v/>
      </c>
      <c r="H366">
        <f>IF($F366=1,MOD($G366,7),"")</f>
        <v/>
      </c>
    </row>
    <row r="367">
      <c r="A367" s="6" t="n"/>
      <c r="B367" s="7">
        <f>IF($A367="","",SUBSTITUTE(SUBSTITUTE(SUBSTITUTE(SUBSTITUTE($A367," ",""),"-",""),".",""),"/",""))</f>
        <v/>
      </c>
      <c r="C367" s="8">
        <f>IF($F367=1,$H367,"")</f>
        <v/>
      </c>
      <c r="D367" s="7">
        <f>IF($A367="","",IF($F367=0,"Biçim hatalı",IF(FIND(MID($B367,11,1),"0123456789")-1=$H367,"Geçerli","Kontrol hanesi hatalı (doğrusu: "&amp;$H367&amp;")")))</f>
        <v/>
      </c>
      <c r="F367">
        <f>IF($A367="","",IF(AND(LEN($B367)=11,SUMPRODUCT(--ISNUMBER(FIND(MID($B367,{1,2,3,4,5,6,7,8,9,10,11},1),"0123456789")))=11),1,0))</f>
        <v/>
      </c>
      <c r="G367">
        <f>IF($F367=1,VALUE(MID($B367,4,7)),"")</f>
        <v/>
      </c>
      <c r="H367">
        <f>IF($F367=1,MOD($G367,7),"")</f>
        <v/>
      </c>
    </row>
    <row r="368">
      <c r="A368" s="6" t="n"/>
      <c r="B368" s="7">
        <f>IF($A368="","",SUBSTITUTE(SUBSTITUTE(SUBSTITUTE(SUBSTITUTE($A368," ",""),"-",""),".",""),"/",""))</f>
        <v/>
      </c>
      <c r="C368" s="8">
        <f>IF($F368=1,$H368,"")</f>
        <v/>
      </c>
      <c r="D368" s="7">
        <f>IF($A368="","",IF($F368=0,"Biçim hatalı",IF(FIND(MID($B368,11,1),"0123456789")-1=$H368,"Geçerli","Kontrol hanesi hatalı (doğrusu: "&amp;$H368&amp;")")))</f>
        <v/>
      </c>
      <c r="F368">
        <f>IF($A368="","",IF(AND(LEN($B368)=11,SUMPRODUCT(--ISNUMBER(FIND(MID($B368,{1,2,3,4,5,6,7,8,9,10,11},1),"0123456789")))=11),1,0))</f>
        <v/>
      </c>
      <c r="G368">
        <f>IF($F368=1,VALUE(MID($B368,4,7)),"")</f>
        <v/>
      </c>
      <c r="H368">
        <f>IF($F368=1,MOD($G368,7),"")</f>
        <v/>
      </c>
    </row>
    <row r="369">
      <c r="A369" s="6" t="n"/>
      <c r="B369" s="7">
        <f>IF($A369="","",SUBSTITUTE(SUBSTITUTE(SUBSTITUTE(SUBSTITUTE($A369," ",""),"-",""),".",""),"/",""))</f>
        <v/>
      </c>
      <c r="C369" s="8">
        <f>IF($F369=1,$H369,"")</f>
        <v/>
      </c>
      <c r="D369" s="7">
        <f>IF($A369="","",IF($F369=0,"Biçim hatalı",IF(FIND(MID($B369,11,1),"0123456789")-1=$H369,"Geçerli","Kontrol hanesi hatalı (doğrusu: "&amp;$H369&amp;")")))</f>
        <v/>
      </c>
      <c r="F369">
        <f>IF($A369="","",IF(AND(LEN($B369)=11,SUMPRODUCT(--ISNUMBER(FIND(MID($B369,{1,2,3,4,5,6,7,8,9,10,11},1),"0123456789")))=11),1,0))</f>
        <v/>
      </c>
      <c r="G369">
        <f>IF($F369=1,VALUE(MID($B369,4,7)),"")</f>
        <v/>
      </c>
      <c r="H369">
        <f>IF($F369=1,MOD($G369,7),"")</f>
        <v/>
      </c>
    </row>
    <row r="370">
      <c r="A370" s="6" t="n"/>
      <c r="B370" s="7">
        <f>IF($A370="","",SUBSTITUTE(SUBSTITUTE(SUBSTITUTE(SUBSTITUTE($A370," ",""),"-",""),".",""),"/",""))</f>
        <v/>
      </c>
      <c r="C370" s="8">
        <f>IF($F370=1,$H370,"")</f>
        <v/>
      </c>
      <c r="D370" s="7">
        <f>IF($A370="","",IF($F370=0,"Biçim hatalı",IF(FIND(MID($B370,11,1),"0123456789")-1=$H370,"Geçerli","Kontrol hanesi hatalı (doğrusu: "&amp;$H370&amp;")")))</f>
        <v/>
      </c>
      <c r="F370">
        <f>IF($A370="","",IF(AND(LEN($B370)=11,SUMPRODUCT(--ISNUMBER(FIND(MID($B370,{1,2,3,4,5,6,7,8,9,10,11},1),"0123456789")))=11),1,0))</f>
        <v/>
      </c>
      <c r="G370">
        <f>IF($F370=1,VALUE(MID($B370,4,7)),"")</f>
        <v/>
      </c>
      <c r="H370">
        <f>IF($F370=1,MOD($G370,7),"")</f>
        <v/>
      </c>
    </row>
    <row r="371">
      <c r="A371" s="6" t="n"/>
      <c r="B371" s="7">
        <f>IF($A371="","",SUBSTITUTE(SUBSTITUTE(SUBSTITUTE(SUBSTITUTE($A371," ",""),"-",""),".",""),"/",""))</f>
        <v/>
      </c>
      <c r="C371" s="8">
        <f>IF($F371=1,$H371,"")</f>
        <v/>
      </c>
      <c r="D371" s="7">
        <f>IF($A371="","",IF($F371=0,"Biçim hatalı",IF(FIND(MID($B371,11,1),"0123456789")-1=$H371,"Geçerli","Kontrol hanesi hatalı (doğrusu: "&amp;$H371&amp;")")))</f>
        <v/>
      </c>
      <c r="F371">
        <f>IF($A371="","",IF(AND(LEN($B371)=11,SUMPRODUCT(--ISNUMBER(FIND(MID($B371,{1,2,3,4,5,6,7,8,9,10,11},1),"0123456789")))=11),1,0))</f>
        <v/>
      </c>
      <c r="G371">
        <f>IF($F371=1,VALUE(MID($B371,4,7)),"")</f>
        <v/>
      </c>
      <c r="H371">
        <f>IF($F371=1,MOD($G371,7),"")</f>
        <v/>
      </c>
    </row>
    <row r="372">
      <c r="A372" s="6" t="n"/>
      <c r="B372" s="7">
        <f>IF($A372="","",SUBSTITUTE(SUBSTITUTE(SUBSTITUTE(SUBSTITUTE($A372," ",""),"-",""),".",""),"/",""))</f>
        <v/>
      </c>
      <c r="C372" s="8">
        <f>IF($F372=1,$H372,"")</f>
        <v/>
      </c>
      <c r="D372" s="7">
        <f>IF($A372="","",IF($F372=0,"Biçim hatalı",IF(FIND(MID($B372,11,1),"0123456789")-1=$H372,"Geçerli","Kontrol hanesi hatalı (doğrusu: "&amp;$H372&amp;")")))</f>
        <v/>
      </c>
      <c r="F372">
        <f>IF($A372="","",IF(AND(LEN($B372)=11,SUMPRODUCT(--ISNUMBER(FIND(MID($B372,{1,2,3,4,5,6,7,8,9,10,11},1),"0123456789")))=11),1,0))</f>
        <v/>
      </c>
      <c r="G372">
        <f>IF($F372=1,VALUE(MID($B372,4,7)),"")</f>
        <v/>
      </c>
      <c r="H372">
        <f>IF($F372=1,MOD($G372,7),"")</f>
        <v/>
      </c>
    </row>
    <row r="373">
      <c r="A373" s="6" t="n"/>
      <c r="B373" s="7">
        <f>IF($A373="","",SUBSTITUTE(SUBSTITUTE(SUBSTITUTE(SUBSTITUTE($A373," ",""),"-",""),".",""),"/",""))</f>
        <v/>
      </c>
      <c r="C373" s="8">
        <f>IF($F373=1,$H373,"")</f>
        <v/>
      </c>
      <c r="D373" s="7">
        <f>IF($A373="","",IF($F373=0,"Biçim hatalı",IF(FIND(MID($B373,11,1),"0123456789")-1=$H373,"Geçerli","Kontrol hanesi hatalı (doğrusu: "&amp;$H373&amp;")")))</f>
        <v/>
      </c>
      <c r="F373">
        <f>IF($A373="","",IF(AND(LEN($B373)=11,SUMPRODUCT(--ISNUMBER(FIND(MID($B373,{1,2,3,4,5,6,7,8,9,10,11},1),"0123456789")))=11),1,0))</f>
        <v/>
      </c>
      <c r="G373">
        <f>IF($F373=1,VALUE(MID($B373,4,7)),"")</f>
        <v/>
      </c>
      <c r="H373">
        <f>IF($F373=1,MOD($G373,7),"")</f>
        <v/>
      </c>
    </row>
    <row r="374">
      <c r="A374" s="6" t="n"/>
      <c r="B374" s="7">
        <f>IF($A374="","",SUBSTITUTE(SUBSTITUTE(SUBSTITUTE(SUBSTITUTE($A374," ",""),"-",""),".",""),"/",""))</f>
        <v/>
      </c>
      <c r="C374" s="8">
        <f>IF($F374=1,$H374,"")</f>
        <v/>
      </c>
      <c r="D374" s="7">
        <f>IF($A374="","",IF($F374=0,"Biçim hatalı",IF(FIND(MID($B374,11,1),"0123456789")-1=$H374,"Geçerli","Kontrol hanesi hatalı (doğrusu: "&amp;$H374&amp;")")))</f>
        <v/>
      </c>
      <c r="F374">
        <f>IF($A374="","",IF(AND(LEN($B374)=11,SUMPRODUCT(--ISNUMBER(FIND(MID($B374,{1,2,3,4,5,6,7,8,9,10,11},1),"0123456789")))=11),1,0))</f>
        <v/>
      </c>
      <c r="G374">
        <f>IF($F374=1,VALUE(MID($B374,4,7)),"")</f>
        <v/>
      </c>
      <c r="H374">
        <f>IF($F374=1,MOD($G374,7),"")</f>
        <v/>
      </c>
    </row>
    <row r="375">
      <c r="A375" s="6" t="n"/>
      <c r="B375" s="7">
        <f>IF($A375="","",SUBSTITUTE(SUBSTITUTE(SUBSTITUTE(SUBSTITUTE($A375," ",""),"-",""),".",""),"/",""))</f>
        <v/>
      </c>
      <c r="C375" s="8">
        <f>IF($F375=1,$H375,"")</f>
        <v/>
      </c>
      <c r="D375" s="7">
        <f>IF($A375="","",IF($F375=0,"Biçim hatalı",IF(FIND(MID($B375,11,1),"0123456789")-1=$H375,"Geçerli","Kontrol hanesi hatalı (doğrusu: "&amp;$H375&amp;")")))</f>
        <v/>
      </c>
      <c r="F375">
        <f>IF($A375="","",IF(AND(LEN($B375)=11,SUMPRODUCT(--ISNUMBER(FIND(MID($B375,{1,2,3,4,5,6,7,8,9,10,11},1),"0123456789")))=11),1,0))</f>
        <v/>
      </c>
      <c r="G375">
        <f>IF($F375=1,VALUE(MID($B375,4,7)),"")</f>
        <v/>
      </c>
      <c r="H375">
        <f>IF($F375=1,MOD($G375,7),"")</f>
        <v/>
      </c>
    </row>
    <row r="376">
      <c r="A376" s="6" t="n"/>
      <c r="B376" s="7">
        <f>IF($A376="","",SUBSTITUTE(SUBSTITUTE(SUBSTITUTE(SUBSTITUTE($A376," ",""),"-",""),".",""),"/",""))</f>
        <v/>
      </c>
      <c r="C376" s="8">
        <f>IF($F376=1,$H376,"")</f>
        <v/>
      </c>
      <c r="D376" s="7">
        <f>IF($A376="","",IF($F376=0,"Biçim hatalı",IF(FIND(MID($B376,11,1),"0123456789")-1=$H376,"Geçerli","Kontrol hanesi hatalı (doğrusu: "&amp;$H376&amp;")")))</f>
        <v/>
      </c>
      <c r="F376">
        <f>IF($A376="","",IF(AND(LEN($B376)=11,SUMPRODUCT(--ISNUMBER(FIND(MID($B376,{1,2,3,4,5,6,7,8,9,10,11},1),"0123456789")))=11),1,0))</f>
        <v/>
      </c>
      <c r="G376">
        <f>IF($F376=1,VALUE(MID($B376,4,7)),"")</f>
        <v/>
      </c>
      <c r="H376">
        <f>IF($F376=1,MOD($G376,7),"")</f>
        <v/>
      </c>
    </row>
    <row r="377">
      <c r="A377" s="6" t="n"/>
      <c r="B377" s="7">
        <f>IF($A377="","",SUBSTITUTE(SUBSTITUTE(SUBSTITUTE(SUBSTITUTE($A377," ",""),"-",""),".",""),"/",""))</f>
        <v/>
      </c>
      <c r="C377" s="8">
        <f>IF($F377=1,$H377,"")</f>
        <v/>
      </c>
      <c r="D377" s="7">
        <f>IF($A377="","",IF($F377=0,"Biçim hatalı",IF(FIND(MID($B377,11,1),"0123456789")-1=$H377,"Geçerli","Kontrol hanesi hatalı (doğrusu: "&amp;$H377&amp;")")))</f>
        <v/>
      </c>
      <c r="F377">
        <f>IF($A377="","",IF(AND(LEN($B377)=11,SUMPRODUCT(--ISNUMBER(FIND(MID($B377,{1,2,3,4,5,6,7,8,9,10,11},1),"0123456789")))=11),1,0))</f>
        <v/>
      </c>
      <c r="G377">
        <f>IF($F377=1,VALUE(MID($B377,4,7)),"")</f>
        <v/>
      </c>
      <c r="H377">
        <f>IF($F377=1,MOD($G377,7),"")</f>
        <v/>
      </c>
    </row>
    <row r="378">
      <c r="A378" s="6" t="n"/>
      <c r="B378" s="7">
        <f>IF($A378="","",SUBSTITUTE(SUBSTITUTE(SUBSTITUTE(SUBSTITUTE($A378," ",""),"-",""),".",""),"/",""))</f>
        <v/>
      </c>
      <c r="C378" s="8">
        <f>IF($F378=1,$H378,"")</f>
        <v/>
      </c>
      <c r="D378" s="7">
        <f>IF($A378="","",IF($F378=0,"Biçim hatalı",IF(FIND(MID($B378,11,1),"0123456789")-1=$H378,"Geçerli","Kontrol hanesi hatalı (doğrusu: "&amp;$H378&amp;")")))</f>
        <v/>
      </c>
      <c r="F378">
        <f>IF($A378="","",IF(AND(LEN($B378)=11,SUMPRODUCT(--ISNUMBER(FIND(MID($B378,{1,2,3,4,5,6,7,8,9,10,11},1),"0123456789")))=11),1,0))</f>
        <v/>
      </c>
      <c r="G378">
        <f>IF($F378=1,VALUE(MID($B378,4,7)),"")</f>
        <v/>
      </c>
      <c r="H378">
        <f>IF($F378=1,MOD($G378,7),"")</f>
        <v/>
      </c>
    </row>
    <row r="379">
      <c r="A379" s="6" t="n"/>
      <c r="B379" s="7">
        <f>IF($A379="","",SUBSTITUTE(SUBSTITUTE(SUBSTITUTE(SUBSTITUTE($A379," ",""),"-",""),".",""),"/",""))</f>
        <v/>
      </c>
      <c r="C379" s="8">
        <f>IF($F379=1,$H379,"")</f>
        <v/>
      </c>
      <c r="D379" s="7">
        <f>IF($A379="","",IF($F379=0,"Biçim hatalı",IF(FIND(MID($B379,11,1),"0123456789")-1=$H379,"Geçerli","Kontrol hanesi hatalı (doğrusu: "&amp;$H379&amp;")")))</f>
        <v/>
      </c>
      <c r="F379">
        <f>IF($A379="","",IF(AND(LEN($B379)=11,SUMPRODUCT(--ISNUMBER(FIND(MID($B379,{1,2,3,4,5,6,7,8,9,10,11},1),"0123456789")))=11),1,0))</f>
        <v/>
      </c>
      <c r="G379">
        <f>IF($F379=1,VALUE(MID($B379,4,7)),"")</f>
        <v/>
      </c>
      <c r="H379">
        <f>IF($F379=1,MOD($G379,7),"")</f>
        <v/>
      </c>
    </row>
    <row r="380">
      <c r="A380" s="6" t="n"/>
      <c r="B380" s="7">
        <f>IF($A380="","",SUBSTITUTE(SUBSTITUTE(SUBSTITUTE(SUBSTITUTE($A380," ",""),"-",""),".",""),"/",""))</f>
        <v/>
      </c>
      <c r="C380" s="8">
        <f>IF($F380=1,$H380,"")</f>
        <v/>
      </c>
      <c r="D380" s="7">
        <f>IF($A380="","",IF($F380=0,"Biçim hatalı",IF(FIND(MID($B380,11,1),"0123456789")-1=$H380,"Geçerli","Kontrol hanesi hatalı (doğrusu: "&amp;$H380&amp;")")))</f>
        <v/>
      </c>
      <c r="F380">
        <f>IF($A380="","",IF(AND(LEN($B380)=11,SUMPRODUCT(--ISNUMBER(FIND(MID($B380,{1,2,3,4,5,6,7,8,9,10,11},1),"0123456789")))=11),1,0))</f>
        <v/>
      </c>
      <c r="G380">
        <f>IF($F380=1,VALUE(MID($B380,4,7)),"")</f>
        <v/>
      </c>
      <c r="H380">
        <f>IF($F380=1,MOD($G380,7),"")</f>
        <v/>
      </c>
    </row>
    <row r="381">
      <c r="A381" s="6" t="n"/>
      <c r="B381" s="7">
        <f>IF($A381="","",SUBSTITUTE(SUBSTITUTE(SUBSTITUTE(SUBSTITUTE($A381," ",""),"-",""),".",""),"/",""))</f>
        <v/>
      </c>
      <c r="C381" s="8">
        <f>IF($F381=1,$H381,"")</f>
        <v/>
      </c>
      <c r="D381" s="7">
        <f>IF($A381="","",IF($F381=0,"Biçim hatalı",IF(FIND(MID($B381,11,1),"0123456789")-1=$H381,"Geçerli","Kontrol hanesi hatalı (doğrusu: "&amp;$H381&amp;")")))</f>
        <v/>
      </c>
      <c r="F381">
        <f>IF($A381="","",IF(AND(LEN($B381)=11,SUMPRODUCT(--ISNUMBER(FIND(MID($B381,{1,2,3,4,5,6,7,8,9,10,11},1),"0123456789")))=11),1,0))</f>
        <v/>
      </c>
      <c r="G381">
        <f>IF($F381=1,VALUE(MID($B381,4,7)),"")</f>
        <v/>
      </c>
      <c r="H381">
        <f>IF($F381=1,MOD($G381,7),"")</f>
        <v/>
      </c>
    </row>
    <row r="382">
      <c r="A382" s="6" t="n"/>
      <c r="B382" s="7">
        <f>IF($A382="","",SUBSTITUTE(SUBSTITUTE(SUBSTITUTE(SUBSTITUTE($A382," ",""),"-",""),".",""),"/",""))</f>
        <v/>
      </c>
      <c r="C382" s="8">
        <f>IF($F382=1,$H382,"")</f>
        <v/>
      </c>
      <c r="D382" s="7">
        <f>IF($A382="","",IF($F382=0,"Biçim hatalı",IF(FIND(MID($B382,11,1),"0123456789")-1=$H382,"Geçerli","Kontrol hanesi hatalı (doğrusu: "&amp;$H382&amp;")")))</f>
        <v/>
      </c>
      <c r="F382">
        <f>IF($A382="","",IF(AND(LEN($B382)=11,SUMPRODUCT(--ISNUMBER(FIND(MID($B382,{1,2,3,4,5,6,7,8,9,10,11},1),"0123456789")))=11),1,0))</f>
        <v/>
      </c>
      <c r="G382">
        <f>IF($F382=1,VALUE(MID($B382,4,7)),"")</f>
        <v/>
      </c>
      <c r="H382">
        <f>IF($F382=1,MOD($G382,7),"")</f>
        <v/>
      </c>
    </row>
    <row r="383">
      <c r="A383" s="6" t="n"/>
      <c r="B383" s="7">
        <f>IF($A383="","",SUBSTITUTE(SUBSTITUTE(SUBSTITUTE(SUBSTITUTE($A383," ",""),"-",""),".",""),"/",""))</f>
        <v/>
      </c>
      <c r="C383" s="8">
        <f>IF($F383=1,$H383,"")</f>
        <v/>
      </c>
      <c r="D383" s="7">
        <f>IF($A383="","",IF($F383=0,"Biçim hatalı",IF(FIND(MID($B383,11,1),"0123456789")-1=$H383,"Geçerli","Kontrol hanesi hatalı (doğrusu: "&amp;$H383&amp;")")))</f>
        <v/>
      </c>
      <c r="F383">
        <f>IF($A383="","",IF(AND(LEN($B383)=11,SUMPRODUCT(--ISNUMBER(FIND(MID($B383,{1,2,3,4,5,6,7,8,9,10,11},1),"0123456789")))=11),1,0))</f>
        <v/>
      </c>
      <c r="G383">
        <f>IF($F383=1,VALUE(MID($B383,4,7)),"")</f>
        <v/>
      </c>
      <c r="H383">
        <f>IF($F383=1,MOD($G383,7),"")</f>
        <v/>
      </c>
    </row>
    <row r="384">
      <c r="A384" s="6" t="n"/>
      <c r="B384" s="7">
        <f>IF($A384="","",SUBSTITUTE(SUBSTITUTE(SUBSTITUTE(SUBSTITUTE($A384," ",""),"-",""),".",""),"/",""))</f>
        <v/>
      </c>
      <c r="C384" s="8">
        <f>IF($F384=1,$H384,"")</f>
        <v/>
      </c>
      <c r="D384" s="7">
        <f>IF($A384="","",IF($F384=0,"Biçim hatalı",IF(FIND(MID($B384,11,1),"0123456789")-1=$H384,"Geçerli","Kontrol hanesi hatalı (doğrusu: "&amp;$H384&amp;")")))</f>
        <v/>
      </c>
      <c r="F384">
        <f>IF($A384="","",IF(AND(LEN($B384)=11,SUMPRODUCT(--ISNUMBER(FIND(MID($B384,{1,2,3,4,5,6,7,8,9,10,11},1),"0123456789")))=11),1,0))</f>
        <v/>
      </c>
      <c r="G384">
        <f>IF($F384=1,VALUE(MID($B384,4,7)),"")</f>
        <v/>
      </c>
      <c r="H384">
        <f>IF($F384=1,MOD($G384,7),"")</f>
        <v/>
      </c>
    </row>
    <row r="385">
      <c r="A385" s="6" t="n"/>
      <c r="B385" s="7">
        <f>IF($A385="","",SUBSTITUTE(SUBSTITUTE(SUBSTITUTE(SUBSTITUTE($A385," ",""),"-",""),".",""),"/",""))</f>
        <v/>
      </c>
      <c r="C385" s="8">
        <f>IF($F385=1,$H385,"")</f>
        <v/>
      </c>
      <c r="D385" s="7">
        <f>IF($A385="","",IF($F385=0,"Biçim hatalı",IF(FIND(MID($B385,11,1),"0123456789")-1=$H385,"Geçerli","Kontrol hanesi hatalı (doğrusu: "&amp;$H385&amp;")")))</f>
        <v/>
      </c>
      <c r="F385">
        <f>IF($A385="","",IF(AND(LEN($B385)=11,SUMPRODUCT(--ISNUMBER(FIND(MID($B385,{1,2,3,4,5,6,7,8,9,10,11},1),"0123456789")))=11),1,0))</f>
        <v/>
      </c>
      <c r="G385">
        <f>IF($F385=1,VALUE(MID($B385,4,7)),"")</f>
        <v/>
      </c>
      <c r="H385">
        <f>IF($F385=1,MOD($G385,7),"")</f>
        <v/>
      </c>
    </row>
    <row r="386">
      <c r="A386" s="6" t="n"/>
      <c r="B386" s="7">
        <f>IF($A386="","",SUBSTITUTE(SUBSTITUTE(SUBSTITUTE(SUBSTITUTE($A386," ",""),"-",""),".",""),"/",""))</f>
        <v/>
      </c>
      <c r="C386" s="8">
        <f>IF($F386=1,$H386,"")</f>
        <v/>
      </c>
      <c r="D386" s="7">
        <f>IF($A386="","",IF($F386=0,"Biçim hatalı",IF(FIND(MID($B386,11,1),"0123456789")-1=$H386,"Geçerli","Kontrol hanesi hatalı (doğrusu: "&amp;$H386&amp;")")))</f>
        <v/>
      </c>
      <c r="F386">
        <f>IF($A386="","",IF(AND(LEN($B386)=11,SUMPRODUCT(--ISNUMBER(FIND(MID($B386,{1,2,3,4,5,6,7,8,9,10,11},1),"0123456789")))=11),1,0))</f>
        <v/>
      </c>
      <c r="G386">
        <f>IF($F386=1,VALUE(MID($B386,4,7)),"")</f>
        <v/>
      </c>
      <c r="H386">
        <f>IF($F386=1,MOD($G386,7),"")</f>
        <v/>
      </c>
    </row>
    <row r="387">
      <c r="A387" s="6" t="n"/>
      <c r="B387" s="7">
        <f>IF($A387="","",SUBSTITUTE(SUBSTITUTE(SUBSTITUTE(SUBSTITUTE($A387," ",""),"-",""),".",""),"/",""))</f>
        <v/>
      </c>
      <c r="C387" s="8">
        <f>IF($F387=1,$H387,"")</f>
        <v/>
      </c>
      <c r="D387" s="7">
        <f>IF($A387="","",IF($F387=0,"Biçim hatalı",IF(FIND(MID($B387,11,1),"0123456789")-1=$H387,"Geçerli","Kontrol hanesi hatalı (doğrusu: "&amp;$H387&amp;")")))</f>
        <v/>
      </c>
      <c r="F387">
        <f>IF($A387="","",IF(AND(LEN($B387)=11,SUMPRODUCT(--ISNUMBER(FIND(MID($B387,{1,2,3,4,5,6,7,8,9,10,11},1),"0123456789")))=11),1,0))</f>
        <v/>
      </c>
      <c r="G387">
        <f>IF($F387=1,VALUE(MID($B387,4,7)),"")</f>
        <v/>
      </c>
      <c r="H387">
        <f>IF($F387=1,MOD($G387,7),"")</f>
        <v/>
      </c>
    </row>
    <row r="388">
      <c r="A388" s="6" t="n"/>
      <c r="B388" s="7">
        <f>IF($A388="","",SUBSTITUTE(SUBSTITUTE(SUBSTITUTE(SUBSTITUTE($A388," ",""),"-",""),".",""),"/",""))</f>
        <v/>
      </c>
      <c r="C388" s="8">
        <f>IF($F388=1,$H388,"")</f>
        <v/>
      </c>
      <c r="D388" s="7">
        <f>IF($A388="","",IF($F388=0,"Biçim hatalı",IF(FIND(MID($B388,11,1),"0123456789")-1=$H388,"Geçerli","Kontrol hanesi hatalı (doğrusu: "&amp;$H388&amp;")")))</f>
        <v/>
      </c>
      <c r="F388">
        <f>IF($A388="","",IF(AND(LEN($B388)=11,SUMPRODUCT(--ISNUMBER(FIND(MID($B388,{1,2,3,4,5,6,7,8,9,10,11},1),"0123456789")))=11),1,0))</f>
        <v/>
      </c>
      <c r="G388">
        <f>IF($F388=1,VALUE(MID($B388,4,7)),"")</f>
        <v/>
      </c>
      <c r="H388">
        <f>IF($F388=1,MOD($G388,7),"")</f>
        <v/>
      </c>
    </row>
    <row r="389">
      <c r="A389" s="6" t="n"/>
      <c r="B389" s="7">
        <f>IF($A389="","",SUBSTITUTE(SUBSTITUTE(SUBSTITUTE(SUBSTITUTE($A389," ",""),"-",""),".",""),"/",""))</f>
        <v/>
      </c>
      <c r="C389" s="8">
        <f>IF($F389=1,$H389,"")</f>
        <v/>
      </c>
      <c r="D389" s="7">
        <f>IF($A389="","",IF($F389=0,"Biçim hatalı",IF(FIND(MID($B389,11,1),"0123456789")-1=$H389,"Geçerli","Kontrol hanesi hatalı (doğrusu: "&amp;$H389&amp;")")))</f>
        <v/>
      </c>
      <c r="F389">
        <f>IF($A389="","",IF(AND(LEN($B389)=11,SUMPRODUCT(--ISNUMBER(FIND(MID($B389,{1,2,3,4,5,6,7,8,9,10,11},1),"0123456789")))=11),1,0))</f>
        <v/>
      </c>
      <c r="G389">
        <f>IF($F389=1,VALUE(MID($B389,4,7)),"")</f>
        <v/>
      </c>
      <c r="H389">
        <f>IF($F389=1,MOD($G389,7),"")</f>
        <v/>
      </c>
    </row>
    <row r="390">
      <c r="A390" s="6" t="n"/>
      <c r="B390" s="7">
        <f>IF($A390="","",SUBSTITUTE(SUBSTITUTE(SUBSTITUTE(SUBSTITUTE($A390," ",""),"-",""),".",""),"/",""))</f>
        <v/>
      </c>
      <c r="C390" s="8">
        <f>IF($F390=1,$H390,"")</f>
        <v/>
      </c>
      <c r="D390" s="7">
        <f>IF($A390="","",IF($F390=0,"Biçim hatalı",IF(FIND(MID($B390,11,1),"0123456789")-1=$H390,"Geçerli","Kontrol hanesi hatalı (doğrusu: "&amp;$H390&amp;")")))</f>
        <v/>
      </c>
      <c r="F390">
        <f>IF($A390="","",IF(AND(LEN($B390)=11,SUMPRODUCT(--ISNUMBER(FIND(MID($B390,{1,2,3,4,5,6,7,8,9,10,11},1),"0123456789")))=11),1,0))</f>
        <v/>
      </c>
      <c r="G390">
        <f>IF($F390=1,VALUE(MID($B390,4,7)),"")</f>
        <v/>
      </c>
      <c r="H390">
        <f>IF($F390=1,MOD($G390,7),"")</f>
        <v/>
      </c>
    </row>
    <row r="391">
      <c r="A391" s="6" t="n"/>
      <c r="B391" s="7">
        <f>IF($A391="","",SUBSTITUTE(SUBSTITUTE(SUBSTITUTE(SUBSTITUTE($A391," ",""),"-",""),".",""),"/",""))</f>
        <v/>
      </c>
      <c r="C391" s="8">
        <f>IF($F391=1,$H391,"")</f>
        <v/>
      </c>
      <c r="D391" s="7">
        <f>IF($A391="","",IF($F391=0,"Biçim hatalı",IF(FIND(MID($B391,11,1),"0123456789")-1=$H391,"Geçerli","Kontrol hanesi hatalı (doğrusu: "&amp;$H391&amp;")")))</f>
        <v/>
      </c>
      <c r="F391">
        <f>IF($A391="","",IF(AND(LEN($B391)=11,SUMPRODUCT(--ISNUMBER(FIND(MID($B391,{1,2,3,4,5,6,7,8,9,10,11},1),"0123456789")))=11),1,0))</f>
        <v/>
      </c>
      <c r="G391">
        <f>IF($F391=1,VALUE(MID($B391,4,7)),"")</f>
        <v/>
      </c>
      <c r="H391">
        <f>IF($F391=1,MOD($G391,7),"")</f>
        <v/>
      </c>
    </row>
    <row r="392">
      <c r="A392" s="6" t="n"/>
      <c r="B392" s="7">
        <f>IF($A392="","",SUBSTITUTE(SUBSTITUTE(SUBSTITUTE(SUBSTITUTE($A392," ",""),"-",""),".",""),"/",""))</f>
        <v/>
      </c>
      <c r="C392" s="8">
        <f>IF($F392=1,$H392,"")</f>
        <v/>
      </c>
      <c r="D392" s="7">
        <f>IF($A392="","",IF($F392=0,"Biçim hatalı",IF(FIND(MID($B392,11,1),"0123456789")-1=$H392,"Geçerli","Kontrol hanesi hatalı (doğrusu: "&amp;$H392&amp;")")))</f>
        <v/>
      </c>
      <c r="F392">
        <f>IF($A392="","",IF(AND(LEN($B392)=11,SUMPRODUCT(--ISNUMBER(FIND(MID($B392,{1,2,3,4,5,6,7,8,9,10,11},1),"0123456789")))=11),1,0))</f>
        <v/>
      </c>
      <c r="G392">
        <f>IF($F392=1,VALUE(MID($B392,4,7)),"")</f>
        <v/>
      </c>
      <c r="H392">
        <f>IF($F392=1,MOD($G392,7),"")</f>
        <v/>
      </c>
    </row>
    <row r="393">
      <c r="A393" s="6" t="n"/>
      <c r="B393" s="7">
        <f>IF($A393="","",SUBSTITUTE(SUBSTITUTE(SUBSTITUTE(SUBSTITUTE($A393," ",""),"-",""),".",""),"/",""))</f>
        <v/>
      </c>
      <c r="C393" s="8">
        <f>IF($F393=1,$H393,"")</f>
        <v/>
      </c>
      <c r="D393" s="7">
        <f>IF($A393="","",IF($F393=0,"Biçim hatalı",IF(FIND(MID($B393,11,1),"0123456789")-1=$H393,"Geçerli","Kontrol hanesi hatalı (doğrusu: "&amp;$H393&amp;")")))</f>
        <v/>
      </c>
      <c r="F393">
        <f>IF($A393="","",IF(AND(LEN($B393)=11,SUMPRODUCT(--ISNUMBER(FIND(MID($B393,{1,2,3,4,5,6,7,8,9,10,11},1),"0123456789")))=11),1,0))</f>
        <v/>
      </c>
      <c r="G393">
        <f>IF($F393=1,VALUE(MID($B393,4,7)),"")</f>
        <v/>
      </c>
      <c r="H393">
        <f>IF($F393=1,MOD($G393,7),"")</f>
        <v/>
      </c>
    </row>
    <row r="394">
      <c r="A394" s="6" t="n"/>
      <c r="B394" s="7">
        <f>IF($A394="","",SUBSTITUTE(SUBSTITUTE(SUBSTITUTE(SUBSTITUTE($A394," ",""),"-",""),".",""),"/",""))</f>
        <v/>
      </c>
      <c r="C394" s="8">
        <f>IF($F394=1,$H394,"")</f>
        <v/>
      </c>
      <c r="D394" s="7">
        <f>IF($A394="","",IF($F394=0,"Biçim hatalı",IF(FIND(MID($B394,11,1),"0123456789")-1=$H394,"Geçerli","Kontrol hanesi hatalı (doğrusu: "&amp;$H394&amp;")")))</f>
        <v/>
      </c>
      <c r="F394">
        <f>IF($A394="","",IF(AND(LEN($B394)=11,SUMPRODUCT(--ISNUMBER(FIND(MID($B394,{1,2,3,4,5,6,7,8,9,10,11},1),"0123456789")))=11),1,0))</f>
        <v/>
      </c>
      <c r="G394">
        <f>IF($F394=1,VALUE(MID($B394,4,7)),"")</f>
        <v/>
      </c>
      <c r="H394">
        <f>IF($F394=1,MOD($G394,7),"")</f>
        <v/>
      </c>
    </row>
    <row r="395">
      <c r="A395" s="6" t="n"/>
      <c r="B395" s="7">
        <f>IF($A395="","",SUBSTITUTE(SUBSTITUTE(SUBSTITUTE(SUBSTITUTE($A395," ",""),"-",""),".",""),"/",""))</f>
        <v/>
      </c>
      <c r="C395" s="8">
        <f>IF($F395=1,$H395,"")</f>
        <v/>
      </c>
      <c r="D395" s="7">
        <f>IF($A395="","",IF($F395=0,"Biçim hatalı",IF(FIND(MID($B395,11,1),"0123456789")-1=$H395,"Geçerli","Kontrol hanesi hatalı (doğrusu: "&amp;$H395&amp;")")))</f>
        <v/>
      </c>
      <c r="F395">
        <f>IF($A395="","",IF(AND(LEN($B395)=11,SUMPRODUCT(--ISNUMBER(FIND(MID($B395,{1,2,3,4,5,6,7,8,9,10,11},1),"0123456789")))=11),1,0))</f>
        <v/>
      </c>
      <c r="G395">
        <f>IF($F395=1,VALUE(MID($B395,4,7)),"")</f>
        <v/>
      </c>
      <c r="H395">
        <f>IF($F395=1,MOD($G395,7),"")</f>
        <v/>
      </c>
    </row>
    <row r="396">
      <c r="A396" s="6" t="n"/>
      <c r="B396" s="7">
        <f>IF($A396="","",SUBSTITUTE(SUBSTITUTE(SUBSTITUTE(SUBSTITUTE($A396," ",""),"-",""),".",""),"/",""))</f>
        <v/>
      </c>
      <c r="C396" s="8">
        <f>IF($F396=1,$H396,"")</f>
        <v/>
      </c>
      <c r="D396" s="7">
        <f>IF($A396="","",IF($F396=0,"Biçim hatalı",IF(FIND(MID($B396,11,1),"0123456789")-1=$H396,"Geçerli","Kontrol hanesi hatalı (doğrusu: "&amp;$H396&amp;")")))</f>
        <v/>
      </c>
      <c r="F396">
        <f>IF($A396="","",IF(AND(LEN($B396)=11,SUMPRODUCT(--ISNUMBER(FIND(MID($B396,{1,2,3,4,5,6,7,8,9,10,11},1),"0123456789")))=11),1,0))</f>
        <v/>
      </c>
      <c r="G396">
        <f>IF($F396=1,VALUE(MID($B396,4,7)),"")</f>
        <v/>
      </c>
      <c r="H396">
        <f>IF($F396=1,MOD($G396,7),"")</f>
        <v/>
      </c>
    </row>
    <row r="397">
      <c r="A397" s="6" t="n"/>
      <c r="B397" s="7">
        <f>IF($A397="","",SUBSTITUTE(SUBSTITUTE(SUBSTITUTE(SUBSTITUTE($A397," ",""),"-",""),".",""),"/",""))</f>
        <v/>
      </c>
      <c r="C397" s="8">
        <f>IF($F397=1,$H397,"")</f>
        <v/>
      </c>
      <c r="D397" s="7">
        <f>IF($A397="","",IF($F397=0,"Biçim hatalı",IF(FIND(MID($B397,11,1),"0123456789")-1=$H397,"Geçerli","Kontrol hanesi hatalı (doğrusu: "&amp;$H397&amp;")")))</f>
        <v/>
      </c>
      <c r="F397">
        <f>IF($A397="","",IF(AND(LEN($B397)=11,SUMPRODUCT(--ISNUMBER(FIND(MID($B397,{1,2,3,4,5,6,7,8,9,10,11},1),"0123456789")))=11),1,0))</f>
        <v/>
      </c>
      <c r="G397">
        <f>IF($F397=1,VALUE(MID($B397,4,7)),"")</f>
        <v/>
      </c>
      <c r="H397">
        <f>IF($F397=1,MOD($G397,7),"")</f>
        <v/>
      </c>
    </row>
    <row r="398">
      <c r="A398" s="6" t="n"/>
      <c r="B398" s="7">
        <f>IF($A398="","",SUBSTITUTE(SUBSTITUTE(SUBSTITUTE(SUBSTITUTE($A398," ",""),"-",""),".",""),"/",""))</f>
        <v/>
      </c>
      <c r="C398" s="8">
        <f>IF($F398=1,$H398,"")</f>
        <v/>
      </c>
      <c r="D398" s="7">
        <f>IF($A398="","",IF($F398=0,"Biçim hatalı",IF(FIND(MID($B398,11,1),"0123456789")-1=$H398,"Geçerli","Kontrol hanesi hatalı (doğrusu: "&amp;$H398&amp;")")))</f>
        <v/>
      </c>
      <c r="F398">
        <f>IF($A398="","",IF(AND(LEN($B398)=11,SUMPRODUCT(--ISNUMBER(FIND(MID($B398,{1,2,3,4,5,6,7,8,9,10,11},1),"0123456789")))=11),1,0))</f>
        <v/>
      </c>
      <c r="G398">
        <f>IF($F398=1,VALUE(MID($B398,4,7)),"")</f>
        <v/>
      </c>
      <c r="H398">
        <f>IF($F398=1,MOD($G398,7),"")</f>
        <v/>
      </c>
    </row>
    <row r="399">
      <c r="A399" s="6" t="n"/>
      <c r="B399" s="7">
        <f>IF($A399="","",SUBSTITUTE(SUBSTITUTE(SUBSTITUTE(SUBSTITUTE($A399," ",""),"-",""),".",""),"/",""))</f>
        <v/>
      </c>
      <c r="C399" s="8">
        <f>IF($F399=1,$H399,"")</f>
        <v/>
      </c>
      <c r="D399" s="7">
        <f>IF($A399="","",IF($F399=0,"Biçim hatalı",IF(FIND(MID($B399,11,1),"0123456789")-1=$H399,"Geçerli","Kontrol hanesi hatalı (doğrusu: "&amp;$H399&amp;")")))</f>
        <v/>
      </c>
      <c r="F399">
        <f>IF($A399="","",IF(AND(LEN($B399)=11,SUMPRODUCT(--ISNUMBER(FIND(MID($B399,{1,2,3,4,5,6,7,8,9,10,11},1),"0123456789")))=11),1,0))</f>
        <v/>
      </c>
      <c r="G399">
        <f>IF($F399=1,VALUE(MID($B399,4,7)),"")</f>
        <v/>
      </c>
      <c r="H399">
        <f>IF($F399=1,MOD($G399,7),"")</f>
        <v/>
      </c>
    </row>
    <row r="400">
      <c r="A400" s="6" t="n"/>
      <c r="B400" s="7">
        <f>IF($A400="","",SUBSTITUTE(SUBSTITUTE(SUBSTITUTE(SUBSTITUTE($A400," ",""),"-",""),".",""),"/",""))</f>
        <v/>
      </c>
      <c r="C400" s="8">
        <f>IF($F400=1,$H400,"")</f>
        <v/>
      </c>
      <c r="D400" s="7">
        <f>IF($A400="","",IF($F400=0,"Biçim hatalı",IF(FIND(MID($B400,11,1),"0123456789")-1=$H400,"Geçerli","Kontrol hanesi hatalı (doğrusu: "&amp;$H400&amp;")")))</f>
        <v/>
      </c>
      <c r="F400">
        <f>IF($A400="","",IF(AND(LEN($B400)=11,SUMPRODUCT(--ISNUMBER(FIND(MID($B400,{1,2,3,4,5,6,7,8,9,10,11},1),"0123456789")))=11),1,0))</f>
        <v/>
      </c>
      <c r="G400">
        <f>IF($F400=1,VALUE(MID($B400,4,7)),"")</f>
        <v/>
      </c>
      <c r="H400">
        <f>IF($F400=1,MOD($G400,7),"")</f>
        <v/>
      </c>
    </row>
    <row r="401">
      <c r="A401" s="6" t="n"/>
      <c r="B401" s="7">
        <f>IF($A401="","",SUBSTITUTE(SUBSTITUTE(SUBSTITUTE(SUBSTITUTE($A401," ",""),"-",""),".",""),"/",""))</f>
        <v/>
      </c>
      <c r="C401" s="8">
        <f>IF($F401=1,$H401,"")</f>
        <v/>
      </c>
      <c r="D401" s="7">
        <f>IF($A401="","",IF($F401=0,"Biçim hatalı",IF(FIND(MID($B401,11,1),"0123456789")-1=$H401,"Geçerli","Kontrol hanesi hatalı (doğrusu: "&amp;$H401&amp;")")))</f>
        <v/>
      </c>
      <c r="F401">
        <f>IF($A401="","",IF(AND(LEN($B401)=11,SUMPRODUCT(--ISNUMBER(FIND(MID($B401,{1,2,3,4,5,6,7,8,9,10,11},1),"0123456789")))=11),1,0))</f>
        <v/>
      </c>
      <c r="G401">
        <f>IF($F401=1,VALUE(MID($B401,4,7)),"")</f>
        <v/>
      </c>
      <c r="H401">
        <f>IF($F401=1,MOD($G401,7),"")</f>
        <v/>
      </c>
    </row>
    <row r="402">
      <c r="A402" s="6" t="n"/>
      <c r="B402" s="7">
        <f>IF($A402="","",SUBSTITUTE(SUBSTITUTE(SUBSTITUTE(SUBSTITUTE($A402," ",""),"-",""),".",""),"/",""))</f>
        <v/>
      </c>
      <c r="C402" s="8">
        <f>IF($F402=1,$H402,"")</f>
        <v/>
      </c>
      <c r="D402" s="7">
        <f>IF($A402="","",IF($F402=0,"Biçim hatalı",IF(FIND(MID($B402,11,1),"0123456789")-1=$H402,"Geçerli","Kontrol hanesi hatalı (doğrusu: "&amp;$H402&amp;")")))</f>
        <v/>
      </c>
      <c r="F402">
        <f>IF($A402="","",IF(AND(LEN($B402)=11,SUMPRODUCT(--ISNUMBER(FIND(MID($B402,{1,2,3,4,5,6,7,8,9,10,11},1),"0123456789")))=11),1,0))</f>
        <v/>
      </c>
      <c r="G402">
        <f>IF($F402=1,VALUE(MID($B402,4,7)),"")</f>
        <v/>
      </c>
      <c r="H402">
        <f>IF($F402=1,MOD($G402,7),"")</f>
        <v/>
      </c>
    </row>
    <row r="403">
      <c r="A403" s="6" t="n"/>
      <c r="B403" s="7">
        <f>IF($A403="","",SUBSTITUTE(SUBSTITUTE(SUBSTITUTE(SUBSTITUTE($A403," ",""),"-",""),".",""),"/",""))</f>
        <v/>
      </c>
      <c r="C403" s="8">
        <f>IF($F403=1,$H403,"")</f>
        <v/>
      </c>
      <c r="D403" s="7">
        <f>IF($A403="","",IF($F403=0,"Biçim hatalı",IF(FIND(MID($B403,11,1),"0123456789")-1=$H403,"Geçerli","Kontrol hanesi hatalı (doğrusu: "&amp;$H403&amp;")")))</f>
        <v/>
      </c>
      <c r="F403">
        <f>IF($A403="","",IF(AND(LEN($B403)=11,SUMPRODUCT(--ISNUMBER(FIND(MID($B403,{1,2,3,4,5,6,7,8,9,10,11},1),"0123456789")))=11),1,0))</f>
        <v/>
      </c>
      <c r="G403">
        <f>IF($F403=1,VALUE(MID($B403,4,7)),"")</f>
        <v/>
      </c>
      <c r="H403">
        <f>IF($F403=1,MOD($G403,7),"")</f>
        <v/>
      </c>
    </row>
    <row r="404">
      <c r="A404" s="6" t="n"/>
      <c r="B404" s="7">
        <f>IF($A404="","",SUBSTITUTE(SUBSTITUTE(SUBSTITUTE(SUBSTITUTE($A404," ",""),"-",""),".",""),"/",""))</f>
        <v/>
      </c>
      <c r="C404" s="8">
        <f>IF($F404=1,$H404,"")</f>
        <v/>
      </c>
      <c r="D404" s="7">
        <f>IF($A404="","",IF($F404=0,"Biçim hatalı",IF(FIND(MID($B404,11,1),"0123456789")-1=$H404,"Geçerli","Kontrol hanesi hatalı (doğrusu: "&amp;$H404&amp;")")))</f>
        <v/>
      </c>
      <c r="F404">
        <f>IF($A404="","",IF(AND(LEN($B404)=11,SUMPRODUCT(--ISNUMBER(FIND(MID($B404,{1,2,3,4,5,6,7,8,9,10,11},1),"0123456789")))=11),1,0))</f>
        <v/>
      </c>
      <c r="G404">
        <f>IF($F404=1,VALUE(MID($B404,4,7)),"")</f>
        <v/>
      </c>
      <c r="H404">
        <f>IF($F404=1,MOD($G404,7),"")</f>
        <v/>
      </c>
    </row>
    <row r="405">
      <c r="A405" s="6" t="n"/>
      <c r="B405" s="7">
        <f>IF($A405="","",SUBSTITUTE(SUBSTITUTE(SUBSTITUTE(SUBSTITUTE($A405," ",""),"-",""),".",""),"/",""))</f>
        <v/>
      </c>
      <c r="C405" s="8">
        <f>IF($F405=1,$H405,"")</f>
        <v/>
      </c>
      <c r="D405" s="7">
        <f>IF($A405="","",IF($F405=0,"Biçim hatalı",IF(FIND(MID($B405,11,1),"0123456789")-1=$H405,"Geçerli","Kontrol hanesi hatalı (doğrusu: "&amp;$H405&amp;")")))</f>
        <v/>
      </c>
      <c r="F405">
        <f>IF($A405="","",IF(AND(LEN($B405)=11,SUMPRODUCT(--ISNUMBER(FIND(MID($B405,{1,2,3,4,5,6,7,8,9,10,11},1),"0123456789")))=11),1,0))</f>
        <v/>
      </c>
      <c r="G405">
        <f>IF($F405=1,VALUE(MID($B405,4,7)),"")</f>
        <v/>
      </c>
      <c r="H405">
        <f>IF($F405=1,MOD($G405,7),"")</f>
        <v/>
      </c>
    </row>
    <row r="406">
      <c r="A406" s="6" t="n"/>
      <c r="B406" s="7">
        <f>IF($A406="","",SUBSTITUTE(SUBSTITUTE(SUBSTITUTE(SUBSTITUTE($A406," ",""),"-",""),".",""),"/",""))</f>
        <v/>
      </c>
      <c r="C406" s="8">
        <f>IF($F406=1,$H406,"")</f>
        <v/>
      </c>
      <c r="D406" s="7">
        <f>IF($A406="","",IF($F406=0,"Biçim hatalı",IF(FIND(MID($B406,11,1),"0123456789")-1=$H406,"Geçerli","Kontrol hanesi hatalı (doğrusu: "&amp;$H406&amp;")")))</f>
        <v/>
      </c>
      <c r="F406">
        <f>IF($A406="","",IF(AND(LEN($B406)=11,SUMPRODUCT(--ISNUMBER(FIND(MID($B406,{1,2,3,4,5,6,7,8,9,10,11},1),"0123456789")))=11),1,0))</f>
        <v/>
      </c>
      <c r="G406">
        <f>IF($F406=1,VALUE(MID($B406,4,7)),"")</f>
        <v/>
      </c>
      <c r="H406">
        <f>IF($F406=1,MOD($G406,7),"")</f>
        <v/>
      </c>
    </row>
    <row r="407">
      <c r="A407" s="6" t="n"/>
      <c r="B407" s="7">
        <f>IF($A407="","",SUBSTITUTE(SUBSTITUTE(SUBSTITUTE(SUBSTITUTE($A407," ",""),"-",""),".",""),"/",""))</f>
        <v/>
      </c>
      <c r="C407" s="8">
        <f>IF($F407=1,$H407,"")</f>
        <v/>
      </c>
      <c r="D407" s="7">
        <f>IF($A407="","",IF($F407=0,"Biçim hatalı",IF(FIND(MID($B407,11,1),"0123456789")-1=$H407,"Geçerli","Kontrol hanesi hatalı (doğrusu: "&amp;$H407&amp;")")))</f>
        <v/>
      </c>
      <c r="F407">
        <f>IF($A407="","",IF(AND(LEN($B407)=11,SUMPRODUCT(--ISNUMBER(FIND(MID($B407,{1,2,3,4,5,6,7,8,9,10,11},1),"0123456789")))=11),1,0))</f>
        <v/>
      </c>
      <c r="G407">
        <f>IF($F407=1,VALUE(MID($B407,4,7)),"")</f>
        <v/>
      </c>
      <c r="H407">
        <f>IF($F407=1,MOD($G407,7),"")</f>
        <v/>
      </c>
    </row>
    <row r="408">
      <c r="A408" s="6" t="n"/>
      <c r="B408" s="7">
        <f>IF($A408="","",SUBSTITUTE(SUBSTITUTE(SUBSTITUTE(SUBSTITUTE($A408," ",""),"-",""),".",""),"/",""))</f>
        <v/>
      </c>
      <c r="C408" s="8">
        <f>IF($F408=1,$H408,"")</f>
        <v/>
      </c>
      <c r="D408" s="7">
        <f>IF($A408="","",IF($F408=0,"Biçim hatalı",IF(FIND(MID($B408,11,1),"0123456789")-1=$H408,"Geçerli","Kontrol hanesi hatalı (doğrusu: "&amp;$H408&amp;")")))</f>
        <v/>
      </c>
      <c r="F408">
        <f>IF($A408="","",IF(AND(LEN($B408)=11,SUMPRODUCT(--ISNUMBER(FIND(MID($B408,{1,2,3,4,5,6,7,8,9,10,11},1),"0123456789")))=11),1,0))</f>
        <v/>
      </c>
      <c r="G408">
        <f>IF($F408=1,VALUE(MID($B408,4,7)),"")</f>
        <v/>
      </c>
      <c r="H408">
        <f>IF($F408=1,MOD($G408,7),"")</f>
        <v/>
      </c>
    </row>
    <row r="409">
      <c r="A409" s="6" t="n"/>
      <c r="B409" s="7">
        <f>IF($A409="","",SUBSTITUTE(SUBSTITUTE(SUBSTITUTE(SUBSTITUTE($A409," ",""),"-",""),".",""),"/",""))</f>
        <v/>
      </c>
      <c r="C409" s="8">
        <f>IF($F409=1,$H409,"")</f>
        <v/>
      </c>
      <c r="D409" s="7">
        <f>IF($A409="","",IF($F409=0,"Biçim hatalı",IF(FIND(MID($B409,11,1),"0123456789")-1=$H409,"Geçerli","Kontrol hanesi hatalı (doğrusu: "&amp;$H409&amp;")")))</f>
        <v/>
      </c>
      <c r="F409">
        <f>IF($A409="","",IF(AND(LEN($B409)=11,SUMPRODUCT(--ISNUMBER(FIND(MID($B409,{1,2,3,4,5,6,7,8,9,10,11},1),"0123456789")))=11),1,0))</f>
        <v/>
      </c>
      <c r="G409">
        <f>IF($F409=1,VALUE(MID($B409,4,7)),"")</f>
        <v/>
      </c>
      <c r="H409">
        <f>IF($F409=1,MOD($G409,7),"")</f>
        <v/>
      </c>
    </row>
    <row r="410">
      <c r="A410" s="6" t="n"/>
      <c r="B410" s="7">
        <f>IF($A410="","",SUBSTITUTE(SUBSTITUTE(SUBSTITUTE(SUBSTITUTE($A410," ",""),"-",""),".",""),"/",""))</f>
        <v/>
      </c>
      <c r="C410" s="8">
        <f>IF($F410=1,$H410,"")</f>
        <v/>
      </c>
      <c r="D410" s="7">
        <f>IF($A410="","",IF($F410=0,"Biçim hatalı",IF(FIND(MID($B410,11,1),"0123456789")-1=$H410,"Geçerli","Kontrol hanesi hatalı (doğrusu: "&amp;$H410&amp;")")))</f>
        <v/>
      </c>
      <c r="F410">
        <f>IF($A410="","",IF(AND(LEN($B410)=11,SUMPRODUCT(--ISNUMBER(FIND(MID($B410,{1,2,3,4,5,6,7,8,9,10,11},1),"0123456789")))=11),1,0))</f>
        <v/>
      </c>
      <c r="G410">
        <f>IF($F410=1,VALUE(MID($B410,4,7)),"")</f>
        <v/>
      </c>
      <c r="H410">
        <f>IF($F410=1,MOD($G410,7),"")</f>
        <v/>
      </c>
    </row>
    <row r="411">
      <c r="A411" s="6" t="n"/>
      <c r="B411" s="7">
        <f>IF($A411="","",SUBSTITUTE(SUBSTITUTE(SUBSTITUTE(SUBSTITUTE($A411," ",""),"-",""),".",""),"/",""))</f>
        <v/>
      </c>
      <c r="C411" s="8">
        <f>IF($F411=1,$H411,"")</f>
        <v/>
      </c>
      <c r="D411" s="7">
        <f>IF($A411="","",IF($F411=0,"Biçim hatalı",IF(FIND(MID($B411,11,1),"0123456789")-1=$H411,"Geçerli","Kontrol hanesi hatalı (doğrusu: "&amp;$H411&amp;")")))</f>
        <v/>
      </c>
      <c r="F411">
        <f>IF($A411="","",IF(AND(LEN($B411)=11,SUMPRODUCT(--ISNUMBER(FIND(MID($B411,{1,2,3,4,5,6,7,8,9,10,11},1),"0123456789")))=11),1,0))</f>
        <v/>
      </c>
      <c r="G411">
        <f>IF($F411=1,VALUE(MID($B411,4,7)),"")</f>
        <v/>
      </c>
      <c r="H411">
        <f>IF($F411=1,MOD($G411,7),"")</f>
        <v/>
      </c>
    </row>
    <row r="412">
      <c r="A412" s="6" t="n"/>
      <c r="B412" s="7">
        <f>IF($A412="","",SUBSTITUTE(SUBSTITUTE(SUBSTITUTE(SUBSTITUTE($A412," ",""),"-",""),".",""),"/",""))</f>
        <v/>
      </c>
      <c r="C412" s="8">
        <f>IF($F412=1,$H412,"")</f>
        <v/>
      </c>
      <c r="D412" s="7">
        <f>IF($A412="","",IF($F412=0,"Biçim hatalı",IF(FIND(MID($B412,11,1),"0123456789")-1=$H412,"Geçerli","Kontrol hanesi hatalı (doğrusu: "&amp;$H412&amp;")")))</f>
        <v/>
      </c>
      <c r="F412">
        <f>IF($A412="","",IF(AND(LEN($B412)=11,SUMPRODUCT(--ISNUMBER(FIND(MID($B412,{1,2,3,4,5,6,7,8,9,10,11},1),"0123456789")))=11),1,0))</f>
        <v/>
      </c>
      <c r="G412">
        <f>IF($F412=1,VALUE(MID($B412,4,7)),"")</f>
        <v/>
      </c>
      <c r="H412">
        <f>IF($F412=1,MOD($G412,7),"")</f>
        <v/>
      </c>
    </row>
    <row r="413">
      <c r="A413" s="6" t="n"/>
      <c r="B413" s="7">
        <f>IF($A413="","",SUBSTITUTE(SUBSTITUTE(SUBSTITUTE(SUBSTITUTE($A413," ",""),"-",""),".",""),"/",""))</f>
        <v/>
      </c>
      <c r="C413" s="8">
        <f>IF($F413=1,$H413,"")</f>
        <v/>
      </c>
      <c r="D413" s="7">
        <f>IF($A413="","",IF($F413=0,"Biçim hatalı",IF(FIND(MID($B413,11,1),"0123456789")-1=$H413,"Geçerli","Kontrol hanesi hatalı (doğrusu: "&amp;$H413&amp;")")))</f>
        <v/>
      </c>
      <c r="F413">
        <f>IF($A413="","",IF(AND(LEN($B413)=11,SUMPRODUCT(--ISNUMBER(FIND(MID($B413,{1,2,3,4,5,6,7,8,9,10,11},1),"0123456789")))=11),1,0))</f>
        <v/>
      </c>
      <c r="G413">
        <f>IF($F413=1,VALUE(MID($B413,4,7)),"")</f>
        <v/>
      </c>
      <c r="H413">
        <f>IF($F413=1,MOD($G413,7),"")</f>
        <v/>
      </c>
    </row>
    <row r="414">
      <c r="A414" s="6" t="n"/>
      <c r="B414" s="7">
        <f>IF($A414="","",SUBSTITUTE(SUBSTITUTE(SUBSTITUTE(SUBSTITUTE($A414," ",""),"-",""),".",""),"/",""))</f>
        <v/>
      </c>
      <c r="C414" s="8">
        <f>IF($F414=1,$H414,"")</f>
        <v/>
      </c>
      <c r="D414" s="7">
        <f>IF($A414="","",IF($F414=0,"Biçim hatalı",IF(FIND(MID($B414,11,1),"0123456789")-1=$H414,"Geçerli","Kontrol hanesi hatalı (doğrusu: "&amp;$H414&amp;")")))</f>
        <v/>
      </c>
      <c r="F414">
        <f>IF($A414="","",IF(AND(LEN($B414)=11,SUMPRODUCT(--ISNUMBER(FIND(MID($B414,{1,2,3,4,5,6,7,8,9,10,11},1),"0123456789")))=11),1,0))</f>
        <v/>
      </c>
      <c r="G414">
        <f>IF($F414=1,VALUE(MID($B414,4,7)),"")</f>
        <v/>
      </c>
      <c r="H414">
        <f>IF($F414=1,MOD($G414,7),"")</f>
        <v/>
      </c>
    </row>
    <row r="415">
      <c r="A415" s="6" t="n"/>
      <c r="B415" s="7">
        <f>IF($A415="","",SUBSTITUTE(SUBSTITUTE(SUBSTITUTE(SUBSTITUTE($A415," ",""),"-",""),".",""),"/",""))</f>
        <v/>
      </c>
      <c r="C415" s="8">
        <f>IF($F415=1,$H415,"")</f>
        <v/>
      </c>
      <c r="D415" s="7">
        <f>IF($A415="","",IF($F415=0,"Biçim hatalı",IF(FIND(MID($B415,11,1),"0123456789")-1=$H415,"Geçerli","Kontrol hanesi hatalı (doğrusu: "&amp;$H415&amp;")")))</f>
        <v/>
      </c>
      <c r="F415">
        <f>IF($A415="","",IF(AND(LEN($B415)=11,SUMPRODUCT(--ISNUMBER(FIND(MID($B415,{1,2,3,4,5,6,7,8,9,10,11},1),"0123456789")))=11),1,0))</f>
        <v/>
      </c>
      <c r="G415">
        <f>IF($F415=1,VALUE(MID($B415,4,7)),"")</f>
        <v/>
      </c>
      <c r="H415">
        <f>IF($F415=1,MOD($G415,7),"")</f>
        <v/>
      </c>
    </row>
    <row r="416">
      <c r="A416" s="6" t="n"/>
      <c r="B416" s="7">
        <f>IF($A416="","",SUBSTITUTE(SUBSTITUTE(SUBSTITUTE(SUBSTITUTE($A416," ",""),"-",""),".",""),"/",""))</f>
        <v/>
      </c>
      <c r="C416" s="8">
        <f>IF($F416=1,$H416,"")</f>
        <v/>
      </c>
      <c r="D416" s="7">
        <f>IF($A416="","",IF($F416=0,"Biçim hatalı",IF(FIND(MID($B416,11,1),"0123456789")-1=$H416,"Geçerli","Kontrol hanesi hatalı (doğrusu: "&amp;$H416&amp;")")))</f>
        <v/>
      </c>
      <c r="F416">
        <f>IF($A416="","",IF(AND(LEN($B416)=11,SUMPRODUCT(--ISNUMBER(FIND(MID($B416,{1,2,3,4,5,6,7,8,9,10,11},1),"0123456789")))=11),1,0))</f>
        <v/>
      </c>
      <c r="G416">
        <f>IF($F416=1,VALUE(MID($B416,4,7)),"")</f>
        <v/>
      </c>
      <c r="H416">
        <f>IF($F416=1,MOD($G416,7),"")</f>
        <v/>
      </c>
    </row>
    <row r="417">
      <c r="A417" s="6" t="n"/>
      <c r="B417" s="7">
        <f>IF($A417="","",SUBSTITUTE(SUBSTITUTE(SUBSTITUTE(SUBSTITUTE($A417," ",""),"-",""),".",""),"/",""))</f>
        <v/>
      </c>
      <c r="C417" s="8">
        <f>IF($F417=1,$H417,"")</f>
        <v/>
      </c>
      <c r="D417" s="7">
        <f>IF($A417="","",IF($F417=0,"Biçim hatalı",IF(FIND(MID($B417,11,1),"0123456789")-1=$H417,"Geçerli","Kontrol hanesi hatalı (doğrusu: "&amp;$H417&amp;")")))</f>
        <v/>
      </c>
      <c r="F417">
        <f>IF($A417="","",IF(AND(LEN($B417)=11,SUMPRODUCT(--ISNUMBER(FIND(MID($B417,{1,2,3,4,5,6,7,8,9,10,11},1),"0123456789")))=11),1,0))</f>
        <v/>
      </c>
      <c r="G417">
        <f>IF($F417=1,VALUE(MID($B417,4,7)),"")</f>
        <v/>
      </c>
      <c r="H417">
        <f>IF($F417=1,MOD($G417,7),"")</f>
        <v/>
      </c>
    </row>
    <row r="418">
      <c r="A418" s="6" t="n"/>
      <c r="B418" s="7">
        <f>IF($A418="","",SUBSTITUTE(SUBSTITUTE(SUBSTITUTE(SUBSTITUTE($A418," ",""),"-",""),".",""),"/",""))</f>
        <v/>
      </c>
      <c r="C418" s="8">
        <f>IF($F418=1,$H418,"")</f>
        <v/>
      </c>
      <c r="D418" s="7">
        <f>IF($A418="","",IF($F418=0,"Biçim hatalı",IF(FIND(MID($B418,11,1),"0123456789")-1=$H418,"Geçerli","Kontrol hanesi hatalı (doğrusu: "&amp;$H418&amp;")")))</f>
        <v/>
      </c>
      <c r="F418">
        <f>IF($A418="","",IF(AND(LEN($B418)=11,SUMPRODUCT(--ISNUMBER(FIND(MID($B418,{1,2,3,4,5,6,7,8,9,10,11},1),"0123456789")))=11),1,0))</f>
        <v/>
      </c>
      <c r="G418">
        <f>IF($F418=1,VALUE(MID($B418,4,7)),"")</f>
        <v/>
      </c>
      <c r="H418">
        <f>IF($F418=1,MOD($G418,7),"")</f>
        <v/>
      </c>
    </row>
    <row r="419">
      <c r="A419" s="6" t="n"/>
      <c r="B419" s="7">
        <f>IF($A419="","",SUBSTITUTE(SUBSTITUTE(SUBSTITUTE(SUBSTITUTE($A419," ",""),"-",""),".",""),"/",""))</f>
        <v/>
      </c>
      <c r="C419" s="8">
        <f>IF($F419=1,$H419,"")</f>
        <v/>
      </c>
      <c r="D419" s="7">
        <f>IF($A419="","",IF($F419=0,"Biçim hatalı",IF(FIND(MID($B419,11,1),"0123456789")-1=$H419,"Geçerli","Kontrol hanesi hatalı (doğrusu: "&amp;$H419&amp;")")))</f>
        <v/>
      </c>
      <c r="F419">
        <f>IF($A419="","",IF(AND(LEN($B419)=11,SUMPRODUCT(--ISNUMBER(FIND(MID($B419,{1,2,3,4,5,6,7,8,9,10,11},1),"0123456789")))=11),1,0))</f>
        <v/>
      </c>
      <c r="G419">
        <f>IF($F419=1,VALUE(MID($B419,4,7)),"")</f>
        <v/>
      </c>
      <c r="H419">
        <f>IF($F419=1,MOD($G419,7),"")</f>
        <v/>
      </c>
    </row>
    <row r="420">
      <c r="A420" s="6" t="n"/>
      <c r="B420" s="7">
        <f>IF($A420="","",SUBSTITUTE(SUBSTITUTE(SUBSTITUTE(SUBSTITUTE($A420," ",""),"-",""),".",""),"/",""))</f>
        <v/>
      </c>
      <c r="C420" s="8">
        <f>IF($F420=1,$H420,"")</f>
        <v/>
      </c>
      <c r="D420" s="7">
        <f>IF($A420="","",IF($F420=0,"Biçim hatalı",IF(FIND(MID($B420,11,1),"0123456789")-1=$H420,"Geçerli","Kontrol hanesi hatalı (doğrusu: "&amp;$H420&amp;")")))</f>
        <v/>
      </c>
      <c r="F420">
        <f>IF($A420="","",IF(AND(LEN($B420)=11,SUMPRODUCT(--ISNUMBER(FIND(MID($B420,{1,2,3,4,5,6,7,8,9,10,11},1),"0123456789")))=11),1,0))</f>
        <v/>
      </c>
      <c r="G420">
        <f>IF($F420=1,VALUE(MID($B420,4,7)),"")</f>
        <v/>
      </c>
      <c r="H420">
        <f>IF($F420=1,MOD($G420,7),"")</f>
        <v/>
      </c>
    </row>
    <row r="421">
      <c r="A421" s="6" t="n"/>
      <c r="B421" s="7">
        <f>IF($A421="","",SUBSTITUTE(SUBSTITUTE(SUBSTITUTE(SUBSTITUTE($A421," ",""),"-",""),".",""),"/",""))</f>
        <v/>
      </c>
      <c r="C421" s="8">
        <f>IF($F421=1,$H421,"")</f>
        <v/>
      </c>
      <c r="D421" s="7">
        <f>IF($A421="","",IF($F421=0,"Biçim hatalı",IF(FIND(MID($B421,11,1),"0123456789")-1=$H421,"Geçerli","Kontrol hanesi hatalı (doğrusu: "&amp;$H421&amp;")")))</f>
        <v/>
      </c>
      <c r="F421">
        <f>IF($A421="","",IF(AND(LEN($B421)=11,SUMPRODUCT(--ISNUMBER(FIND(MID($B421,{1,2,3,4,5,6,7,8,9,10,11},1),"0123456789")))=11),1,0))</f>
        <v/>
      </c>
      <c r="G421">
        <f>IF($F421=1,VALUE(MID($B421,4,7)),"")</f>
        <v/>
      </c>
      <c r="H421">
        <f>IF($F421=1,MOD($G421,7),"")</f>
        <v/>
      </c>
    </row>
    <row r="422">
      <c r="A422" s="6" t="n"/>
      <c r="B422" s="7">
        <f>IF($A422="","",SUBSTITUTE(SUBSTITUTE(SUBSTITUTE(SUBSTITUTE($A422," ",""),"-",""),".",""),"/",""))</f>
        <v/>
      </c>
      <c r="C422" s="8">
        <f>IF($F422=1,$H422,"")</f>
        <v/>
      </c>
      <c r="D422" s="7">
        <f>IF($A422="","",IF($F422=0,"Biçim hatalı",IF(FIND(MID($B422,11,1),"0123456789")-1=$H422,"Geçerli","Kontrol hanesi hatalı (doğrusu: "&amp;$H422&amp;")")))</f>
        <v/>
      </c>
      <c r="F422">
        <f>IF($A422="","",IF(AND(LEN($B422)=11,SUMPRODUCT(--ISNUMBER(FIND(MID($B422,{1,2,3,4,5,6,7,8,9,10,11},1),"0123456789")))=11),1,0))</f>
        <v/>
      </c>
      <c r="G422">
        <f>IF($F422=1,VALUE(MID($B422,4,7)),"")</f>
        <v/>
      </c>
      <c r="H422">
        <f>IF($F422=1,MOD($G422,7),"")</f>
        <v/>
      </c>
    </row>
    <row r="423">
      <c r="A423" s="6" t="n"/>
      <c r="B423" s="7">
        <f>IF($A423="","",SUBSTITUTE(SUBSTITUTE(SUBSTITUTE(SUBSTITUTE($A423," ",""),"-",""),".",""),"/",""))</f>
        <v/>
      </c>
      <c r="C423" s="8">
        <f>IF($F423=1,$H423,"")</f>
        <v/>
      </c>
      <c r="D423" s="7">
        <f>IF($A423="","",IF($F423=0,"Biçim hatalı",IF(FIND(MID($B423,11,1),"0123456789")-1=$H423,"Geçerli","Kontrol hanesi hatalı (doğrusu: "&amp;$H423&amp;")")))</f>
        <v/>
      </c>
      <c r="F423">
        <f>IF($A423="","",IF(AND(LEN($B423)=11,SUMPRODUCT(--ISNUMBER(FIND(MID($B423,{1,2,3,4,5,6,7,8,9,10,11},1),"0123456789")))=11),1,0))</f>
        <v/>
      </c>
      <c r="G423">
        <f>IF($F423=1,VALUE(MID($B423,4,7)),"")</f>
        <v/>
      </c>
      <c r="H423">
        <f>IF($F423=1,MOD($G423,7),"")</f>
        <v/>
      </c>
    </row>
    <row r="424">
      <c r="A424" s="6" t="n"/>
      <c r="B424" s="7">
        <f>IF($A424="","",SUBSTITUTE(SUBSTITUTE(SUBSTITUTE(SUBSTITUTE($A424," ",""),"-",""),".",""),"/",""))</f>
        <v/>
      </c>
      <c r="C424" s="8">
        <f>IF($F424=1,$H424,"")</f>
        <v/>
      </c>
      <c r="D424" s="7">
        <f>IF($A424="","",IF($F424=0,"Biçim hatalı",IF(FIND(MID($B424,11,1),"0123456789")-1=$H424,"Geçerli","Kontrol hanesi hatalı (doğrusu: "&amp;$H424&amp;")")))</f>
        <v/>
      </c>
      <c r="F424">
        <f>IF($A424="","",IF(AND(LEN($B424)=11,SUMPRODUCT(--ISNUMBER(FIND(MID($B424,{1,2,3,4,5,6,7,8,9,10,11},1),"0123456789")))=11),1,0))</f>
        <v/>
      </c>
      <c r="G424">
        <f>IF($F424=1,VALUE(MID($B424,4,7)),"")</f>
        <v/>
      </c>
      <c r="H424">
        <f>IF($F424=1,MOD($G424,7),"")</f>
        <v/>
      </c>
    </row>
    <row r="425">
      <c r="A425" s="6" t="n"/>
      <c r="B425" s="7">
        <f>IF($A425="","",SUBSTITUTE(SUBSTITUTE(SUBSTITUTE(SUBSTITUTE($A425," ",""),"-",""),".",""),"/",""))</f>
        <v/>
      </c>
      <c r="C425" s="8">
        <f>IF($F425=1,$H425,"")</f>
        <v/>
      </c>
      <c r="D425" s="7">
        <f>IF($A425="","",IF($F425=0,"Biçim hatalı",IF(FIND(MID($B425,11,1),"0123456789")-1=$H425,"Geçerli","Kontrol hanesi hatalı (doğrusu: "&amp;$H425&amp;")")))</f>
        <v/>
      </c>
      <c r="F425">
        <f>IF($A425="","",IF(AND(LEN($B425)=11,SUMPRODUCT(--ISNUMBER(FIND(MID($B425,{1,2,3,4,5,6,7,8,9,10,11},1),"0123456789")))=11),1,0))</f>
        <v/>
      </c>
      <c r="G425">
        <f>IF($F425=1,VALUE(MID($B425,4,7)),"")</f>
        <v/>
      </c>
      <c r="H425">
        <f>IF($F425=1,MOD($G425,7),"")</f>
        <v/>
      </c>
    </row>
    <row r="426">
      <c r="A426" s="6" t="n"/>
      <c r="B426" s="7">
        <f>IF($A426="","",SUBSTITUTE(SUBSTITUTE(SUBSTITUTE(SUBSTITUTE($A426," ",""),"-",""),".",""),"/",""))</f>
        <v/>
      </c>
      <c r="C426" s="8">
        <f>IF($F426=1,$H426,"")</f>
        <v/>
      </c>
      <c r="D426" s="7">
        <f>IF($A426="","",IF($F426=0,"Biçim hatalı",IF(FIND(MID($B426,11,1),"0123456789")-1=$H426,"Geçerli","Kontrol hanesi hatalı (doğrusu: "&amp;$H426&amp;")")))</f>
        <v/>
      </c>
      <c r="F426">
        <f>IF($A426="","",IF(AND(LEN($B426)=11,SUMPRODUCT(--ISNUMBER(FIND(MID($B426,{1,2,3,4,5,6,7,8,9,10,11},1),"0123456789")))=11),1,0))</f>
        <v/>
      </c>
      <c r="G426">
        <f>IF($F426=1,VALUE(MID($B426,4,7)),"")</f>
        <v/>
      </c>
      <c r="H426">
        <f>IF($F426=1,MOD($G426,7),"")</f>
        <v/>
      </c>
    </row>
    <row r="427">
      <c r="A427" s="6" t="n"/>
      <c r="B427" s="7">
        <f>IF($A427="","",SUBSTITUTE(SUBSTITUTE(SUBSTITUTE(SUBSTITUTE($A427," ",""),"-",""),".",""),"/",""))</f>
        <v/>
      </c>
      <c r="C427" s="8">
        <f>IF($F427=1,$H427,"")</f>
        <v/>
      </c>
      <c r="D427" s="7">
        <f>IF($A427="","",IF($F427=0,"Biçim hatalı",IF(FIND(MID($B427,11,1),"0123456789")-1=$H427,"Geçerli","Kontrol hanesi hatalı (doğrusu: "&amp;$H427&amp;")")))</f>
        <v/>
      </c>
      <c r="F427">
        <f>IF($A427="","",IF(AND(LEN($B427)=11,SUMPRODUCT(--ISNUMBER(FIND(MID($B427,{1,2,3,4,5,6,7,8,9,10,11},1),"0123456789")))=11),1,0))</f>
        <v/>
      </c>
      <c r="G427">
        <f>IF($F427=1,VALUE(MID($B427,4,7)),"")</f>
        <v/>
      </c>
      <c r="H427">
        <f>IF($F427=1,MOD($G427,7),"")</f>
        <v/>
      </c>
    </row>
    <row r="428">
      <c r="A428" s="6" t="n"/>
      <c r="B428" s="7">
        <f>IF($A428="","",SUBSTITUTE(SUBSTITUTE(SUBSTITUTE(SUBSTITUTE($A428," ",""),"-",""),".",""),"/",""))</f>
        <v/>
      </c>
      <c r="C428" s="8">
        <f>IF($F428=1,$H428,"")</f>
        <v/>
      </c>
      <c r="D428" s="7">
        <f>IF($A428="","",IF($F428=0,"Biçim hatalı",IF(FIND(MID($B428,11,1),"0123456789")-1=$H428,"Geçerli","Kontrol hanesi hatalı (doğrusu: "&amp;$H428&amp;")")))</f>
        <v/>
      </c>
      <c r="F428">
        <f>IF($A428="","",IF(AND(LEN($B428)=11,SUMPRODUCT(--ISNUMBER(FIND(MID($B428,{1,2,3,4,5,6,7,8,9,10,11},1),"0123456789")))=11),1,0))</f>
        <v/>
      </c>
      <c r="G428">
        <f>IF($F428=1,VALUE(MID($B428,4,7)),"")</f>
        <v/>
      </c>
      <c r="H428">
        <f>IF($F428=1,MOD($G428,7),"")</f>
        <v/>
      </c>
    </row>
    <row r="429">
      <c r="A429" s="6" t="n"/>
      <c r="B429" s="7">
        <f>IF($A429="","",SUBSTITUTE(SUBSTITUTE(SUBSTITUTE(SUBSTITUTE($A429," ",""),"-",""),".",""),"/",""))</f>
        <v/>
      </c>
      <c r="C429" s="8">
        <f>IF($F429=1,$H429,"")</f>
        <v/>
      </c>
      <c r="D429" s="7">
        <f>IF($A429="","",IF($F429=0,"Biçim hatalı",IF(FIND(MID($B429,11,1),"0123456789")-1=$H429,"Geçerli","Kontrol hanesi hatalı (doğrusu: "&amp;$H429&amp;")")))</f>
        <v/>
      </c>
      <c r="F429">
        <f>IF($A429="","",IF(AND(LEN($B429)=11,SUMPRODUCT(--ISNUMBER(FIND(MID($B429,{1,2,3,4,5,6,7,8,9,10,11},1),"0123456789")))=11),1,0))</f>
        <v/>
      </c>
      <c r="G429">
        <f>IF($F429=1,VALUE(MID($B429,4,7)),"")</f>
        <v/>
      </c>
      <c r="H429">
        <f>IF($F429=1,MOD($G429,7),"")</f>
        <v/>
      </c>
    </row>
    <row r="430">
      <c r="A430" s="6" t="n"/>
      <c r="B430" s="7">
        <f>IF($A430="","",SUBSTITUTE(SUBSTITUTE(SUBSTITUTE(SUBSTITUTE($A430," ",""),"-",""),".",""),"/",""))</f>
        <v/>
      </c>
      <c r="C430" s="8">
        <f>IF($F430=1,$H430,"")</f>
        <v/>
      </c>
      <c r="D430" s="7">
        <f>IF($A430="","",IF($F430=0,"Biçim hatalı",IF(FIND(MID($B430,11,1),"0123456789")-1=$H430,"Geçerli","Kontrol hanesi hatalı (doğrusu: "&amp;$H430&amp;")")))</f>
        <v/>
      </c>
      <c r="F430">
        <f>IF($A430="","",IF(AND(LEN($B430)=11,SUMPRODUCT(--ISNUMBER(FIND(MID($B430,{1,2,3,4,5,6,7,8,9,10,11},1),"0123456789")))=11),1,0))</f>
        <v/>
      </c>
      <c r="G430">
        <f>IF($F430=1,VALUE(MID($B430,4,7)),"")</f>
        <v/>
      </c>
      <c r="H430">
        <f>IF($F430=1,MOD($G430,7),"")</f>
        <v/>
      </c>
    </row>
    <row r="431">
      <c r="A431" s="6" t="n"/>
      <c r="B431" s="7">
        <f>IF($A431="","",SUBSTITUTE(SUBSTITUTE(SUBSTITUTE(SUBSTITUTE($A431," ",""),"-",""),".",""),"/",""))</f>
        <v/>
      </c>
      <c r="C431" s="8">
        <f>IF($F431=1,$H431,"")</f>
        <v/>
      </c>
      <c r="D431" s="7">
        <f>IF($A431="","",IF($F431=0,"Biçim hatalı",IF(FIND(MID($B431,11,1),"0123456789")-1=$H431,"Geçerli","Kontrol hanesi hatalı (doğrusu: "&amp;$H431&amp;")")))</f>
        <v/>
      </c>
      <c r="F431">
        <f>IF($A431="","",IF(AND(LEN($B431)=11,SUMPRODUCT(--ISNUMBER(FIND(MID($B431,{1,2,3,4,5,6,7,8,9,10,11},1),"0123456789")))=11),1,0))</f>
        <v/>
      </c>
      <c r="G431">
        <f>IF($F431=1,VALUE(MID($B431,4,7)),"")</f>
        <v/>
      </c>
      <c r="H431">
        <f>IF($F431=1,MOD($G431,7),"")</f>
        <v/>
      </c>
    </row>
    <row r="432">
      <c r="A432" s="6" t="n"/>
      <c r="B432" s="7">
        <f>IF($A432="","",SUBSTITUTE(SUBSTITUTE(SUBSTITUTE(SUBSTITUTE($A432," ",""),"-",""),".",""),"/",""))</f>
        <v/>
      </c>
      <c r="C432" s="8">
        <f>IF($F432=1,$H432,"")</f>
        <v/>
      </c>
      <c r="D432" s="7">
        <f>IF($A432="","",IF($F432=0,"Biçim hatalı",IF(FIND(MID($B432,11,1),"0123456789")-1=$H432,"Geçerli","Kontrol hanesi hatalı (doğrusu: "&amp;$H432&amp;")")))</f>
        <v/>
      </c>
      <c r="F432">
        <f>IF($A432="","",IF(AND(LEN($B432)=11,SUMPRODUCT(--ISNUMBER(FIND(MID($B432,{1,2,3,4,5,6,7,8,9,10,11},1),"0123456789")))=11),1,0))</f>
        <v/>
      </c>
      <c r="G432">
        <f>IF($F432=1,VALUE(MID($B432,4,7)),"")</f>
        <v/>
      </c>
      <c r="H432">
        <f>IF($F432=1,MOD($G432,7),"")</f>
        <v/>
      </c>
    </row>
    <row r="433">
      <c r="A433" s="6" t="n"/>
      <c r="B433" s="7">
        <f>IF($A433="","",SUBSTITUTE(SUBSTITUTE(SUBSTITUTE(SUBSTITUTE($A433," ",""),"-",""),".",""),"/",""))</f>
        <v/>
      </c>
      <c r="C433" s="8">
        <f>IF($F433=1,$H433,"")</f>
        <v/>
      </c>
      <c r="D433" s="7">
        <f>IF($A433="","",IF($F433=0,"Biçim hatalı",IF(FIND(MID($B433,11,1),"0123456789")-1=$H433,"Geçerli","Kontrol hanesi hatalı (doğrusu: "&amp;$H433&amp;")")))</f>
        <v/>
      </c>
      <c r="F433">
        <f>IF($A433="","",IF(AND(LEN($B433)=11,SUMPRODUCT(--ISNUMBER(FIND(MID($B433,{1,2,3,4,5,6,7,8,9,10,11},1),"0123456789")))=11),1,0))</f>
        <v/>
      </c>
      <c r="G433">
        <f>IF($F433=1,VALUE(MID($B433,4,7)),"")</f>
        <v/>
      </c>
      <c r="H433">
        <f>IF($F433=1,MOD($G433,7),"")</f>
        <v/>
      </c>
    </row>
    <row r="434">
      <c r="A434" s="6" t="n"/>
      <c r="B434" s="7">
        <f>IF($A434="","",SUBSTITUTE(SUBSTITUTE(SUBSTITUTE(SUBSTITUTE($A434," ",""),"-",""),".",""),"/",""))</f>
        <v/>
      </c>
      <c r="C434" s="8">
        <f>IF($F434=1,$H434,"")</f>
        <v/>
      </c>
      <c r="D434" s="7">
        <f>IF($A434="","",IF($F434=0,"Biçim hatalı",IF(FIND(MID($B434,11,1),"0123456789")-1=$H434,"Geçerli","Kontrol hanesi hatalı (doğrusu: "&amp;$H434&amp;")")))</f>
        <v/>
      </c>
      <c r="F434">
        <f>IF($A434="","",IF(AND(LEN($B434)=11,SUMPRODUCT(--ISNUMBER(FIND(MID($B434,{1,2,3,4,5,6,7,8,9,10,11},1),"0123456789")))=11),1,0))</f>
        <v/>
      </c>
      <c r="G434">
        <f>IF($F434=1,VALUE(MID($B434,4,7)),"")</f>
        <v/>
      </c>
      <c r="H434">
        <f>IF($F434=1,MOD($G434,7),"")</f>
        <v/>
      </c>
    </row>
    <row r="435">
      <c r="A435" s="6" t="n"/>
      <c r="B435" s="7">
        <f>IF($A435="","",SUBSTITUTE(SUBSTITUTE(SUBSTITUTE(SUBSTITUTE($A435," ",""),"-",""),".",""),"/",""))</f>
        <v/>
      </c>
      <c r="C435" s="8">
        <f>IF($F435=1,$H435,"")</f>
        <v/>
      </c>
      <c r="D435" s="7">
        <f>IF($A435="","",IF($F435=0,"Biçim hatalı",IF(FIND(MID($B435,11,1),"0123456789")-1=$H435,"Geçerli","Kontrol hanesi hatalı (doğrusu: "&amp;$H435&amp;")")))</f>
        <v/>
      </c>
      <c r="F435">
        <f>IF($A435="","",IF(AND(LEN($B435)=11,SUMPRODUCT(--ISNUMBER(FIND(MID($B435,{1,2,3,4,5,6,7,8,9,10,11},1),"0123456789")))=11),1,0))</f>
        <v/>
      </c>
      <c r="G435">
        <f>IF($F435=1,VALUE(MID($B435,4,7)),"")</f>
        <v/>
      </c>
      <c r="H435">
        <f>IF($F435=1,MOD($G435,7),"")</f>
        <v/>
      </c>
    </row>
    <row r="436">
      <c r="A436" s="6" t="n"/>
      <c r="B436" s="7">
        <f>IF($A436="","",SUBSTITUTE(SUBSTITUTE(SUBSTITUTE(SUBSTITUTE($A436," ",""),"-",""),".",""),"/",""))</f>
        <v/>
      </c>
      <c r="C436" s="8">
        <f>IF($F436=1,$H436,"")</f>
        <v/>
      </c>
      <c r="D436" s="7">
        <f>IF($A436="","",IF($F436=0,"Biçim hatalı",IF(FIND(MID($B436,11,1),"0123456789")-1=$H436,"Geçerli","Kontrol hanesi hatalı (doğrusu: "&amp;$H436&amp;")")))</f>
        <v/>
      </c>
      <c r="F436">
        <f>IF($A436="","",IF(AND(LEN($B436)=11,SUMPRODUCT(--ISNUMBER(FIND(MID($B436,{1,2,3,4,5,6,7,8,9,10,11},1),"0123456789")))=11),1,0))</f>
        <v/>
      </c>
      <c r="G436">
        <f>IF($F436=1,VALUE(MID($B436,4,7)),"")</f>
        <v/>
      </c>
      <c r="H436">
        <f>IF($F436=1,MOD($G436,7),"")</f>
        <v/>
      </c>
    </row>
    <row r="437">
      <c r="A437" s="6" t="n"/>
      <c r="B437" s="7">
        <f>IF($A437="","",SUBSTITUTE(SUBSTITUTE(SUBSTITUTE(SUBSTITUTE($A437," ",""),"-",""),".",""),"/",""))</f>
        <v/>
      </c>
      <c r="C437" s="8">
        <f>IF($F437=1,$H437,"")</f>
        <v/>
      </c>
      <c r="D437" s="7">
        <f>IF($A437="","",IF($F437=0,"Biçim hatalı",IF(FIND(MID($B437,11,1),"0123456789")-1=$H437,"Geçerli","Kontrol hanesi hatalı (doğrusu: "&amp;$H437&amp;")")))</f>
        <v/>
      </c>
      <c r="F437">
        <f>IF($A437="","",IF(AND(LEN($B437)=11,SUMPRODUCT(--ISNUMBER(FIND(MID($B437,{1,2,3,4,5,6,7,8,9,10,11},1),"0123456789")))=11),1,0))</f>
        <v/>
      </c>
      <c r="G437">
        <f>IF($F437=1,VALUE(MID($B437,4,7)),"")</f>
        <v/>
      </c>
      <c r="H437">
        <f>IF($F437=1,MOD($G437,7),"")</f>
        <v/>
      </c>
    </row>
    <row r="438">
      <c r="A438" s="6" t="n"/>
      <c r="B438" s="7">
        <f>IF($A438="","",SUBSTITUTE(SUBSTITUTE(SUBSTITUTE(SUBSTITUTE($A438," ",""),"-",""),".",""),"/",""))</f>
        <v/>
      </c>
      <c r="C438" s="8">
        <f>IF($F438=1,$H438,"")</f>
        <v/>
      </c>
      <c r="D438" s="7">
        <f>IF($A438="","",IF($F438=0,"Biçim hatalı",IF(FIND(MID($B438,11,1),"0123456789")-1=$H438,"Geçerli","Kontrol hanesi hatalı (doğrusu: "&amp;$H438&amp;")")))</f>
        <v/>
      </c>
      <c r="F438">
        <f>IF($A438="","",IF(AND(LEN($B438)=11,SUMPRODUCT(--ISNUMBER(FIND(MID($B438,{1,2,3,4,5,6,7,8,9,10,11},1),"0123456789")))=11),1,0))</f>
        <v/>
      </c>
      <c r="G438">
        <f>IF($F438=1,VALUE(MID($B438,4,7)),"")</f>
        <v/>
      </c>
      <c r="H438">
        <f>IF($F438=1,MOD($G438,7),"")</f>
        <v/>
      </c>
    </row>
    <row r="439">
      <c r="A439" s="6" t="n"/>
      <c r="B439" s="7">
        <f>IF($A439="","",SUBSTITUTE(SUBSTITUTE(SUBSTITUTE(SUBSTITUTE($A439," ",""),"-",""),".",""),"/",""))</f>
        <v/>
      </c>
      <c r="C439" s="8">
        <f>IF($F439=1,$H439,"")</f>
        <v/>
      </c>
      <c r="D439" s="7">
        <f>IF($A439="","",IF($F439=0,"Biçim hatalı",IF(FIND(MID($B439,11,1),"0123456789")-1=$H439,"Geçerli","Kontrol hanesi hatalı (doğrusu: "&amp;$H439&amp;")")))</f>
        <v/>
      </c>
      <c r="F439">
        <f>IF($A439="","",IF(AND(LEN($B439)=11,SUMPRODUCT(--ISNUMBER(FIND(MID($B439,{1,2,3,4,5,6,7,8,9,10,11},1),"0123456789")))=11),1,0))</f>
        <v/>
      </c>
      <c r="G439">
        <f>IF($F439=1,VALUE(MID($B439,4,7)),"")</f>
        <v/>
      </c>
      <c r="H439">
        <f>IF($F439=1,MOD($G439,7),"")</f>
        <v/>
      </c>
    </row>
    <row r="440">
      <c r="A440" s="6" t="n"/>
      <c r="B440" s="7">
        <f>IF($A440="","",SUBSTITUTE(SUBSTITUTE(SUBSTITUTE(SUBSTITUTE($A440," ",""),"-",""),".",""),"/",""))</f>
        <v/>
      </c>
      <c r="C440" s="8">
        <f>IF($F440=1,$H440,"")</f>
        <v/>
      </c>
      <c r="D440" s="7">
        <f>IF($A440="","",IF($F440=0,"Biçim hatalı",IF(FIND(MID($B440,11,1),"0123456789")-1=$H440,"Geçerli","Kontrol hanesi hatalı (doğrusu: "&amp;$H440&amp;")")))</f>
        <v/>
      </c>
      <c r="F440">
        <f>IF($A440="","",IF(AND(LEN($B440)=11,SUMPRODUCT(--ISNUMBER(FIND(MID($B440,{1,2,3,4,5,6,7,8,9,10,11},1),"0123456789")))=11),1,0))</f>
        <v/>
      </c>
      <c r="G440">
        <f>IF($F440=1,VALUE(MID($B440,4,7)),"")</f>
        <v/>
      </c>
      <c r="H440">
        <f>IF($F440=1,MOD($G440,7),"")</f>
        <v/>
      </c>
    </row>
    <row r="441">
      <c r="A441" s="6" t="n"/>
      <c r="B441" s="7">
        <f>IF($A441="","",SUBSTITUTE(SUBSTITUTE(SUBSTITUTE(SUBSTITUTE($A441," ",""),"-",""),".",""),"/",""))</f>
        <v/>
      </c>
      <c r="C441" s="8">
        <f>IF($F441=1,$H441,"")</f>
        <v/>
      </c>
      <c r="D441" s="7">
        <f>IF($A441="","",IF($F441=0,"Biçim hatalı",IF(FIND(MID($B441,11,1),"0123456789")-1=$H441,"Geçerli","Kontrol hanesi hatalı (doğrusu: "&amp;$H441&amp;")")))</f>
        <v/>
      </c>
      <c r="F441">
        <f>IF($A441="","",IF(AND(LEN($B441)=11,SUMPRODUCT(--ISNUMBER(FIND(MID($B441,{1,2,3,4,5,6,7,8,9,10,11},1),"0123456789")))=11),1,0))</f>
        <v/>
      </c>
      <c r="G441">
        <f>IF($F441=1,VALUE(MID($B441,4,7)),"")</f>
        <v/>
      </c>
      <c r="H441">
        <f>IF($F441=1,MOD($G441,7),"")</f>
        <v/>
      </c>
    </row>
    <row r="442">
      <c r="A442" s="6" t="n"/>
      <c r="B442" s="7">
        <f>IF($A442="","",SUBSTITUTE(SUBSTITUTE(SUBSTITUTE(SUBSTITUTE($A442," ",""),"-",""),".",""),"/",""))</f>
        <v/>
      </c>
      <c r="C442" s="8">
        <f>IF($F442=1,$H442,"")</f>
        <v/>
      </c>
      <c r="D442" s="7">
        <f>IF($A442="","",IF($F442=0,"Biçim hatalı",IF(FIND(MID($B442,11,1),"0123456789")-1=$H442,"Geçerli","Kontrol hanesi hatalı (doğrusu: "&amp;$H442&amp;")")))</f>
        <v/>
      </c>
      <c r="F442">
        <f>IF($A442="","",IF(AND(LEN($B442)=11,SUMPRODUCT(--ISNUMBER(FIND(MID($B442,{1,2,3,4,5,6,7,8,9,10,11},1),"0123456789")))=11),1,0))</f>
        <v/>
      </c>
      <c r="G442">
        <f>IF($F442=1,VALUE(MID($B442,4,7)),"")</f>
        <v/>
      </c>
      <c r="H442">
        <f>IF($F442=1,MOD($G442,7),"")</f>
        <v/>
      </c>
    </row>
    <row r="443">
      <c r="A443" s="6" t="n"/>
      <c r="B443" s="7">
        <f>IF($A443="","",SUBSTITUTE(SUBSTITUTE(SUBSTITUTE(SUBSTITUTE($A443," ",""),"-",""),".",""),"/",""))</f>
        <v/>
      </c>
      <c r="C443" s="8">
        <f>IF($F443=1,$H443,"")</f>
        <v/>
      </c>
      <c r="D443" s="7">
        <f>IF($A443="","",IF($F443=0,"Biçim hatalı",IF(FIND(MID($B443,11,1),"0123456789")-1=$H443,"Geçerli","Kontrol hanesi hatalı (doğrusu: "&amp;$H443&amp;")")))</f>
        <v/>
      </c>
      <c r="F443">
        <f>IF($A443="","",IF(AND(LEN($B443)=11,SUMPRODUCT(--ISNUMBER(FIND(MID($B443,{1,2,3,4,5,6,7,8,9,10,11},1),"0123456789")))=11),1,0))</f>
        <v/>
      </c>
      <c r="G443">
        <f>IF($F443=1,VALUE(MID($B443,4,7)),"")</f>
        <v/>
      </c>
      <c r="H443">
        <f>IF($F443=1,MOD($G443,7),"")</f>
        <v/>
      </c>
    </row>
    <row r="444">
      <c r="A444" s="6" t="n"/>
      <c r="B444" s="7">
        <f>IF($A444="","",SUBSTITUTE(SUBSTITUTE(SUBSTITUTE(SUBSTITUTE($A444," ",""),"-",""),".",""),"/",""))</f>
        <v/>
      </c>
      <c r="C444" s="8">
        <f>IF($F444=1,$H444,"")</f>
        <v/>
      </c>
      <c r="D444" s="7">
        <f>IF($A444="","",IF($F444=0,"Biçim hatalı",IF(FIND(MID($B444,11,1),"0123456789")-1=$H444,"Geçerli","Kontrol hanesi hatalı (doğrusu: "&amp;$H444&amp;")")))</f>
        <v/>
      </c>
      <c r="F444">
        <f>IF($A444="","",IF(AND(LEN($B444)=11,SUMPRODUCT(--ISNUMBER(FIND(MID($B444,{1,2,3,4,5,6,7,8,9,10,11},1),"0123456789")))=11),1,0))</f>
        <v/>
      </c>
      <c r="G444">
        <f>IF($F444=1,VALUE(MID($B444,4,7)),"")</f>
        <v/>
      </c>
      <c r="H444">
        <f>IF($F444=1,MOD($G444,7),"")</f>
        <v/>
      </c>
    </row>
    <row r="445">
      <c r="A445" s="6" t="n"/>
      <c r="B445" s="7">
        <f>IF($A445="","",SUBSTITUTE(SUBSTITUTE(SUBSTITUTE(SUBSTITUTE($A445," ",""),"-",""),".",""),"/",""))</f>
        <v/>
      </c>
      <c r="C445" s="8">
        <f>IF($F445=1,$H445,"")</f>
        <v/>
      </c>
      <c r="D445" s="7">
        <f>IF($A445="","",IF($F445=0,"Biçim hatalı",IF(FIND(MID($B445,11,1),"0123456789")-1=$H445,"Geçerli","Kontrol hanesi hatalı (doğrusu: "&amp;$H445&amp;")")))</f>
        <v/>
      </c>
      <c r="F445">
        <f>IF($A445="","",IF(AND(LEN($B445)=11,SUMPRODUCT(--ISNUMBER(FIND(MID($B445,{1,2,3,4,5,6,7,8,9,10,11},1),"0123456789")))=11),1,0))</f>
        <v/>
      </c>
      <c r="G445">
        <f>IF($F445=1,VALUE(MID($B445,4,7)),"")</f>
        <v/>
      </c>
      <c r="H445">
        <f>IF($F445=1,MOD($G445,7),"")</f>
        <v/>
      </c>
    </row>
    <row r="446">
      <c r="A446" s="6" t="n"/>
      <c r="B446" s="7">
        <f>IF($A446="","",SUBSTITUTE(SUBSTITUTE(SUBSTITUTE(SUBSTITUTE($A446," ",""),"-",""),".",""),"/",""))</f>
        <v/>
      </c>
      <c r="C446" s="8">
        <f>IF($F446=1,$H446,"")</f>
        <v/>
      </c>
      <c r="D446" s="7">
        <f>IF($A446="","",IF($F446=0,"Biçim hatalı",IF(FIND(MID($B446,11,1),"0123456789")-1=$H446,"Geçerli","Kontrol hanesi hatalı (doğrusu: "&amp;$H446&amp;")")))</f>
        <v/>
      </c>
      <c r="F446">
        <f>IF($A446="","",IF(AND(LEN($B446)=11,SUMPRODUCT(--ISNUMBER(FIND(MID($B446,{1,2,3,4,5,6,7,8,9,10,11},1),"0123456789")))=11),1,0))</f>
        <v/>
      </c>
      <c r="G446">
        <f>IF($F446=1,VALUE(MID($B446,4,7)),"")</f>
        <v/>
      </c>
      <c r="H446">
        <f>IF($F446=1,MOD($G446,7),"")</f>
        <v/>
      </c>
    </row>
    <row r="447">
      <c r="A447" s="6" t="n"/>
      <c r="B447" s="7">
        <f>IF($A447="","",SUBSTITUTE(SUBSTITUTE(SUBSTITUTE(SUBSTITUTE($A447," ",""),"-",""),".",""),"/",""))</f>
        <v/>
      </c>
      <c r="C447" s="8">
        <f>IF($F447=1,$H447,"")</f>
        <v/>
      </c>
      <c r="D447" s="7">
        <f>IF($A447="","",IF($F447=0,"Biçim hatalı",IF(FIND(MID($B447,11,1),"0123456789")-1=$H447,"Geçerli","Kontrol hanesi hatalı (doğrusu: "&amp;$H447&amp;")")))</f>
        <v/>
      </c>
      <c r="F447">
        <f>IF($A447="","",IF(AND(LEN($B447)=11,SUMPRODUCT(--ISNUMBER(FIND(MID($B447,{1,2,3,4,5,6,7,8,9,10,11},1),"0123456789")))=11),1,0))</f>
        <v/>
      </c>
      <c r="G447">
        <f>IF($F447=1,VALUE(MID($B447,4,7)),"")</f>
        <v/>
      </c>
      <c r="H447">
        <f>IF($F447=1,MOD($G447,7),"")</f>
        <v/>
      </c>
    </row>
    <row r="448">
      <c r="A448" s="6" t="n"/>
      <c r="B448" s="7">
        <f>IF($A448="","",SUBSTITUTE(SUBSTITUTE(SUBSTITUTE(SUBSTITUTE($A448," ",""),"-",""),".",""),"/",""))</f>
        <v/>
      </c>
      <c r="C448" s="8">
        <f>IF($F448=1,$H448,"")</f>
        <v/>
      </c>
      <c r="D448" s="7">
        <f>IF($A448="","",IF($F448=0,"Biçim hatalı",IF(FIND(MID($B448,11,1),"0123456789")-1=$H448,"Geçerli","Kontrol hanesi hatalı (doğrusu: "&amp;$H448&amp;")")))</f>
        <v/>
      </c>
      <c r="F448">
        <f>IF($A448="","",IF(AND(LEN($B448)=11,SUMPRODUCT(--ISNUMBER(FIND(MID($B448,{1,2,3,4,5,6,7,8,9,10,11},1),"0123456789")))=11),1,0))</f>
        <v/>
      </c>
      <c r="G448">
        <f>IF($F448=1,VALUE(MID($B448,4,7)),"")</f>
        <v/>
      </c>
      <c r="H448">
        <f>IF($F448=1,MOD($G448,7),"")</f>
        <v/>
      </c>
    </row>
    <row r="449">
      <c r="A449" s="6" t="n"/>
      <c r="B449" s="7">
        <f>IF($A449="","",SUBSTITUTE(SUBSTITUTE(SUBSTITUTE(SUBSTITUTE($A449," ",""),"-",""),".",""),"/",""))</f>
        <v/>
      </c>
      <c r="C449" s="8">
        <f>IF($F449=1,$H449,"")</f>
        <v/>
      </c>
      <c r="D449" s="7">
        <f>IF($A449="","",IF($F449=0,"Biçim hatalı",IF(FIND(MID($B449,11,1),"0123456789")-1=$H449,"Geçerli","Kontrol hanesi hatalı (doğrusu: "&amp;$H449&amp;")")))</f>
        <v/>
      </c>
      <c r="F449">
        <f>IF($A449="","",IF(AND(LEN($B449)=11,SUMPRODUCT(--ISNUMBER(FIND(MID($B449,{1,2,3,4,5,6,7,8,9,10,11},1),"0123456789")))=11),1,0))</f>
        <v/>
      </c>
      <c r="G449">
        <f>IF($F449=1,VALUE(MID($B449,4,7)),"")</f>
        <v/>
      </c>
      <c r="H449">
        <f>IF($F449=1,MOD($G449,7),"")</f>
        <v/>
      </c>
    </row>
    <row r="450">
      <c r="A450" s="6" t="n"/>
      <c r="B450" s="7">
        <f>IF($A450="","",SUBSTITUTE(SUBSTITUTE(SUBSTITUTE(SUBSTITUTE($A450," ",""),"-",""),".",""),"/",""))</f>
        <v/>
      </c>
      <c r="C450" s="8">
        <f>IF($F450=1,$H450,"")</f>
        <v/>
      </c>
      <c r="D450" s="7">
        <f>IF($A450="","",IF($F450=0,"Biçim hatalı",IF(FIND(MID($B450,11,1),"0123456789")-1=$H450,"Geçerli","Kontrol hanesi hatalı (doğrusu: "&amp;$H450&amp;")")))</f>
        <v/>
      </c>
      <c r="F450">
        <f>IF($A450="","",IF(AND(LEN($B450)=11,SUMPRODUCT(--ISNUMBER(FIND(MID($B450,{1,2,3,4,5,6,7,8,9,10,11},1),"0123456789")))=11),1,0))</f>
        <v/>
      </c>
      <c r="G450">
        <f>IF($F450=1,VALUE(MID($B450,4,7)),"")</f>
        <v/>
      </c>
      <c r="H450">
        <f>IF($F450=1,MOD($G450,7),"")</f>
        <v/>
      </c>
    </row>
    <row r="451">
      <c r="A451" s="6" t="n"/>
      <c r="B451" s="7">
        <f>IF($A451="","",SUBSTITUTE(SUBSTITUTE(SUBSTITUTE(SUBSTITUTE($A451," ",""),"-",""),".",""),"/",""))</f>
        <v/>
      </c>
      <c r="C451" s="8">
        <f>IF($F451=1,$H451,"")</f>
        <v/>
      </c>
      <c r="D451" s="7">
        <f>IF($A451="","",IF($F451=0,"Biçim hatalı",IF(FIND(MID($B451,11,1),"0123456789")-1=$H451,"Geçerli","Kontrol hanesi hatalı (doğrusu: "&amp;$H451&amp;")")))</f>
        <v/>
      </c>
      <c r="F451">
        <f>IF($A451="","",IF(AND(LEN($B451)=11,SUMPRODUCT(--ISNUMBER(FIND(MID($B451,{1,2,3,4,5,6,7,8,9,10,11},1),"0123456789")))=11),1,0))</f>
        <v/>
      </c>
      <c r="G451">
        <f>IF($F451=1,VALUE(MID($B451,4,7)),"")</f>
        <v/>
      </c>
      <c r="H451">
        <f>IF($F451=1,MOD($G451,7),"")</f>
        <v/>
      </c>
    </row>
    <row r="452">
      <c r="A452" s="6" t="n"/>
      <c r="B452" s="7">
        <f>IF($A452="","",SUBSTITUTE(SUBSTITUTE(SUBSTITUTE(SUBSTITUTE($A452," ",""),"-",""),".",""),"/",""))</f>
        <v/>
      </c>
      <c r="C452" s="8">
        <f>IF($F452=1,$H452,"")</f>
        <v/>
      </c>
      <c r="D452" s="7">
        <f>IF($A452="","",IF($F452=0,"Biçim hatalı",IF(FIND(MID($B452,11,1),"0123456789")-1=$H452,"Geçerli","Kontrol hanesi hatalı (doğrusu: "&amp;$H452&amp;")")))</f>
        <v/>
      </c>
      <c r="F452">
        <f>IF($A452="","",IF(AND(LEN($B452)=11,SUMPRODUCT(--ISNUMBER(FIND(MID($B452,{1,2,3,4,5,6,7,8,9,10,11},1),"0123456789")))=11),1,0))</f>
        <v/>
      </c>
      <c r="G452">
        <f>IF($F452=1,VALUE(MID($B452,4,7)),"")</f>
        <v/>
      </c>
      <c r="H452">
        <f>IF($F452=1,MOD($G452,7),"")</f>
        <v/>
      </c>
    </row>
    <row r="453">
      <c r="A453" s="6" t="n"/>
      <c r="B453" s="7">
        <f>IF($A453="","",SUBSTITUTE(SUBSTITUTE(SUBSTITUTE(SUBSTITUTE($A453," ",""),"-",""),".",""),"/",""))</f>
        <v/>
      </c>
      <c r="C453" s="8">
        <f>IF($F453=1,$H453,"")</f>
        <v/>
      </c>
      <c r="D453" s="7">
        <f>IF($A453="","",IF($F453=0,"Biçim hatalı",IF(FIND(MID($B453,11,1),"0123456789")-1=$H453,"Geçerli","Kontrol hanesi hatalı (doğrusu: "&amp;$H453&amp;")")))</f>
        <v/>
      </c>
      <c r="F453">
        <f>IF($A453="","",IF(AND(LEN($B453)=11,SUMPRODUCT(--ISNUMBER(FIND(MID($B453,{1,2,3,4,5,6,7,8,9,10,11},1),"0123456789")))=11),1,0))</f>
        <v/>
      </c>
      <c r="G453">
        <f>IF($F453=1,VALUE(MID($B453,4,7)),"")</f>
        <v/>
      </c>
      <c r="H453">
        <f>IF($F453=1,MOD($G453,7),"")</f>
        <v/>
      </c>
    </row>
    <row r="454">
      <c r="A454" s="6" t="n"/>
      <c r="B454" s="7">
        <f>IF($A454="","",SUBSTITUTE(SUBSTITUTE(SUBSTITUTE(SUBSTITUTE($A454," ",""),"-",""),".",""),"/",""))</f>
        <v/>
      </c>
      <c r="C454" s="8">
        <f>IF($F454=1,$H454,"")</f>
        <v/>
      </c>
      <c r="D454" s="7">
        <f>IF($A454="","",IF($F454=0,"Biçim hatalı",IF(FIND(MID($B454,11,1),"0123456789")-1=$H454,"Geçerli","Kontrol hanesi hatalı (doğrusu: "&amp;$H454&amp;")")))</f>
        <v/>
      </c>
      <c r="F454">
        <f>IF($A454="","",IF(AND(LEN($B454)=11,SUMPRODUCT(--ISNUMBER(FIND(MID($B454,{1,2,3,4,5,6,7,8,9,10,11},1),"0123456789")))=11),1,0))</f>
        <v/>
      </c>
      <c r="G454">
        <f>IF($F454=1,VALUE(MID($B454,4,7)),"")</f>
        <v/>
      </c>
      <c r="H454">
        <f>IF($F454=1,MOD($G454,7),"")</f>
        <v/>
      </c>
    </row>
    <row r="455">
      <c r="A455" s="6" t="n"/>
      <c r="B455" s="7">
        <f>IF($A455="","",SUBSTITUTE(SUBSTITUTE(SUBSTITUTE(SUBSTITUTE($A455," ",""),"-",""),".",""),"/",""))</f>
        <v/>
      </c>
      <c r="C455" s="8">
        <f>IF($F455=1,$H455,"")</f>
        <v/>
      </c>
      <c r="D455" s="7">
        <f>IF($A455="","",IF($F455=0,"Biçim hatalı",IF(FIND(MID($B455,11,1),"0123456789")-1=$H455,"Geçerli","Kontrol hanesi hatalı (doğrusu: "&amp;$H455&amp;")")))</f>
        <v/>
      </c>
      <c r="F455">
        <f>IF($A455="","",IF(AND(LEN($B455)=11,SUMPRODUCT(--ISNUMBER(FIND(MID($B455,{1,2,3,4,5,6,7,8,9,10,11},1),"0123456789")))=11),1,0))</f>
        <v/>
      </c>
      <c r="G455">
        <f>IF($F455=1,VALUE(MID($B455,4,7)),"")</f>
        <v/>
      </c>
      <c r="H455">
        <f>IF($F455=1,MOD($G455,7),"")</f>
        <v/>
      </c>
    </row>
    <row r="456">
      <c r="A456" s="6" t="n"/>
      <c r="B456" s="7">
        <f>IF($A456="","",SUBSTITUTE(SUBSTITUTE(SUBSTITUTE(SUBSTITUTE($A456," ",""),"-",""),".",""),"/",""))</f>
        <v/>
      </c>
      <c r="C456" s="8">
        <f>IF($F456=1,$H456,"")</f>
        <v/>
      </c>
      <c r="D456" s="7">
        <f>IF($A456="","",IF($F456=0,"Biçim hatalı",IF(FIND(MID($B456,11,1),"0123456789")-1=$H456,"Geçerli","Kontrol hanesi hatalı (doğrusu: "&amp;$H456&amp;")")))</f>
        <v/>
      </c>
      <c r="F456">
        <f>IF($A456="","",IF(AND(LEN($B456)=11,SUMPRODUCT(--ISNUMBER(FIND(MID($B456,{1,2,3,4,5,6,7,8,9,10,11},1),"0123456789")))=11),1,0))</f>
        <v/>
      </c>
      <c r="G456">
        <f>IF($F456=1,VALUE(MID($B456,4,7)),"")</f>
        <v/>
      </c>
      <c r="H456">
        <f>IF($F456=1,MOD($G456,7),"")</f>
        <v/>
      </c>
    </row>
    <row r="457">
      <c r="A457" s="6" t="n"/>
      <c r="B457" s="7">
        <f>IF($A457="","",SUBSTITUTE(SUBSTITUTE(SUBSTITUTE(SUBSTITUTE($A457," ",""),"-",""),".",""),"/",""))</f>
        <v/>
      </c>
      <c r="C457" s="8">
        <f>IF($F457=1,$H457,"")</f>
        <v/>
      </c>
      <c r="D457" s="7">
        <f>IF($A457="","",IF($F457=0,"Biçim hatalı",IF(FIND(MID($B457,11,1),"0123456789")-1=$H457,"Geçerli","Kontrol hanesi hatalı (doğrusu: "&amp;$H457&amp;")")))</f>
        <v/>
      </c>
      <c r="F457">
        <f>IF($A457="","",IF(AND(LEN($B457)=11,SUMPRODUCT(--ISNUMBER(FIND(MID($B457,{1,2,3,4,5,6,7,8,9,10,11},1),"0123456789")))=11),1,0))</f>
        <v/>
      </c>
      <c r="G457">
        <f>IF($F457=1,VALUE(MID($B457,4,7)),"")</f>
        <v/>
      </c>
      <c r="H457">
        <f>IF($F457=1,MOD($G457,7),"")</f>
        <v/>
      </c>
    </row>
    <row r="458">
      <c r="A458" s="6" t="n"/>
      <c r="B458" s="7">
        <f>IF($A458="","",SUBSTITUTE(SUBSTITUTE(SUBSTITUTE(SUBSTITUTE($A458," ",""),"-",""),".",""),"/",""))</f>
        <v/>
      </c>
      <c r="C458" s="8">
        <f>IF($F458=1,$H458,"")</f>
        <v/>
      </c>
      <c r="D458" s="7">
        <f>IF($A458="","",IF($F458=0,"Biçim hatalı",IF(FIND(MID($B458,11,1),"0123456789")-1=$H458,"Geçerli","Kontrol hanesi hatalı (doğrusu: "&amp;$H458&amp;")")))</f>
        <v/>
      </c>
      <c r="F458">
        <f>IF($A458="","",IF(AND(LEN($B458)=11,SUMPRODUCT(--ISNUMBER(FIND(MID($B458,{1,2,3,4,5,6,7,8,9,10,11},1),"0123456789")))=11),1,0))</f>
        <v/>
      </c>
      <c r="G458">
        <f>IF($F458=1,VALUE(MID($B458,4,7)),"")</f>
        <v/>
      </c>
      <c r="H458">
        <f>IF($F458=1,MOD($G458,7),"")</f>
        <v/>
      </c>
    </row>
    <row r="459">
      <c r="A459" s="6" t="n"/>
      <c r="B459" s="7">
        <f>IF($A459="","",SUBSTITUTE(SUBSTITUTE(SUBSTITUTE(SUBSTITUTE($A459," ",""),"-",""),".",""),"/",""))</f>
        <v/>
      </c>
      <c r="C459" s="8">
        <f>IF($F459=1,$H459,"")</f>
        <v/>
      </c>
      <c r="D459" s="7">
        <f>IF($A459="","",IF($F459=0,"Biçim hatalı",IF(FIND(MID($B459,11,1),"0123456789")-1=$H459,"Geçerli","Kontrol hanesi hatalı (doğrusu: "&amp;$H459&amp;")")))</f>
        <v/>
      </c>
      <c r="F459">
        <f>IF($A459="","",IF(AND(LEN($B459)=11,SUMPRODUCT(--ISNUMBER(FIND(MID($B459,{1,2,3,4,5,6,7,8,9,10,11},1),"0123456789")))=11),1,0))</f>
        <v/>
      </c>
      <c r="G459">
        <f>IF($F459=1,VALUE(MID($B459,4,7)),"")</f>
        <v/>
      </c>
      <c r="H459">
        <f>IF($F459=1,MOD($G459,7),"")</f>
        <v/>
      </c>
    </row>
    <row r="460">
      <c r="A460" s="6" t="n"/>
      <c r="B460" s="7">
        <f>IF($A460="","",SUBSTITUTE(SUBSTITUTE(SUBSTITUTE(SUBSTITUTE($A460," ",""),"-",""),".",""),"/",""))</f>
        <v/>
      </c>
      <c r="C460" s="8">
        <f>IF($F460=1,$H460,"")</f>
        <v/>
      </c>
      <c r="D460" s="7">
        <f>IF($A460="","",IF($F460=0,"Biçim hatalı",IF(FIND(MID($B460,11,1),"0123456789")-1=$H460,"Geçerli","Kontrol hanesi hatalı (doğrusu: "&amp;$H460&amp;")")))</f>
        <v/>
      </c>
      <c r="F460">
        <f>IF($A460="","",IF(AND(LEN($B460)=11,SUMPRODUCT(--ISNUMBER(FIND(MID($B460,{1,2,3,4,5,6,7,8,9,10,11},1),"0123456789")))=11),1,0))</f>
        <v/>
      </c>
      <c r="G460">
        <f>IF($F460=1,VALUE(MID($B460,4,7)),"")</f>
        <v/>
      </c>
      <c r="H460">
        <f>IF($F460=1,MOD($G460,7),"")</f>
        <v/>
      </c>
    </row>
    <row r="461">
      <c r="A461" s="6" t="n"/>
      <c r="B461" s="7">
        <f>IF($A461="","",SUBSTITUTE(SUBSTITUTE(SUBSTITUTE(SUBSTITUTE($A461," ",""),"-",""),".",""),"/",""))</f>
        <v/>
      </c>
      <c r="C461" s="8">
        <f>IF($F461=1,$H461,"")</f>
        <v/>
      </c>
      <c r="D461" s="7">
        <f>IF($A461="","",IF($F461=0,"Biçim hatalı",IF(FIND(MID($B461,11,1),"0123456789")-1=$H461,"Geçerli","Kontrol hanesi hatalı (doğrusu: "&amp;$H461&amp;")")))</f>
        <v/>
      </c>
      <c r="F461">
        <f>IF($A461="","",IF(AND(LEN($B461)=11,SUMPRODUCT(--ISNUMBER(FIND(MID($B461,{1,2,3,4,5,6,7,8,9,10,11},1),"0123456789")))=11),1,0))</f>
        <v/>
      </c>
      <c r="G461">
        <f>IF($F461=1,VALUE(MID($B461,4,7)),"")</f>
        <v/>
      </c>
      <c r="H461">
        <f>IF($F461=1,MOD($G461,7),"")</f>
        <v/>
      </c>
    </row>
    <row r="462">
      <c r="A462" s="6" t="n"/>
      <c r="B462" s="7">
        <f>IF($A462="","",SUBSTITUTE(SUBSTITUTE(SUBSTITUTE(SUBSTITUTE($A462," ",""),"-",""),".",""),"/",""))</f>
        <v/>
      </c>
      <c r="C462" s="8">
        <f>IF($F462=1,$H462,"")</f>
        <v/>
      </c>
      <c r="D462" s="7">
        <f>IF($A462="","",IF($F462=0,"Biçim hatalı",IF(FIND(MID($B462,11,1),"0123456789")-1=$H462,"Geçerli","Kontrol hanesi hatalı (doğrusu: "&amp;$H462&amp;")")))</f>
        <v/>
      </c>
      <c r="F462">
        <f>IF($A462="","",IF(AND(LEN($B462)=11,SUMPRODUCT(--ISNUMBER(FIND(MID($B462,{1,2,3,4,5,6,7,8,9,10,11},1),"0123456789")))=11),1,0))</f>
        <v/>
      </c>
      <c r="G462">
        <f>IF($F462=1,VALUE(MID($B462,4,7)),"")</f>
        <v/>
      </c>
      <c r="H462">
        <f>IF($F462=1,MOD($G462,7),"")</f>
        <v/>
      </c>
    </row>
    <row r="463">
      <c r="A463" s="6" t="n"/>
      <c r="B463" s="7">
        <f>IF($A463="","",SUBSTITUTE(SUBSTITUTE(SUBSTITUTE(SUBSTITUTE($A463," ",""),"-",""),".",""),"/",""))</f>
        <v/>
      </c>
      <c r="C463" s="8">
        <f>IF($F463=1,$H463,"")</f>
        <v/>
      </c>
      <c r="D463" s="7">
        <f>IF($A463="","",IF($F463=0,"Biçim hatalı",IF(FIND(MID($B463,11,1),"0123456789")-1=$H463,"Geçerli","Kontrol hanesi hatalı (doğrusu: "&amp;$H463&amp;")")))</f>
        <v/>
      </c>
      <c r="F463">
        <f>IF($A463="","",IF(AND(LEN($B463)=11,SUMPRODUCT(--ISNUMBER(FIND(MID($B463,{1,2,3,4,5,6,7,8,9,10,11},1),"0123456789")))=11),1,0))</f>
        <v/>
      </c>
      <c r="G463">
        <f>IF($F463=1,VALUE(MID($B463,4,7)),"")</f>
        <v/>
      </c>
      <c r="H463">
        <f>IF($F463=1,MOD($G463,7),"")</f>
        <v/>
      </c>
    </row>
    <row r="464">
      <c r="A464" s="6" t="n"/>
      <c r="B464" s="7">
        <f>IF($A464="","",SUBSTITUTE(SUBSTITUTE(SUBSTITUTE(SUBSTITUTE($A464," ",""),"-",""),".",""),"/",""))</f>
        <v/>
      </c>
      <c r="C464" s="8">
        <f>IF($F464=1,$H464,"")</f>
        <v/>
      </c>
      <c r="D464" s="7">
        <f>IF($A464="","",IF($F464=0,"Biçim hatalı",IF(FIND(MID($B464,11,1),"0123456789")-1=$H464,"Geçerli","Kontrol hanesi hatalı (doğrusu: "&amp;$H464&amp;")")))</f>
        <v/>
      </c>
      <c r="F464">
        <f>IF($A464="","",IF(AND(LEN($B464)=11,SUMPRODUCT(--ISNUMBER(FIND(MID($B464,{1,2,3,4,5,6,7,8,9,10,11},1),"0123456789")))=11),1,0))</f>
        <v/>
      </c>
      <c r="G464">
        <f>IF($F464=1,VALUE(MID($B464,4,7)),"")</f>
        <v/>
      </c>
      <c r="H464">
        <f>IF($F464=1,MOD($G464,7),"")</f>
        <v/>
      </c>
    </row>
    <row r="465">
      <c r="A465" s="6" t="n"/>
      <c r="B465" s="7">
        <f>IF($A465="","",SUBSTITUTE(SUBSTITUTE(SUBSTITUTE(SUBSTITUTE($A465," ",""),"-",""),".",""),"/",""))</f>
        <v/>
      </c>
      <c r="C465" s="8">
        <f>IF($F465=1,$H465,"")</f>
        <v/>
      </c>
      <c r="D465" s="7">
        <f>IF($A465="","",IF($F465=0,"Biçim hatalı",IF(FIND(MID($B465,11,1),"0123456789")-1=$H465,"Geçerli","Kontrol hanesi hatalı (doğrusu: "&amp;$H465&amp;")")))</f>
        <v/>
      </c>
      <c r="F465">
        <f>IF($A465="","",IF(AND(LEN($B465)=11,SUMPRODUCT(--ISNUMBER(FIND(MID($B465,{1,2,3,4,5,6,7,8,9,10,11},1),"0123456789")))=11),1,0))</f>
        <v/>
      </c>
      <c r="G465">
        <f>IF($F465=1,VALUE(MID($B465,4,7)),"")</f>
        <v/>
      </c>
      <c r="H465">
        <f>IF($F465=1,MOD($G465,7),"")</f>
        <v/>
      </c>
    </row>
    <row r="466">
      <c r="A466" s="6" t="n"/>
      <c r="B466" s="7">
        <f>IF($A466="","",SUBSTITUTE(SUBSTITUTE(SUBSTITUTE(SUBSTITUTE($A466," ",""),"-",""),".",""),"/",""))</f>
        <v/>
      </c>
      <c r="C466" s="8">
        <f>IF($F466=1,$H466,"")</f>
        <v/>
      </c>
      <c r="D466" s="7">
        <f>IF($A466="","",IF($F466=0,"Biçim hatalı",IF(FIND(MID($B466,11,1),"0123456789")-1=$H466,"Geçerli","Kontrol hanesi hatalı (doğrusu: "&amp;$H466&amp;")")))</f>
        <v/>
      </c>
      <c r="F466">
        <f>IF($A466="","",IF(AND(LEN($B466)=11,SUMPRODUCT(--ISNUMBER(FIND(MID($B466,{1,2,3,4,5,6,7,8,9,10,11},1),"0123456789")))=11),1,0))</f>
        <v/>
      </c>
      <c r="G466">
        <f>IF($F466=1,VALUE(MID($B466,4,7)),"")</f>
        <v/>
      </c>
      <c r="H466">
        <f>IF($F466=1,MOD($G466,7),"")</f>
        <v/>
      </c>
    </row>
    <row r="467">
      <c r="A467" s="6" t="n"/>
      <c r="B467" s="7">
        <f>IF($A467="","",SUBSTITUTE(SUBSTITUTE(SUBSTITUTE(SUBSTITUTE($A467," ",""),"-",""),".",""),"/",""))</f>
        <v/>
      </c>
      <c r="C467" s="8">
        <f>IF($F467=1,$H467,"")</f>
        <v/>
      </c>
      <c r="D467" s="7">
        <f>IF($A467="","",IF($F467=0,"Biçim hatalı",IF(FIND(MID($B467,11,1),"0123456789")-1=$H467,"Geçerli","Kontrol hanesi hatalı (doğrusu: "&amp;$H467&amp;")")))</f>
        <v/>
      </c>
      <c r="F467">
        <f>IF($A467="","",IF(AND(LEN($B467)=11,SUMPRODUCT(--ISNUMBER(FIND(MID($B467,{1,2,3,4,5,6,7,8,9,10,11},1),"0123456789")))=11),1,0))</f>
        <v/>
      </c>
      <c r="G467">
        <f>IF($F467=1,VALUE(MID($B467,4,7)),"")</f>
        <v/>
      </c>
      <c r="H467">
        <f>IF($F467=1,MOD($G467,7),"")</f>
        <v/>
      </c>
    </row>
    <row r="468">
      <c r="A468" s="6" t="n"/>
      <c r="B468" s="7">
        <f>IF($A468="","",SUBSTITUTE(SUBSTITUTE(SUBSTITUTE(SUBSTITUTE($A468," ",""),"-",""),".",""),"/",""))</f>
        <v/>
      </c>
      <c r="C468" s="8">
        <f>IF($F468=1,$H468,"")</f>
        <v/>
      </c>
      <c r="D468" s="7">
        <f>IF($A468="","",IF($F468=0,"Biçim hatalı",IF(FIND(MID($B468,11,1),"0123456789")-1=$H468,"Geçerli","Kontrol hanesi hatalı (doğrusu: "&amp;$H468&amp;")")))</f>
        <v/>
      </c>
      <c r="F468">
        <f>IF($A468="","",IF(AND(LEN($B468)=11,SUMPRODUCT(--ISNUMBER(FIND(MID($B468,{1,2,3,4,5,6,7,8,9,10,11},1),"0123456789")))=11),1,0))</f>
        <v/>
      </c>
      <c r="G468">
        <f>IF($F468=1,VALUE(MID($B468,4,7)),"")</f>
        <v/>
      </c>
      <c r="H468">
        <f>IF($F468=1,MOD($G468,7),"")</f>
        <v/>
      </c>
    </row>
    <row r="469">
      <c r="A469" s="6" t="n"/>
      <c r="B469" s="7">
        <f>IF($A469="","",SUBSTITUTE(SUBSTITUTE(SUBSTITUTE(SUBSTITUTE($A469," ",""),"-",""),".",""),"/",""))</f>
        <v/>
      </c>
      <c r="C469" s="8">
        <f>IF($F469=1,$H469,"")</f>
        <v/>
      </c>
      <c r="D469" s="7">
        <f>IF($A469="","",IF($F469=0,"Biçim hatalı",IF(FIND(MID($B469,11,1),"0123456789")-1=$H469,"Geçerli","Kontrol hanesi hatalı (doğrusu: "&amp;$H469&amp;")")))</f>
        <v/>
      </c>
      <c r="F469">
        <f>IF($A469="","",IF(AND(LEN($B469)=11,SUMPRODUCT(--ISNUMBER(FIND(MID($B469,{1,2,3,4,5,6,7,8,9,10,11},1),"0123456789")))=11),1,0))</f>
        <v/>
      </c>
      <c r="G469">
        <f>IF($F469=1,VALUE(MID($B469,4,7)),"")</f>
        <v/>
      </c>
      <c r="H469">
        <f>IF($F469=1,MOD($G469,7),"")</f>
        <v/>
      </c>
    </row>
    <row r="470">
      <c r="A470" s="6" t="n"/>
      <c r="B470" s="7">
        <f>IF($A470="","",SUBSTITUTE(SUBSTITUTE(SUBSTITUTE(SUBSTITUTE($A470," ",""),"-",""),".",""),"/",""))</f>
        <v/>
      </c>
      <c r="C470" s="8">
        <f>IF($F470=1,$H470,"")</f>
        <v/>
      </c>
      <c r="D470" s="7">
        <f>IF($A470="","",IF($F470=0,"Biçim hatalı",IF(FIND(MID($B470,11,1),"0123456789")-1=$H470,"Geçerli","Kontrol hanesi hatalı (doğrusu: "&amp;$H470&amp;")")))</f>
        <v/>
      </c>
      <c r="F470">
        <f>IF($A470="","",IF(AND(LEN($B470)=11,SUMPRODUCT(--ISNUMBER(FIND(MID($B470,{1,2,3,4,5,6,7,8,9,10,11},1),"0123456789")))=11),1,0))</f>
        <v/>
      </c>
      <c r="G470">
        <f>IF($F470=1,VALUE(MID($B470,4,7)),"")</f>
        <v/>
      </c>
      <c r="H470">
        <f>IF($F470=1,MOD($G470,7),"")</f>
        <v/>
      </c>
    </row>
    <row r="471">
      <c r="A471" s="6" t="n"/>
      <c r="B471" s="7">
        <f>IF($A471="","",SUBSTITUTE(SUBSTITUTE(SUBSTITUTE(SUBSTITUTE($A471," ",""),"-",""),".",""),"/",""))</f>
        <v/>
      </c>
      <c r="C471" s="8">
        <f>IF($F471=1,$H471,"")</f>
        <v/>
      </c>
      <c r="D471" s="7">
        <f>IF($A471="","",IF($F471=0,"Biçim hatalı",IF(FIND(MID($B471,11,1),"0123456789")-1=$H471,"Geçerli","Kontrol hanesi hatalı (doğrusu: "&amp;$H471&amp;")")))</f>
        <v/>
      </c>
      <c r="F471">
        <f>IF($A471="","",IF(AND(LEN($B471)=11,SUMPRODUCT(--ISNUMBER(FIND(MID($B471,{1,2,3,4,5,6,7,8,9,10,11},1),"0123456789")))=11),1,0))</f>
        <v/>
      </c>
      <c r="G471">
        <f>IF($F471=1,VALUE(MID($B471,4,7)),"")</f>
        <v/>
      </c>
      <c r="H471">
        <f>IF($F471=1,MOD($G471,7),"")</f>
        <v/>
      </c>
    </row>
    <row r="472">
      <c r="A472" s="6" t="n"/>
      <c r="B472" s="7">
        <f>IF($A472="","",SUBSTITUTE(SUBSTITUTE(SUBSTITUTE(SUBSTITUTE($A472," ",""),"-",""),".",""),"/",""))</f>
        <v/>
      </c>
      <c r="C472" s="8">
        <f>IF($F472=1,$H472,"")</f>
        <v/>
      </c>
      <c r="D472" s="7">
        <f>IF($A472="","",IF($F472=0,"Biçim hatalı",IF(FIND(MID($B472,11,1),"0123456789")-1=$H472,"Geçerli","Kontrol hanesi hatalı (doğrusu: "&amp;$H472&amp;")")))</f>
        <v/>
      </c>
      <c r="F472">
        <f>IF($A472="","",IF(AND(LEN($B472)=11,SUMPRODUCT(--ISNUMBER(FIND(MID($B472,{1,2,3,4,5,6,7,8,9,10,11},1),"0123456789")))=11),1,0))</f>
        <v/>
      </c>
      <c r="G472">
        <f>IF($F472=1,VALUE(MID($B472,4,7)),"")</f>
        <v/>
      </c>
      <c r="H472">
        <f>IF($F472=1,MOD($G472,7),"")</f>
        <v/>
      </c>
    </row>
    <row r="473">
      <c r="A473" s="6" t="n"/>
      <c r="B473" s="7">
        <f>IF($A473="","",SUBSTITUTE(SUBSTITUTE(SUBSTITUTE(SUBSTITUTE($A473," ",""),"-",""),".",""),"/",""))</f>
        <v/>
      </c>
      <c r="C473" s="8">
        <f>IF($F473=1,$H473,"")</f>
        <v/>
      </c>
      <c r="D473" s="7">
        <f>IF($A473="","",IF($F473=0,"Biçim hatalı",IF(FIND(MID($B473,11,1),"0123456789")-1=$H473,"Geçerli","Kontrol hanesi hatalı (doğrusu: "&amp;$H473&amp;")")))</f>
        <v/>
      </c>
      <c r="F473">
        <f>IF($A473="","",IF(AND(LEN($B473)=11,SUMPRODUCT(--ISNUMBER(FIND(MID($B473,{1,2,3,4,5,6,7,8,9,10,11},1),"0123456789")))=11),1,0))</f>
        <v/>
      </c>
      <c r="G473">
        <f>IF($F473=1,VALUE(MID($B473,4,7)),"")</f>
        <v/>
      </c>
      <c r="H473">
        <f>IF($F473=1,MOD($G473,7),"")</f>
        <v/>
      </c>
    </row>
    <row r="474">
      <c r="A474" s="6" t="n"/>
      <c r="B474" s="7">
        <f>IF($A474="","",SUBSTITUTE(SUBSTITUTE(SUBSTITUTE(SUBSTITUTE($A474," ",""),"-",""),".",""),"/",""))</f>
        <v/>
      </c>
      <c r="C474" s="8">
        <f>IF($F474=1,$H474,"")</f>
        <v/>
      </c>
      <c r="D474" s="7">
        <f>IF($A474="","",IF($F474=0,"Biçim hatalı",IF(FIND(MID($B474,11,1),"0123456789")-1=$H474,"Geçerli","Kontrol hanesi hatalı (doğrusu: "&amp;$H474&amp;")")))</f>
        <v/>
      </c>
      <c r="F474">
        <f>IF($A474="","",IF(AND(LEN($B474)=11,SUMPRODUCT(--ISNUMBER(FIND(MID($B474,{1,2,3,4,5,6,7,8,9,10,11},1),"0123456789")))=11),1,0))</f>
        <v/>
      </c>
      <c r="G474">
        <f>IF($F474=1,VALUE(MID($B474,4,7)),"")</f>
        <v/>
      </c>
      <c r="H474">
        <f>IF($F474=1,MOD($G474,7),"")</f>
        <v/>
      </c>
    </row>
    <row r="475">
      <c r="A475" s="6" t="n"/>
      <c r="B475" s="7">
        <f>IF($A475="","",SUBSTITUTE(SUBSTITUTE(SUBSTITUTE(SUBSTITUTE($A475," ",""),"-",""),".",""),"/",""))</f>
        <v/>
      </c>
      <c r="C475" s="8">
        <f>IF($F475=1,$H475,"")</f>
        <v/>
      </c>
      <c r="D475" s="7">
        <f>IF($A475="","",IF($F475=0,"Biçim hatalı",IF(FIND(MID($B475,11,1),"0123456789")-1=$H475,"Geçerli","Kontrol hanesi hatalı (doğrusu: "&amp;$H475&amp;")")))</f>
        <v/>
      </c>
      <c r="F475">
        <f>IF($A475="","",IF(AND(LEN($B475)=11,SUMPRODUCT(--ISNUMBER(FIND(MID($B475,{1,2,3,4,5,6,7,8,9,10,11},1),"0123456789")))=11),1,0))</f>
        <v/>
      </c>
      <c r="G475">
        <f>IF($F475=1,VALUE(MID($B475,4,7)),"")</f>
        <v/>
      </c>
      <c r="H475">
        <f>IF($F475=1,MOD($G475,7),"")</f>
        <v/>
      </c>
    </row>
    <row r="476">
      <c r="A476" s="6" t="n"/>
      <c r="B476" s="7">
        <f>IF($A476="","",SUBSTITUTE(SUBSTITUTE(SUBSTITUTE(SUBSTITUTE($A476," ",""),"-",""),".",""),"/",""))</f>
        <v/>
      </c>
      <c r="C476" s="8">
        <f>IF($F476=1,$H476,"")</f>
        <v/>
      </c>
      <c r="D476" s="7">
        <f>IF($A476="","",IF($F476=0,"Biçim hatalı",IF(FIND(MID($B476,11,1),"0123456789")-1=$H476,"Geçerli","Kontrol hanesi hatalı (doğrusu: "&amp;$H476&amp;")")))</f>
        <v/>
      </c>
      <c r="F476">
        <f>IF($A476="","",IF(AND(LEN($B476)=11,SUMPRODUCT(--ISNUMBER(FIND(MID($B476,{1,2,3,4,5,6,7,8,9,10,11},1),"0123456789")))=11),1,0))</f>
        <v/>
      </c>
      <c r="G476">
        <f>IF($F476=1,VALUE(MID($B476,4,7)),"")</f>
        <v/>
      </c>
      <c r="H476">
        <f>IF($F476=1,MOD($G476,7),"")</f>
        <v/>
      </c>
    </row>
    <row r="477">
      <c r="A477" s="6" t="n"/>
      <c r="B477" s="7">
        <f>IF($A477="","",SUBSTITUTE(SUBSTITUTE(SUBSTITUTE(SUBSTITUTE($A477," ",""),"-",""),".",""),"/",""))</f>
        <v/>
      </c>
      <c r="C477" s="8">
        <f>IF($F477=1,$H477,"")</f>
        <v/>
      </c>
      <c r="D477" s="7">
        <f>IF($A477="","",IF($F477=0,"Biçim hatalı",IF(FIND(MID($B477,11,1),"0123456789")-1=$H477,"Geçerli","Kontrol hanesi hatalı (doğrusu: "&amp;$H477&amp;")")))</f>
        <v/>
      </c>
      <c r="F477">
        <f>IF($A477="","",IF(AND(LEN($B477)=11,SUMPRODUCT(--ISNUMBER(FIND(MID($B477,{1,2,3,4,5,6,7,8,9,10,11},1),"0123456789")))=11),1,0))</f>
        <v/>
      </c>
      <c r="G477">
        <f>IF($F477=1,VALUE(MID($B477,4,7)),"")</f>
        <v/>
      </c>
      <c r="H477">
        <f>IF($F477=1,MOD($G477,7),"")</f>
        <v/>
      </c>
    </row>
    <row r="478">
      <c r="A478" s="6" t="n"/>
      <c r="B478" s="7">
        <f>IF($A478="","",SUBSTITUTE(SUBSTITUTE(SUBSTITUTE(SUBSTITUTE($A478," ",""),"-",""),".",""),"/",""))</f>
        <v/>
      </c>
      <c r="C478" s="8">
        <f>IF($F478=1,$H478,"")</f>
        <v/>
      </c>
      <c r="D478" s="7">
        <f>IF($A478="","",IF($F478=0,"Biçim hatalı",IF(FIND(MID($B478,11,1),"0123456789")-1=$H478,"Geçerli","Kontrol hanesi hatalı (doğrusu: "&amp;$H478&amp;")")))</f>
        <v/>
      </c>
      <c r="F478">
        <f>IF($A478="","",IF(AND(LEN($B478)=11,SUMPRODUCT(--ISNUMBER(FIND(MID($B478,{1,2,3,4,5,6,7,8,9,10,11},1),"0123456789")))=11),1,0))</f>
        <v/>
      </c>
      <c r="G478">
        <f>IF($F478=1,VALUE(MID($B478,4,7)),"")</f>
        <v/>
      </c>
      <c r="H478">
        <f>IF($F478=1,MOD($G478,7),"")</f>
        <v/>
      </c>
    </row>
    <row r="479">
      <c r="A479" s="6" t="n"/>
      <c r="B479" s="7">
        <f>IF($A479="","",SUBSTITUTE(SUBSTITUTE(SUBSTITUTE(SUBSTITUTE($A479," ",""),"-",""),".",""),"/",""))</f>
        <v/>
      </c>
      <c r="C479" s="8">
        <f>IF($F479=1,$H479,"")</f>
        <v/>
      </c>
      <c r="D479" s="7">
        <f>IF($A479="","",IF($F479=0,"Biçim hatalı",IF(FIND(MID($B479,11,1),"0123456789")-1=$H479,"Geçerli","Kontrol hanesi hatalı (doğrusu: "&amp;$H479&amp;")")))</f>
        <v/>
      </c>
      <c r="F479">
        <f>IF($A479="","",IF(AND(LEN($B479)=11,SUMPRODUCT(--ISNUMBER(FIND(MID($B479,{1,2,3,4,5,6,7,8,9,10,11},1),"0123456789")))=11),1,0))</f>
        <v/>
      </c>
      <c r="G479">
        <f>IF($F479=1,VALUE(MID($B479,4,7)),"")</f>
        <v/>
      </c>
      <c r="H479">
        <f>IF($F479=1,MOD($G479,7),"")</f>
        <v/>
      </c>
    </row>
    <row r="480">
      <c r="A480" s="6" t="n"/>
      <c r="B480" s="7">
        <f>IF($A480="","",SUBSTITUTE(SUBSTITUTE(SUBSTITUTE(SUBSTITUTE($A480," ",""),"-",""),".",""),"/",""))</f>
        <v/>
      </c>
      <c r="C480" s="8">
        <f>IF($F480=1,$H480,"")</f>
        <v/>
      </c>
      <c r="D480" s="7">
        <f>IF($A480="","",IF($F480=0,"Biçim hatalı",IF(FIND(MID($B480,11,1),"0123456789")-1=$H480,"Geçerli","Kontrol hanesi hatalı (doğrusu: "&amp;$H480&amp;")")))</f>
        <v/>
      </c>
      <c r="F480">
        <f>IF($A480="","",IF(AND(LEN($B480)=11,SUMPRODUCT(--ISNUMBER(FIND(MID($B480,{1,2,3,4,5,6,7,8,9,10,11},1),"0123456789")))=11),1,0))</f>
        <v/>
      </c>
      <c r="G480">
        <f>IF($F480=1,VALUE(MID($B480,4,7)),"")</f>
        <v/>
      </c>
      <c r="H480">
        <f>IF($F480=1,MOD($G480,7),"")</f>
        <v/>
      </c>
    </row>
    <row r="481">
      <c r="A481" s="6" t="n"/>
      <c r="B481" s="7">
        <f>IF($A481="","",SUBSTITUTE(SUBSTITUTE(SUBSTITUTE(SUBSTITUTE($A481," ",""),"-",""),".",""),"/",""))</f>
        <v/>
      </c>
      <c r="C481" s="8">
        <f>IF($F481=1,$H481,"")</f>
        <v/>
      </c>
      <c r="D481" s="7">
        <f>IF($A481="","",IF($F481=0,"Biçim hatalı",IF(FIND(MID($B481,11,1),"0123456789")-1=$H481,"Geçerli","Kontrol hanesi hatalı (doğrusu: "&amp;$H481&amp;")")))</f>
        <v/>
      </c>
      <c r="F481">
        <f>IF($A481="","",IF(AND(LEN($B481)=11,SUMPRODUCT(--ISNUMBER(FIND(MID($B481,{1,2,3,4,5,6,7,8,9,10,11},1),"0123456789")))=11),1,0))</f>
        <v/>
      </c>
      <c r="G481">
        <f>IF($F481=1,VALUE(MID($B481,4,7)),"")</f>
        <v/>
      </c>
      <c r="H481">
        <f>IF($F481=1,MOD($G481,7),"")</f>
        <v/>
      </c>
    </row>
    <row r="482">
      <c r="A482" s="6" t="n"/>
      <c r="B482" s="7">
        <f>IF($A482="","",SUBSTITUTE(SUBSTITUTE(SUBSTITUTE(SUBSTITUTE($A482," ",""),"-",""),".",""),"/",""))</f>
        <v/>
      </c>
      <c r="C482" s="8">
        <f>IF($F482=1,$H482,"")</f>
        <v/>
      </c>
      <c r="D482" s="7">
        <f>IF($A482="","",IF($F482=0,"Biçim hatalı",IF(FIND(MID($B482,11,1),"0123456789")-1=$H482,"Geçerli","Kontrol hanesi hatalı (doğrusu: "&amp;$H482&amp;")")))</f>
        <v/>
      </c>
      <c r="F482">
        <f>IF($A482="","",IF(AND(LEN($B482)=11,SUMPRODUCT(--ISNUMBER(FIND(MID($B482,{1,2,3,4,5,6,7,8,9,10,11},1),"0123456789")))=11),1,0))</f>
        <v/>
      </c>
      <c r="G482">
        <f>IF($F482=1,VALUE(MID($B482,4,7)),"")</f>
        <v/>
      </c>
      <c r="H482">
        <f>IF($F482=1,MOD($G482,7),"")</f>
        <v/>
      </c>
    </row>
    <row r="483">
      <c r="A483" s="6" t="n"/>
      <c r="B483" s="7">
        <f>IF($A483="","",SUBSTITUTE(SUBSTITUTE(SUBSTITUTE(SUBSTITUTE($A483," ",""),"-",""),".",""),"/",""))</f>
        <v/>
      </c>
      <c r="C483" s="8">
        <f>IF($F483=1,$H483,"")</f>
        <v/>
      </c>
      <c r="D483" s="7">
        <f>IF($A483="","",IF($F483=0,"Biçim hatalı",IF(FIND(MID($B483,11,1),"0123456789")-1=$H483,"Geçerli","Kontrol hanesi hatalı (doğrusu: "&amp;$H483&amp;")")))</f>
        <v/>
      </c>
      <c r="F483">
        <f>IF($A483="","",IF(AND(LEN($B483)=11,SUMPRODUCT(--ISNUMBER(FIND(MID($B483,{1,2,3,4,5,6,7,8,9,10,11},1),"0123456789")))=11),1,0))</f>
        <v/>
      </c>
      <c r="G483">
        <f>IF($F483=1,VALUE(MID($B483,4,7)),"")</f>
        <v/>
      </c>
      <c r="H483">
        <f>IF($F483=1,MOD($G483,7),"")</f>
        <v/>
      </c>
    </row>
    <row r="484">
      <c r="A484" s="6" t="n"/>
      <c r="B484" s="7">
        <f>IF($A484="","",SUBSTITUTE(SUBSTITUTE(SUBSTITUTE(SUBSTITUTE($A484," ",""),"-",""),".",""),"/",""))</f>
        <v/>
      </c>
      <c r="C484" s="8">
        <f>IF($F484=1,$H484,"")</f>
        <v/>
      </c>
      <c r="D484" s="7">
        <f>IF($A484="","",IF($F484=0,"Biçim hatalı",IF(FIND(MID($B484,11,1),"0123456789")-1=$H484,"Geçerli","Kontrol hanesi hatalı (doğrusu: "&amp;$H484&amp;")")))</f>
        <v/>
      </c>
      <c r="F484">
        <f>IF($A484="","",IF(AND(LEN($B484)=11,SUMPRODUCT(--ISNUMBER(FIND(MID($B484,{1,2,3,4,5,6,7,8,9,10,11},1),"0123456789")))=11),1,0))</f>
        <v/>
      </c>
      <c r="G484">
        <f>IF($F484=1,VALUE(MID($B484,4,7)),"")</f>
        <v/>
      </c>
      <c r="H484">
        <f>IF($F484=1,MOD($G484,7),"")</f>
        <v/>
      </c>
    </row>
    <row r="485">
      <c r="A485" s="6" t="n"/>
      <c r="B485" s="7">
        <f>IF($A485="","",SUBSTITUTE(SUBSTITUTE(SUBSTITUTE(SUBSTITUTE($A485," ",""),"-",""),".",""),"/",""))</f>
        <v/>
      </c>
      <c r="C485" s="8">
        <f>IF($F485=1,$H485,"")</f>
        <v/>
      </c>
      <c r="D485" s="7">
        <f>IF($A485="","",IF($F485=0,"Biçim hatalı",IF(FIND(MID($B485,11,1),"0123456789")-1=$H485,"Geçerli","Kontrol hanesi hatalı (doğrusu: "&amp;$H485&amp;")")))</f>
        <v/>
      </c>
      <c r="F485">
        <f>IF($A485="","",IF(AND(LEN($B485)=11,SUMPRODUCT(--ISNUMBER(FIND(MID($B485,{1,2,3,4,5,6,7,8,9,10,11},1),"0123456789")))=11),1,0))</f>
        <v/>
      </c>
      <c r="G485">
        <f>IF($F485=1,VALUE(MID($B485,4,7)),"")</f>
        <v/>
      </c>
      <c r="H485">
        <f>IF($F485=1,MOD($G485,7),"")</f>
        <v/>
      </c>
    </row>
    <row r="486">
      <c r="A486" s="6" t="n"/>
      <c r="B486" s="7">
        <f>IF($A486="","",SUBSTITUTE(SUBSTITUTE(SUBSTITUTE(SUBSTITUTE($A486," ",""),"-",""),".",""),"/",""))</f>
        <v/>
      </c>
      <c r="C486" s="8">
        <f>IF($F486=1,$H486,"")</f>
        <v/>
      </c>
      <c r="D486" s="7">
        <f>IF($A486="","",IF($F486=0,"Biçim hatalı",IF(FIND(MID($B486,11,1),"0123456789")-1=$H486,"Geçerli","Kontrol hanesi hatalı (doğrusu: "&amp;$H486&amp;")")))</f>
        <v/>
      </c>
      <c r="F486">
        <f>IF($A486="","",IF(AND(LEN($B486)=11,SUMPRODUCT(--ISNUMBER(FIND(MID($B486,{1,2,3,4,5,6,7,8,9,10,11},1),"0123456789")))=11),1,0))</f>
        <v/>
      </c>
      <c r="G486">
        <f>IF($F486=1,VALUE(MID($B486,4,7)),"")</f>
        <v/>
      </c>
      <c r="H486">
        <f>IF($F486=1,MOD($G486,7),"")</f>
        <v/>
      </c>
    </row>
    <row r="487">
      <c r="A487" s="6" t="n"/>
      <c r="B487" s="7">
        <f>IF($A487="","",SUBSTITUTE(SUBSTITUTE(SUBSTITUTE(SUBSTITUTE($A487," ",""),"-",""),".",""),"/",""))</f>
        <v/>
      </c>
      <c r="C487" s="8">
        <f>IF($F487=1,$H487,"")</f>
        <v/>
      </c>
      <c r="D487" s="7">
        <f>IF($A487="","",IF($F487=0,"Biçim hatalı",IF(FIND(MID($B487,11,1),"0123456789")-1=$H487,"Geçerli","Kontrol hanesi hatalı (doğrusu: "&amp;$H487&amp;")")))</f>
        <v/>
      </c>
      <c r="F487">
        <f>IF($A487="","",IF(AND(LEN($B487)=11,SUMPRODUCT(--ISNUMBER(FIND(MID($B487,{1,2,3,4,5,6,7,8,9,10,11},1),"0123456789")))=11),1,0))</f>
        <v/>
      </c>
      <c r="G487">
        <f>IF($F487=1,VALUE(MID($B487,4,7)),"")</f>
        <v/>
      </c>
      <c r="H487">
        <f>IF($F487=1,MOD($G487,7),"")</f>
        <v/>
      </c>
    </row>
    <row r="488">
      <c r="A488" s="6" t="n"/>
      <c r="B488" s="7">
        <f>IF($A488="","",SUBSTITUTE(SUBSTITUTE(SUBSTITUTE(SUBSTITUTE($A488," ",""),"-",""),".",""),"/",""))</f>
        <v/>
      </c>
      <c r="C488" s="8">
        <f>IF($F488=1,$H488,"")</f>
        <v/>
      </c>
      <c r="D488" s="7">
        <f>IF($A488="","",IF($F488=0,"Biçim hatalı",IF(FIND(MID($B488,11,1),"0123456789")-1=$H488,"Geçerli","Kontrol hanesi hatalı (doğrusu: "&amp;$H488&amp;")")))</f>
        <v/>
      </c>
      <c r="F488">
        <f>IF($A488="","",IF(AND(LEN($B488)=11,SUMPRODUCT(--ISNUMBER(FIND(MID($B488,{1,2,3,4,5,6,7,8,9,10,11},1),"0123456789")))=11),1,0))</f>
        <v/>
      </c>
      <c r="G488">
        <f>IF($F488=1,VALUE(MID($B488,4,7)),"")</f>
        <v/>
      </c>
      <c r="H488">
        <f>IF($F488=1,MOD($G488,7),"")</f>
        <v/>
      </c>
    </row>
    <row r="489">
      <c r="A489" s="6" t="n"/>
      <c r="B489" s="7">
        <f>IF($A489="","",SUBSTITUTE(SUBSTITUTE(SUBSTITUTE(SUBSTITUTE($A489," ",""),"-",""),".",""),"/",""))</f>
        <v/>
      </c>
      <c r="C489" s="8">
        <f>IF($F489=1,$H489,"")</f>
        <v/>
      </c>
      <c r="D489" s="7">
        <f>IF($A489="","",IF($F489=0,"Biçim hatalı",IF(FIND(MID($B489,11,1),"0123456789")-1=$H489,"Geçerli","Kontrol hanesi hatalı (doğrusu: "&amp;$H489&amp;")")))</f>
        <v/>
      </c>
      <c r="F489">
        <f>IF($A489="","",IF(AND(LEN($B489)=11,SUMPRODUCT(--ISNUMBER(FIND(MID($B489,{1,2,3,4,5,6,7,8,9,10,11},1),"0123456789")))=11),1,0))</f>
        <v/>
      </c>
      <c r="G489">
        <f>IF($F489=1,VALUE(MID($B489,4,7)),"")</f>
        <v/>
      </c>
      <c r="H489">
        <f>IF($F489=1,MOD($G489,7),"")</f>
        <v/>
      </c>
    </row>
    <row r="490">
      <c r="A490" s="6" t="n"/>
      <c r="B490" s="7">
        <f>IF($A490="","",SUBSTITUTE(SUBSTITUTE(SUBSTITUTE(SUBSTITUTE($A490," ",""),"-",""),".",""),"/",""))</f>
        <v/>
      </c>
      <c r="C490" s="8">
        <f>IF($F490=1,$H490,"")</f>
        <v/>
      </c>
      <c r="D490" s="7">
        <f>IF($A490="","",IF($F490=0,"Biçim hatalı",IF(FIND(MID($B490,11,1),"0123456789")-1=$H490,"Geçerli","Kontrol hanesi hatalı (doğrusu: "&amp;$H490&amp;")")))</f>
        <v/>
      </c>
      <c r="F490">
        <f>IF($A490="","",IF(AND(LEN($B490)=11,SUMPRODUCT(--ISNUMBER(FIND(MID($B490,{1,2,3,4,5,6,7,8,9,10,11},1),"0123456789")))=11),1,0))</f>
        <v/>
      </c>
      <c r="G490">
        <f>IF($F490=1,VALUE(MID($B490,4,7)),"")</f>
        <v/>
      </c>
      <c r="H490">
        <f>IF($F490=1,MOD($G490,7),"")</f>
        <v/>
      </c>
    </row>
    <row r="491">
      <c r="A491" s="6" t="n"/>
      <c r="B491" s="7">
        <f>IF($A491="","",SUBSTITUTE(SUBSTITUTE(SUBSTITUTE(SUBSTITUTE($A491," ",""),"-",""),".",""),"/",""))</f>
        <v/>
      </c>
      <c r="C491" s="8">
        <f>IF($F491=1,$H491,"")</f>
        <v/>
      </c>
      <c r="D491" s="7">
        <f>IF($A491="","",IF($F491=0,"Biçim hatalı",IF(FIND(MID($B491,11,1),"0123456789")-1=$H491,"Geçerli","Kontrol hanesi hatalı (doğrusu: "&amp;$H491&amp;")")))</f>
        <v/>
      </c>
      <c r="F491">
        <f>IF($A491="","",IF(AND(LEN($B491)=11,SUMPRODUCT(--ISNUMBER(FIND(MID($B491,{1,2,3,4,5,6,7,8,9,10,11},1),"0123456789")))=11),1,0))</f>
        <v/>
      </c>
      <c r="G491">
        <f>IF($F491=1,VALUE(MID($B491,4,7)),"")</f>
        <v/>
      </c>
      <c r="H491">
        <f>IF($F491=1,MOD($G491,7),"")</f>
        <v/>
      </c>
    </row>
    <row r="492">
      <c r="A492" s="6" t="n"/>
      <c r="B492" s="7">
        <f>IF($A492="","",SUBSTITUTE(SUBSTITUTE(SUBSTITUTE(SUBSTITUTE($A492," ",""),"-",""),".",""),"/",""))</f>
        <v/>
      </c>
      <c r="C492" s="8">
        <f>IF($F492=1,$H492,"")</f>
        <v/>
      </c>
      <c r="D492" s="7">
        <f>IF($A492="","",IF($F492=0,"Biçim hatalı",IF(FIND(MID($B492,11,1),"0123456789")-1=$H492,"Geçerli","Kontrol hanesi hatalı (doğrusu: "&amp;$H492&amp;")")))</f>
        <v/>
      </c>
      <c r="F492">
        <f>IF($A492="","",IF(AND(LEN($B492)=11,SUMPRODUCT(--ISNUMBER(FIND(MID($B492,{1,2,3,4,5,6,7,8,9,10,11},1),"0123456789")))=11),1,0))</f>
        <v/>
      </c>
      <c r="G492">
        <f>IF($F492=1,VALUE(MID($B492,4,7)),"")</f>
        <v/>
      </c>
      <c r="H492">
        <f>IF($F492=1,MOD($G492,7),"")</f>
        <v/>
      </c>
    </row>
    <row r="493">
      <c r="A493" s="6" t="n"/>
      <c r="B493" s="7">
        <f>IF($A493="","",SUBSTITUTE(SUBSTITUTE(SUBSTITUTE(SUBSTITUTE($A493," ",""),"-",""),".",""),"/",""))</f>
        <v/>
      </c>
      <c r="C493" s="8">
        <f>IF($F493=1,$H493,"")</f>
        <v/>
      </c>
      <c r="D493" s="7">
        <f>IF($A493="","",IF($F493=0,"Biçim hatalı",IF(FIND(MID($B493,11,1),"0123456789")-1=$H493,"Geçerli","Kontrol hanesi hatalı (doğrusu: "&amp;$H493&amp;")")))</f>
        <v/>
      </c>
      <c r="F493">
        <f>IF($A493="","",IF(AND(LEN($B493)=11,SUMPRODUCT(--ISNUMBER(FIND(MID($B493,{1,2,3,4,5,6,7,8,9,10,11},1),"0123456789")))=11),1,0))</f>
        <v/>
      </c>
      <c r="G493">
        <f>IF($F493=1,VALUE(MID($B493,4,7)),"")</f>
        <v/>
      </c>
      <c r="H493">
        <f>IF($F493=1,MOD($G493,7),"")</f>
        <v/>
      </c>
    </row>
    <row r="494">
      <c r="A494" s="6" t="n"/>
      <c r="B494" s="7">
        <f>IF($A494="","",SUBSTITUTE(SUBSTITUTE(SUBSTITUTE(SUBSTITUTE($A494," ",""),"-",""),".",""),"/",""))</f>
        <v/>
      </c>
      <c r="C494" s="8">
        <f>IF($F494=1,$H494,"")</f>
        <v/>
      </c>
      <c r="D494" s="7">
        <f>IF($A494="","",IF($F494=0,"Biçim hatalı",IF(FIND(MID($B494,11,1),"0123456789")-1=$H494,"Geçerli","Kontrol hanesi hatalı (doğrusu: "&amp;$H494&amp;")")))</f>
        <v/>
      </c>
      <c r="F494">
        <f>IF($A494="","",IF(AND(LEN($B494)=11,SUMPRODUCT(--ISNUMBER(FIND(MID($B494,{1,2,3,4,5,6,7,8,9,10,11},1),"0123456789")))=11),1,0))</f>
        <v/>
      </c>
      <c r="G494">
        <f>IF($F494=1,VALUE(MID($B494,4,7)),"")</f>
        <v/>
      </c>
      <c r="H494">
        <f>IF($F494=1,MOD($G494,7),"")</f>
        <v/>
      </c>
    </row>
    <row r="495">
      <c r="A495" s="6" t="n"/>
      <c r="B495" s="7">
        <f>IF($A495="","",SUBSTITUTE(SUBSTITUTE(SUBSTITUTE(SUBSTITUTE($A495," ",""),"-",""),".",""),"/",""))</f>
        <v/>
      </c>
      <c r="C495" s="8">
        <f>IF($F495=1,$H495,"")</f>
        <v/>
      </c>
      <c r="D495" s="7">
        <f>IF($A495="","",IF($F495=0,"Biçim hatalı",IF(FIND(MID($B495,11,1),"0123456789")-1=$H495,"Geçerli","Kontrol hanesi hatalı (doğrusu: "&amp;$H495&amp;")")))</f>
        <v/>
      </c>
      <c r="F495">
        <f>IF($A495="","",IF(AND(LEN($B495)=11,SUMPRODUCT(--ISNUMBER(FIND(MID($B495,{1,2,3,4,5,6,7,8,9,10,11},1),"0123456789")))=11),1,0))</f>
        <v/>
      </c>
      <c r="G495">
        <f>IF($F495=1,VALUE(MID($B495,4,7)),"")</f>
        <v/>
      </c>
      <c r="H495">
        <f>IF($F495=1,MOD($G495,7),"")</f>
        <v/>
      </c>
    </row>
    <row r="496">
      <c r="A496" s="6" t="n"/>
      <c r="B496" s="7">
        <f>IF($A496="","",SUBSTITUTE(SUBSTITUTE(SUBSTITUTE(SUBSTITUTE($A496," ",""),"-",""),".",""),"/",""))</f>
        <v/>
      </c>
      <c r="C496" s="8">
        <f>IF($F496=1,$H496,"")</f>
        <v/>
      </c>
      <c r="D496" s="7">
        <f>IF($A496="","",IF($F496=0,"Biçim hatalı",IF(FIND(MID($B496,11,1),"0123456789")-1=$H496,"Geçerli","Kontrol hanesi hatalı (doğrusu: "&amp;$H496&amp;")")))</f>
        <v/>
      </c>
      <c r="F496">
        <f>IF($A496="","",IF(AND(LEN($B496)=11,SUMPRODUCT(--ISNUMBER(FIND(MID($B496,{1,2,3,4,5,6,7,8,9,10,11},1),"0123456789")))=11),1,0))</f>
        <v/>
      </c>
      <c r="G496">
        <f>IF($F496=1,VALUE(MID($B496,4,7)),"")</f>
        <v/>
      </c>
      <c r="H496">
        <f>IF($F496=1,MOD($G496,7),"")</f>
        <v/>
      </c>
    </row>
    <row r="497">
      <c r="A497" s="6" t="n"/>
      <c r="B497" s="7">
        <f>IF($A497="","",SUBSTITUTE(SUBSTITUTE(SUBSTITUTE(SUBSTITUTE($A497," ",""),"-",""),".",""),"/",""))</f>
        <v/>
      </c>
      <c r="C497" s="8">
        <f>IF($F497=1,$H497,"")</f>
        <v/>
      </c>
      <c r="D497" s="7">
        <f>IF($A497="","",IF($F497=0,"Biçim hatalı",IF(FIND(MID($B497,11,1),"0123456789")-1=$H497,"Geçerli","Kontrol hanesi hatalı (doğrusu: "&amp;$H497&amp;")")))</f>
        <v/>
      </c>
      <c r="F497">
        <f>IF($A497="","",IF(AND(LEN($B497)=11,SUMPRODUCT(--ISNUMBER(FIND(MID($B497,{1,2,3,4,5,6,7,8,9,10,11},1),"0123456789")))=11),1,0))</f>
        <v/>
      </c>
      <c r="G497">
        <f>IF($F497=1,VALUE(MID($B497,4,7)),"")</f>
        <v/>
      </c>
      <c r="H497">
        <f>IF($F497=1,MOD($G497,7),"")</f>
        <v/>
      </c>
    </row>
    <row r="498">
      <c r="A498" s="6" t="n"/>
      <c r="B498" s="7">
        <f>IF($A498="","",SUBSTITUTE(SUBSTITUTE(SUBSTITUTE(SUBSTITUTE($A498," ",""),"-",""),".",""),"/",""))</f>
        <v/>
      </c>
      <c r="C498" s="8">
        <f>IF($F498=1,$H498,"")</f>
        <v/>
      </c>
      <c r="D498" s="7">
        <f>IF($A498="","",IF($F498=0,"Biçim hatalı",IF(FIND(MID($B498,11,1),"0123456789")-1=$H498,"Geçerli","Kontrol hanesi hatalı (doğrusu: "&amp;$H498&amp;")")))</f>
        <v/>
      </c>
      <c r="F498">
        <f>IF($A498="","",IF(AND(LEN($B498)=11,SUMPRODUCT(--ISNUMBER(FIND(MID($B498,{1,2,3,4,5,6,7,8,9,10,11},1),"0123456789")))=11),1,0))</f>
        <v/>
      </c>
      <c r="G498">
        <f>IF($F498=1,VALUE(MID($B498,4,7)),"")</f>
        <v/>
      </c>
      <c r="H498">
        <f>IF($F498=1,MOD($G498,7),"")</f>
        <v/>
      </c>
    </row>
    <row r="499">
      <c r="A499" s="6" t="n"/>
      <c r="B499" s="7">
        <f>IF($A499="","",SUBSTITUTE(SUBSTITUTE(SUBSTITUTE(SUBSTITUTE($A499," ",""),"-",""),".",""),"/",""))</f>
        <v/>
      </c>
      <c r="C499" s="8">
        <f>IF($F499=1,$H499,"")</f>
        <v/>
      </c>
      <c r="D499" s="7">
        <f>IF($A499="","",IF($F499=0,"Biçim hatalı",IF(FIND(MID($B499,11,1),"0123456789")-1=$H499,"Geçerli","Kontrol hanesi hatalı (doğrusu: "&amp;$H499&amp;")")))</f>
        <v/>
      </c>
      <c r="F499">
        <f>IF($A499="","",IF(AND(LEN($B499)=11,SUMPRODUCT(--ISNUMBER(FIND(MID($B499,{1,2,3,4,5,6,7,8,9,10,11},1),"0123456789")))=11),1,0))</f>
        <v/>
      </c>
      <c r="G499">
        <f>IF($F499=1,VALUE(MID($B499,4,7)),"")</f>
        <v/>
      </c>
      <c r="H499">
        <f>IF($F499=1,MOD($G499,7),"")</f>
        <v/>
      </c>
    </row>
    <row r="500">
      <c r="A500" s="6" t="n"/>
      <c r="B500" s="7">
        <f>IF($A500="","",SUBSTITUTE(SUBSTITUTE(SUBSTITUTE(SUBSTITUTE($A500," ",""),"-",""),".",""),"/",""))</f>
        <v/>
      </c>
      <c r="C500" s="8">
        <f>IF($F500=1,$H500,"")</f>
        <v/>
      </c>
      <c r="D500" s="7">
        <f>IF($A500="","",IF($F500=0,"Biçim hatalı",IF(FIND(MID($B500,11,1),"0123456789")-1=$H500,"Geçerli","Kontrol hanesi hatalı (doğrusu: "&amp;$H500&amp;")")))</f>
        <v/>
      </c>
      <c r="F500">
        <f>IF($A500="","",IF(AND(LEN($B500)=11,SUMPRODUCT(--ISNUMBER(FIND(MID($B500,{1,2,3,4,5,6,7,8,9,10,11},1),"0123456789")))=11),1,0))</f>
        <v/>
      </c>
      <c r="G500">
        <f>IF($F500=1,VALUE(MID($B500,4,7)),"")</f>
        <v/>
      </c>
      <c r="H500">
        <f>IF($F500=1,MOD($G500,7),"")</f>
        <v/>
      </c>
    </row>
    <row r="501">
      <c r="A501" s="6" t="n"/>
      <c r="B501" s="7">
        <f>IF($A501="","",SUBSTITUTE(SUBSTITUTE(SUBSTITUTE(SUBSTITUTE($A501," ",""),"-",""),".",""),"/",""))</f>
        <v/>
      </c>
      <c r="C501" s="8">
        <f>IF($F501=1,$H501,"")</f>
        <v/>
      </c>
      <c r="D501" s="7">
        <f>IF($A501="","",IF($F501=0,"Biçim hatalı",IF(FIND(MID($B501,11,1),"0123456789")-1=$H501,"Geçerli","Kontrol hanesi hatalı (doğrusu: "&amp;$H501&amp;")")))</f>
        <v/>
      </c>
      <c r="F501">
        <f>IF($A501="","",IF(AND(LEN($B501)=11,SUMPRODUCT(--ISNUMBER(FIND(MID($B501,{1,2,3,4,5,6,7,8,9,10,11},1),"0123456789")))=11),1,0))</f>
        <v/>
      </c>
      <c r="G501">
        <f>IF($F501=1,VALUE(MID($B501,4,7)),"")</f>
        <v/>
      </c>
      <c r="H501">
        <f>IF($F501=1,MOD($G501,7),"")</f>
        <v/>
      </c>
    </row>
    <row r="502">
      <c r="A502" s="6" t="n"/>
      <c r="B502" s="7">
        <f>IF($A502="","",SUBSTITUTE(SUBSTITUTE(SUBSTITUTE(SUBSTITUTE($A502," ",""),"-",""),".",""),"/",""))</f>
        <v/>
      </c>
      <c r="C502" s="8">
        <f>IF($F502=1,$H502,"")</f>
        <v/>
      </c>
      <c r="D502" s="7">
        <f>IF($A502="","",IF($F502=0,"Biçim hatalı",IF(FIND(MID($B502,11,1),"0123456789")-1=$H502,"Geçerli","Kontrol hanesi hatalı (doğrusu: "&amp;$H502&amp;")")))</f>
        <v/>
      </c>
      <c r="F502">
        <f>IF($A502="","",IF(AND(LEN($B502)=11,SUMPRODUCT(--ISNUMBER(FIND(MID($B502,{1,2,3,4,5,6,7,8,9,10,11},1),"0123456789")))=11),1,0))</f>
        <v/>
      </c>
      <c r="G502">
        <f>IF($F502=1,VALUE(MID($B502,4,7)),"")</f>
        <v/>
      </c>
      <c r="H502">
        <f>IF($F502=1,MOD($G502,7),"")</f>
        <v/>
      </c>
    </row>
    <row r="503">
      <c r="A503" s="6" t="n"/>
      <c r="B503" s="7">
        <f>IF($A503="","",SUBSTITUTE(SUBSTITUTE(SUBSTITUTE(SUBSTITUTE($A503," ",""),"-",""),".",""),"/",""))</f>
        <v/>
      </c>
      <c r="C503" s="8">
        <f>IF($F503=1,$H503,"")</f>
        <v/>
      </c>
      <c r="D503" s="7">
        <f>IF($A503="","",IF($F503=0,"Biçim hatalı",IF(FIND(MID($B503,11,1),"0123456789")-1=$H503,"Geçerli","Kontrol hanesi hatalı (doğrusu: "&amp;$H503&amp;")")))</f>
        <v/>
      </c>
      <c r="F503">
        <f>IF($A503="","",IF(AND(LEN($B503)=11,SUMPRODUCT(--ISNUMBER(FIND(MID($B503,{1,2,3,4,5,6,7,8,9,10,11},1),"0123456789")))=11),1,0))</f>
        <v/>
      </c>
      <c r="G503">
        <f>IF($F503=1,VALUE(MID($B503,4,7)),"")</f>
        <v/>
      </c>
      <c r="H503">
        <f>IF($F503=1,MOD($G503,7),"")</f>
        <v/>
      </c>
    </row>
    <row r="504">
      <c r="A504" s="6" t="n"/>
      <c r="B504" s="7">
        <f>IF($A504="","",SUBSTITUTE(SUBSTITUTE(SUBSTITUTE(SUBSTITUTE($A504," ",""),"-",""),".",""),"/",""))</f>
        <v/>
      </c>
      <c r="C504" s="8">
        <f>IF($F504=1,$H504,"")</f>
        <v/>
      </c>
      <c r="D504" s="7">
        <f>IF($A504="","",IF($F504=0,"Biçim hatalı",IF(FIND(MID($B504,11,1),"0123456789")-1=$H504,"Geçerli","Kontrol hanesi hatalı (doğrusu: "&amp;$H504&amp;")")))</f>
        <v/>
      </c>
      <c r="F504">
        <f>IF($A504="","",IF(AND(LEN($B504)=11,SUMPRODUCT(--ISNUMBER(FIND(MID($B504,{1,2,3,4,5,6,7,8,9,10,11},1),"0123456789")))=11),1,0))</f>
        <v/>
      </c>
      <c r="G504">
        <f>IF($F504=1,VALUE(MID($B504,4,7)),"")</f>
        <v/>
      </c>
      <c r="H504">
        <f>IF($F504=1,MOD($G504,7),"")</f>
        <v/>
      </c>
    </row>
    <row r="505">
      <c r="A505" s="6" t="n"/>
      <c r="B505" s="7">
        <f>IF($A505="","",SUBSTITUTE(SUBSTITUTE(SUBSTITUTE(SUBSTITUTE($A505," ",""),"-",""),".",""),"/",""))</f>
        <v/>
      </c>
      <c r="C505" s="8">
        <f>IF($F505=1,$H505,"")</f>
        <v/>
      </c>
      <c r="D505" s="7">
        <f>IF($A505="","",IF($F505=0,"Biçim hatalı",IF(FIND(MID($B505,11,1),"0123456789")-1=$H505,"Geçerli","Kontrol hanesi hatalı (doğrusu: "&amp;$H505&amp;")")))</f>
        <v/>
      </c>
      <c r="F505">
        <f>IF($A505="","",IF(AND(LEN($B505)=11,SUMPRODUCT(--ISNUMBER(FIND(MID($B505,{1,2,3,4,5,6,7,8,9,10,11},1),"0123456789")))=11),1,0))</f>
        <v/>
      </c>
      <c r="G505">
        <f>IF($F505=1,VALUE(MID($B505,4,7)),"")</f>
        <v/>
      </c>
      <c r="H505">
        <f>IF($F505=1,MOD($G505,7),"")</f>
        <v/>
      </c>
    </row>
    <row r="506">
      <c r="A506" s="6" t="n"/>
      <c r="B506" s="7">
        <f>IF($A506="","",SUBSTITUTE(SUBSTITUTE(SUBSTITUTE(SUBSTITUTE($A506," ",""),"-",""),".",""),"/",""))</f>
        <v/>
      </c>
      <c r="C506" s="8">
        <f>IF($F506=1,$H506,"")</f>
        <v/>
      </c>
      <c r="D506" s="7">
        <f>IF($A506="","",IF($F506=0,"Biçim hatalı",IF(FIND(MID($B506,11,1),"0123456789")-1=$H506,"Geçerli","Kontrol hanesi hatalı (doğrusu: "&amp;$H506&amp;")")))</f>
        <v/>
      </c>
      <c r="F506">
        <f>IF($A506="","",IF(AND(LEN($B506)=11,SUMPRODUCT(--ISNUMBER(FIND(MID($B506,{1,2,3,4,5,6,7,8,9,10,11},1),"0123456789")))=11),1,0))</f>
        <v/>
      </c>
      <c r="G506">
        <f>IF($F506=1,VALUE(MID($B506,4,7)),"")</f>
        <v/>
      </c>
      <c r="H506">
        <f>IF($F506=1,MOD($G506,7),"")</f>
        <v/>
      </c>
    </row>
    <row r="507">
      <c r="A507" s="6" t="n"/>
      <c r="B507" s="7">
        <f>IF($A507="","",SUBSTITUTE(SUBSTITUTE(SUBSTITUTE(SUBSTITUTE($A507," ",""),"-",""),".",""),"/",""))</f>
        <v/>
      </c>
      <c r="C507" s="8">
        <f>IF($F507=1,$H507,"")</f>
        <v/>
      </c>
      <c r="D507" s="7">
        <f>IF($A507="","",IF($F507=0,"Biçim hatalı",IF(FIND(MID($B507,11,1),"0123456789")-1=$H507,"Geçerli","Kontrol hanesi hatalı (doğrusu: "&amp;$H507&amp;")")))</f>
        <v/>
      </c>
      <c r="F507">
        <f>IF($A507="","",IF(AND(LEN($B507)=11,SUMPRODUCT(--ISNUMBER(FIND(MID($B507,{1,2,3,4,5,6,7,8,9,10,11},1),"0123456789")))=11),1,0))</f>
        <v/>
      </c>
      <c r="G507">
        <f>IF($F507=1,VALUE(MID($B507,4,7)),"")</f>
        <v/>
      </c>
      <c r="H507">
        <f>IF($F507=1,MOD($G507,7),"")</f>
        <v/>
      </c>
    </row>
    <row r="508">
      <c r="A508" s="6" t="n"/>
      <c r="B508" s="7">
        <f>IF($A508="","",SUBSTITUTE(SUBSTITUTE(SUBSTITUTE(SUBSTITUTE($A508," ",""),"-",""),".",""),"/",""))</f>
        <v/>
      </c>
      <c r="C508" s="8">
        <f>IF($F508=1,$H508,"")</f>
        <v/>
      </c>
      <c r="D508" s="7">
        <f>IF($A508="","",IF($F508=0,"Biçim hatalı",IF(FIND(MID($B508,11,1),"0123456789")-1=$H508,"Geçerli","Kontrol hanesi hatalı (doğrusu: "&amp;$H508&amp;")")))</f>
        <v/>
      </c>
      <c r="F508">
        <f>IF($A508="","",IF(AND(LEN($B508)=11,SUMPRODUCT(--ISNUMBER(FIND(MID($B508,{1,2,3,4,5,6,7,8,9,10,11},1),"0123456789")))=11),1,0))</f>
        <v/>
      </c>
      <c r="G508">
        <f>IF($F508=1,VALUE(MID($B508,4,7)),"")</f>
        <v/>
      </c>
      <c r="H508">
        <f>IF($F508=1,MOD($G508,7),"")</f>
        <v/>
      </c>
    </row>
    <row r="509">
      <c r="A509" s="6" t="n"/>
      <c r="B509" s="7">
        <f>IF($A509="","",SUBSTITUTE(SUBSTITUTE(SUBSTITUTE(SUBSTITUTE($A509," ",""),"-",""),".",""),"/",""))</f>
        <v/>
      </c>
      <c r="C509" s="8">
        <f>IF($F509=1,$H509,"")</f>
        <v/>
      </c>
      <c r="D509" s="7">
        <f>IF($A509="","",IF($F509=0,"Biçim hatalı",IF(FIND(MID($B509,11,1),"0123456789")-1=$H509,"Geçerli","Kontrol hanesi hatalı (doğrusu: "&amp;$H509&amp;")")))</f>
        <v/>
      </c>
      <c r="F509">
        <f>IF($A509="","",IF(AND(LEN($B509)=11,SUMPRODUCT(--ISNUMBER(FIND(MID($B509,{1,2,3,4,5,6,7,8,9,10,11},1),"0123456789")))=11),1,0))</f>
        <v/>
      </c>
      <c r="G509">
        <f>IF($F509=1,VALUE(MID($B509,4,7)),"")</f>
        <v/>
      </c>
      <c r="H509">
        <f>IF($F509=1,MOD($G509,7),"")</f>
        <v/>
      </c>
    </row>
    <row r="510">
      <c r="A510" s="6" t="n"/>
      <c r="B510" s="7">
        <f>IF($A510="","",SUBSTITUTE(SUBSTITUTE(SUBSTITUTE(SUBSTITUTE($A510," ",""),"-",""),".",""),"/",""))</f>
        <v/>
      </c>
      <c r="C510" s="8">
        <f>IF($F510=1,$H510,"")</f>
        <v/>
      </c>
      <c r="D510" s="7">
        <f>IF($A510="","",IF($F510=0,"Biçim hatalı",IF(FIND(MID($B510,11,1),"0123456789")-1=$H510,"Geçerli","Kontrol hanesi hatalı (doğrusu: "&amp;$H510&amp;")")))</f>
        <v/>
      </c>
      <c r="F510">
        <f>IF($A510="","",IF(AND(LEN($B510)=11,SUMPRODUCT(--ISNUMBER(FIND(MID($B510,{1,2,3,4,5,6,7,8,9,10,11},1),"0123456789")))=11),1,0))</f>
        <v/>
      </c>
      <c r="G510">
        <f>IF($F510=1,VALUE(MID($B510,4,7)),"")</f>
        <v/>
      </c>
      <c r="H510">
        <f>IF($F510=1,MOD($G510,7),"")</f>
        <v/>
      </c>
    </row>
    <row r="511">
      <c r="A511" s="6" t="n"/>
      <c r="B511" s="7">
        <f>IF($A511="","",SUBSTITUTE(SUBSTITUTE(SUBSTITUTE(SUBSTITUTE($A511," ",""),"-",""),".",""),"/",""))</f>
        <v/>
      </c>
      <c r="C511" s="8">
        <f>IF($F511=1,$H511,"")</f>
        <v/>
      </c>
      <c r="D511" s="7">
        <f>IF($A511="","",IF($F511=0,"Biçim hatalı",IF(FIND(MID($B511,11,1),"0123456789")-1=$H511,"Geçerli","Kontrol hanesi hatalı (doğrusu: "&amp;$H511&amp;")")))</f>
        <v/>
      </c>
      <c r="F511">
        <f>IF($A511="","",IF(AND(LEN($B511)=11,SUMPRODUCT(--ISNUMBER(FIND(MID($B511,{1,2,3,4,5,6,7,8,9,10,11},1),"0123456789")))=11),1,0))</f>
        <v/>
      </c>
      <c r="G511">
        <f>IF($F511=1,VALUE(MID($B511,4,7)),"")</f>
        <v/>
      </c>
      <c r="H511">
        <f>IF($F511=1,MOD($G511,7),"")</f>
        <v/>
      </c>
    </row>
    <row r="512">
      <c r="A512" s="6" t="n"/>
      <c r="B512" s="7">
        <f>IF($A512="","",SUBSTITUTE(SUBSTITUTE(SUBSTITUTE(SUBSTITUTE($A512," ",""),"-",""),".",""),"/",""))</f>
        <v/>
      </c>
      <c r="C512" s="8">
        <f>IF($F512=1,$H512,"")</f>
        <v/>
      </c>
      <c r="D512" s="7">
        <f>IF($A512="","",IF($F512=0,"Biçim hatalı",IF(FIND(MID($B512,11,1),"0123456789")-1=$H512,"Geçerli","Kontrol hanesi hatalı (doğrusu: "&amp;$H512&amp;")")))</f>
        <v/>
      </c>
      <c r="F512">
        <f>IF($A512="","",IF(AND(LEN($B512)=11,SUMPRODUCT(--ISNUMBER(FIND(MID($B512,{1,2,3,4,5,6,7,8,9,10,11},1),"0123456789")))=11),1,0))</f>
        <v/>
      </c>
      <c r="G512">
        <f>IF($F512=1,VALUE(MID($B512,4,7)),"")</f>
        <v/>
      </c>
      <c r="H512">
        <f>IF($F512=1,MOD($G512,7),"")</f>
        <v/>
      </c>
    </row>
    <row r="513">
      <c r="A513" s="6" t="n"/>
      <c r="B513" s="7">
        <f>IF($A513="","",SUBSTITUTE(SUBSTITUTE(SUBSTITUTE(SUBSTITUTE($A513," ",""),"-",""),".",""),"/",""))</f>
        <v/>
      </c>
      <c r="C513" s="8">
        <f>IF($F513=1,$H513,"")</f>
        <v/>
      </c>
      <c r="D513" s="7">
        <f>IF($A513="","",IF($F513=0,"Biçim hatalı",IF(FIND(MID($B513,11,1),"0123456789")-1=$H513,"Geçerli","Kontrol hanesi hatalı (doğrusu: "&amp;$H513&amp;")")))</f>
        <v/>
      </c>
      <c r="F513">
        <f>IF($A513="","",IF(AND(LEN($B513)=11,SUMPRODUCT(--ISNUMBER(FIND(MID($B513,{1,2,3,4,5,6,7,8,9,10,11},1),"0123456789")))=11),1,0))</f>
        <v/>
      </c>
      <c r="G513">
        <f>IF($F513=1,VALUE(MID($B513,4,7)),"")</f>
        <v/>
      </c>
      <c r="H513">
        <f>IF($F513=1,MOD($G513,7),"")</f>
        <v/>
      </c>
    </row>
    <row r="514">
      <c r="A514" s="6" t="n"/>
      <c r="B514" s="7">
        <f>IF($A514="","",SUBSTITUTE(SUBSTITUTE(SUBSTITUTE(SUBSTITUTE($A514," ",""),"-",""),".",""),"/",""))</f>
        <v/>
      </c>
      <c r="C514" s="8">
        <f>IF($F514=1,$H514,"")</f>
        <v/>
      </c>
      <c r="D514" s="7">
        <f>IF($A514="","",IF($F514=0,"Biçim hatalı",IF(FIND(MID($B514,11,1),"0123456789")-1=$H514,"Geçerli","Kontrol hanesi hatalı (doğrusu: "&amp;$H514&amp;")")))</f>
        <v/>
      </c>
      <c r="F514">
        <f>IF($A514="","",IF(AND(LEN($B514)=11,SUMPRODUCT(--ISNUMBER(FIND(MID($B514,{1,2,3,4,5,6,7,8,9,10,11},1),"0123456789")))=11),1,0))</f>
        <v/>
      </c>
      <c r="G514">
        <f>IF($F514=1,VALUE(MID($B514,4,7)),"")</f>
        <v/>
      </c>
      <c r="H514">
        <f>IF($F514=1,MOD($G514,7),"")</f>
        <v/>
      </c>
    </row>
    <row r="515">
      <c r="A515" s="6" t="n"/>
      <c r="B515" s="7">
        <f>IF($A515="","",SUBSTITUTE(SUBSTITUTE(SUBSTITUTE(SUBSTITUTE($A515," ",""),"-",""),".",""),"/",""))</f>
        <v/>
      </c>
      <c r="C515" s="8">
        <f>IF($F515=1,$H515,"")</f>
        <v/>
      </c>
      <c r="D515" s="7">
        <f>IF($A515="","",IF($F515=0,"Biçim hatalı",IF(FIND(MID($B515,11,1),"0123456789")-1=$H515,"Geçerli","Kontrol hanesi hatalı (doğrusu: "&amp;$H515&amp;")")))</f>
        <v/>
      </c>
      <c r="F515">
        <f>IF($A515="","",IF(AND(LEN($B515)=11,SUMPRODUCT(--ISNUMBER(FIND(MID($B515,{1,2,3,4,5,6,7,8,9,10,11},1),"0123456789")))=11),1,0))</f>
        <v/>
      </c>
      <c r="G515">
        <f>IF($F515=1,VALUE(MID($B515,4,7)),"")</f>
        <v/>
      </c>
      <c r="H515">
        <f>IF($F515=1,MOD($G515,7),"")</f>
        <v/>
      </c>
    </row>
    <row r="516">
      <c r="A516" s="6" t="n"/>
      <c r="B516" s="7">
        <f>IF($A516="","",SUBSTITUTE(SUBSTITUTE(SUBSTITUTE(SUBSTITUTE($A516," ",""),"-",""),".",""),"/",""))</f>
        <v/>
      </c>
      <c r="C516" s="8">
        <f>IF($F516=1,$H516,"")</f>
        <v/>
      </c>
      <c r="D516" s="7">
        <f>IF($A516="","",IF($F516=0,"Biçim hatalı",IF(FIND(MID($B516,11,1),"0123456789")-1=$H516,"Geçerli","Kontrol hanesi hatalı (doğrusu: "&amp;$H516&amp;")")))</f>
        <v/>
      </c>
      <c r="F516">
        <f>IF($A516="","",IF(AND(LEN($B516)=11,SUMPRODUCT(--ISNUMBER(FIND(MID($B516,{1,2,3,4,5,6,7,8,9,10,11},1),"0123456789")))=11),1,0))</f>
        <v/>
      </c>
      <c r="G516">
        <f>IF($F516=1,VALUE(MID($B516,4,7)),"")</f>
        <v/>
      </c>
      <c r="H516">
        <f>IF($F516=1,MOD($G516,7),"")</f>
        <v/>
      </c>
    </row>
    <row r="517">
      <c r="A517" s="6" t="n"/>
      <c r="B517" s="7">
        <f>IF($A517="","",SUBSTITUTE(SUBSTITUTE(SUBSTITUTE(SUBSTITUTE($A517," ",""),"-",""),".",""),"/",""))</f>
        <v/>
      </c>
      <c r="C517" s="8">
        <f>IF($F517=1,$H517,"")</f>
        <v/>
      </c>
      <c r="D517" s="7">
        <f>IF($A517="","",IF($F517=0,"Biçim hatalı",IF(FIND(MID($B517,11,1),"0123456789")-1=$H517,"Geçerli","Kontrol hanesi hatalı (doğrusu: "&amp;$H517&amp;")")))</f>
        <v/>
      </c>
      <c r="F517">
        <f>IF($A517="","",IF(AND(LEN($B517)=11,SUMPRODUCT(--ISNUMBER(FIND(MID($B517,{1,2,3,4,5,6,7,8,9,10,11},1),"0123456789")))=11),1,0))</f>
        <v/>
      </c>
      <c r="G517">
        <f>IF($F517=1,VALUE(MID($B517,4,7)),"")</f>
        <v/>
      </c>
      <c r="H517">
        <f>IF($F517=1,MOD($G517,7),"")</f>
        <v/>
      </c>
    </row>
    <row r="518">
      <c r="A518" s="6" t="n"/>
      <c r="B518" s="7">
        <f>IF($A518="","",SUBSTITUTE(SUBSTITUTE(SUBSTITUTE(SUBSTITUTE($A518," ",""),"-",""),".",""),"/",""))</f>
        <v/>
      </c>
      <c r="C518" s="8">
        <f>IF($F518=1,$H518,"")</f>
        <v/>
      </c>
      <c r="D518" s="7">
        <f>IF($A518="","",IF($F518=0,"Biçim hatalı",IF(FIND(MID($B518,11,1),"0123456789")-1=$H518,"Geçerli","Kontrol hanesi hatalı (doğrusu: "&amp;$H518&amp;")")))</f>
        <v/>
      </c>
      <c r="F518">
        <f>IF($A518="","",IF(AND(LEN($B518)=11,SUMPRODUCT(--ISNUMBER(FIND(MID($B518,{1,2,3,4,5,6,7,8,9,10,11},1),"0123456789")))=11),1,0))</f>
        <v/>
      </c>
      <c r="G518">
        <f>IF($F518=1,VALUE(MID($B518,4,7)),"")</f>
        <v/>
      </c>
      <c r="H518">
        <f>IF($F518=1,MOD($G518,7),"")</f>
        <v/>
      </c>
    </row>
    <row r="519">
      <c r="A519" s="6" t="n"/>
      <c r="B519" s="7">
        <f>IF($A519="","",SUBSTITUTE(SUBSTITUTE(SUBSTITUTE(SUBSTITUTE($A519," ",""),"-",""),".",""),"/",""))</f>
        <v/>
      </c>
      <c r="C519" s="8">
        <f>IF($F519=1,$H519,"")</f>
        <v/>
      </c>
      <c r="D519" s="7">
        <f>IF($A519="","",IF($F519=0,"Biçim hatalı",IF(FIND(MID($B519,11,1),"0123456789")-1=$H519,"Geçerli","Kontrol hanesi hatalı (doğrusu: "&amp;$H519&amp;")")))</f>
        <v/>
      </c>
      <c r="F519">
        <f>IF($A519="","",IF(AND(LEN($B519)=11,SUMPRODUCT(--ISNUMBER(FIND(MID($B519,{1,2,3,4,5,6,7,8,9,10,11},1),"0123456789")))=11),1,0))</f>
        <v/>
      </c>
      <c r="G519">
        <f>IF($F519=1,VALUE(MID($B519,4,7)),"")</f>
        <v/>
      </c>
      <c r="H519">
        <f>IF($F519=1,MOD($G519,7),"")</f>
        <v/>
      </c>
    </row>
    <row r="520">
      <c r="A520" s="6" t="n"/>
      <c r="B520" s="7">
        <f>IF($A520="","",SUBSTITUTE(SUBSTITUTE(SUBSTITUTE(SUBSTITUTE($A520," ",""),"-",""),".",""),"/",""))</f>
        <v/>
      </c>
      <c r="C520" s="8">
        <f>IF($F520=1,$H520,"")</f>
        <v/>
      </c>
      <c r="D520" s="7">
        <f>IF($A520="","",IF($F520=0,"Biçim hatalı",IF(FIND(MID($B520,11,1),"0123456789")-1=$H520,"Geçerli","Kontrol hanesi hatalı (doğrusu: "&amp;$H520&amp;")")))</f>
        <v/>
      </c>
      <c r="F520">
        <f>IF($A520="","",IF(AND(LEN($B520)=11,SUMPRODUCT(--ISNUMBER(FIND(MID($B520,{1,2,3,4,5,6,7,8,9,10,11},1),"0123456789")))=11),1,0))</f>
        <v/>
      </c>
      <c r="G520">
        <f>IF($F520=1,VALUE(MID($B520,4,7)),"")</f>
        <v/>
      </c>
      <c r="H520">
        <f>IF($F520=1,MOD($G520,7),"")</f>
        <v/>
      </c>
    </row>
    <row r="521">
      <c r="A521" s="6" t="n"/>
      <c r="B521" s="7">
        <f>IF($A521="","",SUBSTITUTE(SUBSTITUTE(SUBSTITUTE(SUBSTITUTE($A521," ",""),"-",""),".",""),"/",""))</f>
        <v/>
      </c>
      <c r="C521" s="8">
        <f>IF($F521=1,$H521,"")</f>
        <v/>
      </c>
      <c r="D521" s="7">
        <f>IF($A521="","",IF($F521=0,"Biçim hatalı",IF(FIND(MID($B521,11,1),"0123456789")-1=$H521,"Geçerli","Kontrol hanesi hatalı (doğrusu: "&amp;$H521&amp;")")))</f>
        <v/>
      </c>
      <c r="F521">
        <f>IF($A521="","",IF(AND(LEN($B521)=11,SUMPRODUCT(--ISNUMBER(FIND(MID($B521,{1,2,3,4,5,6,7,8,9,10,11},1),"0123456789")))=11),1,0))</f>
        <v/>
      </c>
      <c r="G521">
        <f>IF($F521=1,VALUE(MID($B521,4,7)),"")</f>
        <v/>
      </c>
      <c r="H521">
        <f>IF($F521=1,MOD($G521,7),"")</f>
        <v/>
      </c>
    </row>
    <row r="522">
      <c r="A522" s="6" t="n"/>
      <c r="B522" s="7">
        <f>IF($A522="","",SUBSTITUTE(SUBSTITUTE(SUBSTITUTE(SUBSTITUTE($A522," ",""),"-",""),".",""),"/",""))</f>
        <v/>
      </c>
      <c r="C522" s="8">
        <f>IF($F522=1,$H522,"")</f>
        <v/>
      </c>
      <c r="D522" s="7">
        <f>IF($A522="","",IF($F522=0,"Biçim hatalı",IF(FIND(MID($B522,11,1),"0123456789")-1=$H522,"Geçerli","Kontrol hanesi hatalı (doğrusu: "&amp;$H522&amp;")")))</f>
        <v/>
      </c>
      <c r="F522">
        <f>IF($A522="","",IF(AND(LEN($B522)=11,SUMPRODUCT(--ISNUMBER(FIND(MID($B522,{1,2,3,4,5,6,7,8,9,10,11},1),"0123456789")))=11),1,0))</f>
        <v/>
      </c>
      <c r="G522">
        <f>IF($F522=1,VALUE(MID($B522,4,7)),"")</f>
        <v/>
      </c>
      <c r="H522">
        <f>IF($F522=1,MOD($G522,7),"")</f>
        <v/>
      </c>
    </row>
    <row r="523">
      <c r="A523" s="6" t="n"/>
      <c r="B523" s="7">
        <f>IF($A523="","",SUBSTITUTE(SUBSTITUTE(SUBSTITUTE(SUBSTITUTE($A523," ",""),"-",""),".",""),"/",""))</f>
        <v/>
      </c>
      <c r="C523" s="8">
        <f>IF($F523=1,$H523,"")</f>
        <v/>
      </c>
      <c r="D523" s="7">
        <f>IF($A523="","",IF($F523=0,"Biçim hatalı",IF(FIND(MID($B523,11,1),"0123456789")-1=$H523,"Geçerli","Kontrol hanesi hatalı (doğrusu: "&amp;$H523&amp;")")))</f>
        <v/>
      </c>
      <c r="F523">
        <f>IF($A523="","",IF(AND(LEN($B523)=11,SUMPRODUCT(--ISNUMBER(FIND(MID($B523,{1,2,3,4,5,6,7,8,9,10,11},1),"0123456789")))=11),1,0))</f>
        <v/>
      </c>
      <c r="G523">
        <f>IF($F523=1,VALUE(MID($B523,4,7)),"")</f>
        <v/>
      </c>
      <c r="H523">
        <f>IF($F523=1,MOD($G523,7),"")</f>
        <v/>
      </c>
    </row>
    <row r="524">
      <c r="A524" s="6" t="n"/>
      <c r="B524" s="7">
        <f>IF($A524="","",SUBSTITUTE(SUBSTITUTE(SUBSTITUTE(SUBSTITUTE($A524," ",""),"-",""),".",""),"/",""))</f>
        <v/>
      </c>
      <c r="C524" s="8">
        <f>IF($F524=1,$H524,"")</f>
        <v/>
      </c>
      <c r="D524" s="7">
        <f>IF($A524="","",IF($F524=0,"Biçim hatalı",IF(FIND(MID($B524,11,1),"0123456789")-1=$H524,"Geçerli","Kontrol hanesi hatalı (doğrusu: "&amp;$H524&amp;")")))</f>
        <v/>
      </c>
      <c r="F524">
        <f>IF($A524="","",IF(AND(LEN($B524)=11,SUMPRODUCT(--ISNUMBER(FIND(MID($B524,{1,2,3,4,5,6,7,8,9,10,11},1),"0123456789")))=11),1,0))</f>
        <v/>
      </c>
      <c r="G524">
        <f>IF($F524=1,VALUE(MID($B524,4,7)),"")</f>
        <v/>
      </c>
      <c r="H524">
        <f>IF($F524=1,MOD($G524,7),"")</f>
        <v/>
      </c>
    </row>
    <row r="525">
      <c r="A525" s="6" t="n"/>
      <c r="B525" s="7">
        <f>IF($A525="","",SUBSTITUTE(SUBSTITUTE(SUBSTITUTE(SUBSTITUTE($A525," ",""),"-",""),".",""),"/",""))</f>
        <v/>
      </c>
      <c r="C525" s="8">
        <f>IF($F525=1,$H525,"")</f>
        <v/>
      </c>
      <c r="D525" s="7">
        <f>IF($A525="","",IF($F525=0,"Biçim hatalı",IF(FIND(MID($B525,11,1),"0123456789")-1=$H525,"Geçerli","Kontrol hanesi hatalı (doğrusu: "&amp;$H525&amp;")")))</f>
        <v/>
      </c>
      <c r="F525">
        <f>IF($A525="","",IF(AND(LEN($B525)=11,SUMPRODUCT(--ISNUMBER(FIND(MID($B525,{1,2,3,4,5,6,7,8,9,10,11},1),"0123456789")))=11),1,0))</f>
        <v/>
      </c>
      <c r="G525">
        <f>IF($F525=1,VALUE(MID($B525,4,7)),"")</f>
        <v/>
      </c>
      <c r="H525">
        <f>IF($F525=1,MOD($G525,7),"")</f>
        <v/>
      </c>
    </row>
    <row r="526">
      <c r="A526" s="6" t="n"/>
      <c r="B526" s="7">
        <f>IF($A526="","",SUBSTITUTE(SUBSTITUTE(SUBSTITUTE(SUBSTITUTE($A526," ",""),"-",""),".",""),"/",""))</f>
        <v/>
      </c>
      <c r="C526" s="8">
        <f>IF($F526=1,$H526,"")</f>
        <v/>
      </c>
      <c r="D526" s="7">
        <f>IF($A526="","",IF($F526=0,"Biçim hatalı",IF(FIND(MID($B526,11,1),"0123456789")-1=$H526,"Geçerli","Kontrol hanesi hatalı (doğrusu: "&amp;$H526&amp;")")))</f>
        <v/>
      </c>
      <c r="F526">
        <f>IF($A526="","",IF(AND(LEN($B526)=11,SUMPRODUCT(--ISNUMBER(FIND(MID($B526,{1,2,3,4,5,6,7,8,9,10,11},1),"0123456789")))=11),1,0))</f>
        <v/>
      </c>
      <c r="G526">
        <f>IF($F526=1,VALUE(MID($B526,4,7)),"")</f>
        <v/>
      </c>
      <c r="H526">
        <f>IF($F526=1,MOD($G526,7),"")</f>
        <v/>
      </c>
    </row>
    <row r="527">
      <c r="A527" s="6" t="n"/>
      <c r="B527" s="7">
        <f>IF($A527="","",SUBSTITUTE(SUBSTITUTE(SUBSTITUTE(SUBSTITUTE($A527," ",""),"-",""),".",""),"/",""))</f>
        <v/>
      </c>
      <c r="C527" s="8">
        <f>IF($F527=1,$H527,"")</f>
        <v/>
      </c>
      <c r="D527" s="7">
        <f>IF($A527="","",IF($F527=0,"Biçim hatalı",IF(FIND(MID($B527,11,1),"0123456789")-1=$H527,"Geçerli","Kontrol hanesi hatalı (doğrusu: "&amp;$H527&amp;")")))</f>
        <v/>
      </c>
      <c r="F527">
        <f>IF($A527="","",IF(AND(LEN($B527)=11,SUMPRODUCT(--ISNUMBER(FIND(MID($B527,{1,2,3,4,5,6,7,8,9,10,11},1),"0123456789")))=11),1,0))</f>
        <v/>
      </c>
      <c r="G527">
        <f>IF($F527=1,VALUE(MID($B527,4,7)),"")</f>
        <v/>
      </c>
      <c r="H527">
        <f>IF($F527=1,MOD($G527,7),"")</f>
        <v/>
      </c>
    </row>
    <row r="528">
      <c r="A528" s="6" t="n"/>
      <c r="B528" s="7">
        <f>IF($A528="","",SUBSTITUTE(SUBSTITUTE(SUBSTITUTE(SUBSTITUTE($A528," ",""),"-",""),".",""),"/",""))</f>
        <v/>
      </c>
      <c r="C528" s="8">
        <f>IF($F528=1,$H528,"")</f>
        <v/>
      </c>
      <c r="D528" s="7">
        <f>IF($A528="","",IF($F528=0,"Biçim hatalı",IF(FIND(MID($B528,11,1),"0123456789")-1=$H528,"Geçerli","Kontrol hanesi hatalı (doğrusu: "&amp;$H528&amp;")")))</f>
        <v/>
      </c>
      <c r="F528">
        <f>IF($A528="","",IF(AND(LEN($B528)=11,SUMPRODUCT(--ISNUMBER(FIND(MID($B528,{1,2,3,4,5,6,7,8,9,10,11},1),"0123456789")))=11),1,0))</f>
        <v/>
      </c>
      <c r="G528">
        <f>IF($F528=1,VALUE(MID($B528,4,7)),"")</f>
        <v/>
      </c>
      <c r="H528">
        <f>IF($F528=1,MOD($G528,7),"")</f>
        <v/>
      </c>
    </row>
    <row r="529">
      <c r="A529" s="6" t="n"/>
      <c r="B529" s="7">
        <f>IF($A529="","",SUBSTITUTE(SUBSTITUTE(SUBSTITUTE(SUBSTITUTE($A529," ",""),"-",""),".",""),"/",""))</f>
        <v/>
      </c>
      <c r="C529" s="8">
        <f>IF($F529=1,$H529,"")</f>
        <v/>
      </c>
      <c r="D529" s="7">
        <f>IF($A529="","",IF($F529=0,"Biçim hatalı",IF(FIND(MID($B529,11,1),"0123456789")-1=$H529,"Geçerli","Kontrol hanesi hatalı (doğrusu: "&amp;$H529&amp;")")))</f>
        <v/>
      </c>
      <c r="F529">
        <f>IF($A529="","",IF(AND(LEN($B529)=11,SUMPRODUCT(--ISNUMBER(FIND(MID($B529,{1,2,3,4,5,6,7,8,9,10,11},1),"0123456789")))=11),1,0))</f>
        <v/>
      </c>
      <c r="G529">
        <f>IF($F529=1,VALUE(MID($B529,4,7)),"")</f>
        <v/>
      </c>
      <c r="H529">
        <f>IF($F529=1,MOD($G529,7),"")</f>
        <v/>
      </c>
    </row>
    <row r="530">
      <c r="A530" s="6" t="n"/>
      <c r="B530" s="7">
        <f>IF($A530="","",SUBSTITUTE(SUBSTITUTE(SUBSTITUTE(SUBSTITUTE($A530," ",""),"-",""),".",""),"/",""))</f>
        <v/>
      </c>
      <c r="C530" s="8">
        <f>IF($F530=1,$H530,"")</f>
        <v/>
      </c>
      <c r="D530" s="7">
        <f>IF($A530="","",IF($F530=0,"Biçim hatalı",IF(FIND(MID($B530,11,1),"0123456789")-1=$H530,"Geçerli","Kontrol hanesi hatalı (doğrusu: "&amp;$H530&amp;")")))</f>
        <v/>
      </c>
      <c r="F530">
        <f>IF($A530="","",IF(AND(LEN($B530)=11,SUMPRODUCT(--ISNUMBER(FIND(MID($B530,{1,2,3,4,5,6,7,8,9,10,11},1),"0123456789")))=11),1,0))</f>
        <v/>
      </c>
      <c r="G530">
        <f>IF($F530=1,VALUE(MID($B530,4,7)),"")</f>
        <v/>
      </c>
      <c r="H530">
        <f>IF($F530=1,MOD($G530,7),"")</f>
        <v/>
      </c>
    </row>
    <row r="531">
      <c r="A531" s="6" t="n"/>
      <c r="B531" s="7">
        <f>IF($A531="","",SUBSTITUTE(SUBSTITUTE(SUBSTITUTE(SUBSTITUTE($A531," ",""),"-",""),".",""),"/",""))</f>
        <v/>
      </c>
      <c r="C531" s="8">
        <f>IF($F531=1,$H531,"")</f>
        <v/>
      </c>
      <c r="D531" s="7">
        <f>IF($A531="","",IF($F531=0,"Biçim hatalı",IF(FIND(MID($B531,11,1),"0123456789")-1=$H531,"Geçerli","Kontrol hanesi hatalı (doğrusu: "&amp;$H531&amp;")")))</f>
        <v/>
      </c>
      <c r="F531">
        <f>IF($A531="","",IF(AND(LEN($B531)=11,SUMPRODUCT(--ISNUMBER(FIND(MID($B531,{1,2,3,4,5,6,7,8,9,10,11},1),"0123456789")))=11),1,0))</f>
        <v/>
      </c>
      <c r="G531">
        <f>IF($F531=1,VALUE(MID($B531,4,7)),"")</f>
        <v/>
      </c>
      <c r="H531">
        <f>IF($F531=1,MOD($G531,7),"")</f>
        <v/>
      </c>
    </row>
    <row r="532">
      <c r="A532" s="6" t="n"/>
      <c r="B532" s="7">
        <f>IF($A532="","",SUBSTITUTE(SUBSTITUTE(SUBSTITUTE(SUBSTITUTE($A532," ",""),"-",""),".",""),"/",""))</f>
        <v/>
      </c>
      <c r="C532" s="8">
        <f>IF($F532=1,$H532,"")</f>
        <v/>
      </c>
      <c r="D532" s="7">
        <f>IF($A532="","",IF($F532=0,"Biçim hatalı",IF(FIND(MID($B532,11,1),"0123456789")-1=$H532,"Geçerli","Kontrol hanesi hatalı (doğrusu: "&amp;$H532&amp;")")))</f>
        <v/>
      </c>
      <c r="F532">
        <f>IF($A532="","",IF(AND(LEN($B532)=11,SUMPRODUCT(--ISNUMBER(FIND(MID($B532,{1,2,3,4,5,6,7,8,9,10,11},1),"0123456789")))=11),1,0))</f>
        <v/>
      </c>
      <c r="G532">
        <f>IF($F532=1,VALUE(MID($B532,4,7)),"")</f>
        <v/>
      </c>
      <c r="H532">
        <f>IF($F532=1,MOD($G532,7),"")</f>
        <v/>
      </c>
    </row>
    <row r="533">
      <c r="A533" s="6" t="n"/>
      <c r="B533" s="7">
        <f>IF($A533="","",SUBSTITUTE(SUBSTITUTE(SUBSTITUTE(SUBSTITUTE($A533," ",""),"-",""),".",""),"/",""))</f>
        <v/>
      </c>
      <c r="C533" s="8">
        <f>IF($F533=1,$H533,"")</f>
        <v/>
      </c>
      <c r="D533" s="7">
        <f>IF($A533="","",IF($F533=0,"Biçim hatalı",IF(FIND(MID($B533,11,1),"0123456789")-1=$H533,"Geçerli","Kontrol hanesi hatalı (doğrusu: "&amp;$H533&amp;")")))</f>
        <v/>
      </c>
      <c r="F533">
        <f>IF($A533="","",IF(AND(LEN($B533)=11,SUMPRODUCT(--ISNUMBER(FIND(MID($B533,{1,2,3,4,5,6,7,8,9,10,11},1),"0123456789")))=11),1,0))</f>
        <v/>
      </c>
      <c r="G533">
        <f>IF($F533=1,VALUE(MID($B533,4,7)),"")</f>
        <v/>
      </c>
      <c r="H533">
        <f>IF($F533=1,MOD($G533,7),"")</f>
        <v/>
      </c>
    </row>
    <row r="534">
      <c r="A534" s="6" t="n"/>
      <c r="B534" s="7">
        <f>IF($A534="","",SUBSTITUTE(SUBSTITUTE(SUBSTITUTE(SUBSTITUTE($A534," ",""),"-",""),".",""),"/",""))</f>
        <v/>
      </c>
      <c r="C534" s="8">
        <f>IF($F534=1,$H534,"")</f>
        <v/>
      </c>
      <c r="D534" s="7">
        <f>IF($A534="","",IF($F534=0,"Biçim hatalı",IF(FIND(MID($B534,11,1),"0123456789")-1=$H534,"Geçerli","Kontrol hanesi hatalı (doğrusu: "&amp;$H534&amp;")")))</f>
        <v/>
      </c>
      <c r="F534">
        <f>IF($A534="","",IF(AND(LEN($B534)=11,SUMPRODUCT(--ISNUMBER(FIND(MID($B534,{1,2,3,4,5,6,7,8,9,10,11},1),"0123456789")))=11),1,0))</f>
        <v/>
      </c>
      <c r="G534">
        <f>IF($F534=1,VALUE(MID($B534,4,7)),"")</f>
        <v/>
      </c>
      <c r="H534">
        <f>IF($F534=1,MOD($G534,7),"")</f>
        <v/>
      </c>
    </row>
    <row r="535">
      <c r="A535" s="6" t="n"/>
      <c r="B535" s="7">
        <f>IF($A535="","",SUBSTITUTE(SUBSTITUTE(SUBSTITUTE(SUBSTITUTE($A535," ",""),"-",""),".",""),"/",""))</f>
        <v/>
      </c>
      <c r="C535" s="8">
        <f>IF($F535=1,$H535,"")</f>
        <v/>
      </c>
      <c r="D535" s="7">
        <f>IF($A535="","",IF($F535=0,"Biçim hatalı",IF(FIND(MID($B535,11,1),"0123456789")-1=$H535,"Geçerli","Kontrol hanesi hatalı (doğrusu: "&amp;$H535&amp;")")))</f>
        <v/>
      </c>
      <c r="F535">
        <f>IF($A535="","",IF(AND(LEN($B535)=11,SUMPRODUCT(--ISNUMBER(FIND(MID($B535,{1,2,3,4,5,6,7,8,9,10,11},1),"0123456789")))=11),1,0))</f>
        <v/>
      </c>
      <c r="G535">
        <f>IF($F535=1,VALUE(MID($B535,4,7)),"")</f>
        <v/>
      </c>
      <c r="H535">
        <f>IF($F535=1,MOD($G535,7),"")</f>
        <v/>
      </c>
    </row>
    <row r="536">
      <c r="A536" s="6" t="n"/>
      <c r="B536" s="7">
        <f>IF($A536="","",SUBSTITUTE(SUBSTITUTE(SUBSTITUTE(SUBSTITUTE($A536," ",""),"-",""),".",""),"/",""))</f>
        <v/>
      </c>
      <c r="C536" s="8">
        <f>IF($F536=1,$H536,"")</f>
        <v/>
      </c>
      <c r="D536" s="7">
        <f>IF($A536="","",IF($F536=0,"Biçim hatalı",IF(FIND(MID($B536,11,1),"0123456789")-1=$H536,"Geçerli","Kontrol hanesi hatalı (doğrusu: "&amp;$H536&amp;")")))</f>
        <v/>
      </c>
      <c r="F536">
        <f>IF($A536="","",IF(AND(LEN($B536)=11,SUMPRODUCT(--ISNUMBER(FIND(MID($B536,{1,2,3,4,5,6,7,8,9,10,11},1),"0123456789")))=11),1,0))</f>
        <v/>
      </c>
      <c r="G536">
        <f>IF($F536=1,VALUE(MID($B536,4,7)),"")</f>
        <v/>
      </c>
      <c r="H536">
        <f>IF($F536=1,MOD($G536,7),"")</f>
        <v/>
      </c>
    </row>
    <row r="537">
      <c r="A537" s="6" t="n"/>
      <c r="B537" s="7">
        <f>IF($A537="","",SUBSTITUTE(SUBSTITUTE(SUBSTITUTE(SUBSTITUTE($A537," ",""),"-",""),".",""),"/",""))</f>
        <v/>
      </c>
      <c r="C537" s="8">
        <f>IF($F537=1,$H537,"")</f>
        <v/>
      </c>
      <c r="D537" s="7">
        <f>IF($A537="","",IF($F537=0,"Biçim hatalı",IF(FIND(MID($B537,11,1),"0123456789")-1=$H537,"Geçerli","Kontrol hanesi hatalı (doğrusu: "&amp;$H537&amp;")")))</f>
        <v/>
      </c>
      <c r="F537">
        <f>IF($A537="","",IF(AND(LEN($B537)=11,SUMPRODUCT(--ISNUMBER(FIND(MID($B537,{1,2,3,4,5,6,7,8,9,10,11},1),"0123456789")))=11),1,0))</f>
        <v/>
      </c>
      <c r="G537">
        <f>IF($F537=1,VALUE(MID($B537,4,7)),"")</f>
        <v/>
      </c>
      <c r="H537">
        <f>IF($F537=1,MOD($G537,7),"")</f>
        <v/>
      </c>
    </row>
    <row r="538">
      <c r="A538" s="6" t="n"/>
      <c r="B538" s="7">
        <f>IF($A538="","",SUBSTITUTE(SUBSTITUTE(SUBSTITUTE(SUBSTITUTE($A538," ",""),"-",""),".",""),"/",""))</f>
        <v/>
      </c>
      <c r="C538" s="8">
        <f>IF($F538=1,$H538,"")</f>
        <v/>
      </c>
      <c r="D538" s="7">
        <f>IF($A538="","",IF($F538=0,"Biçim hatalı",IF(FIND(MID($B538,11,1),"0123456789")-1=$H538,"Geçerli","Kontrol hanesi hatalı (doğrusu: "&amp;$H538&amp;")")))</f>
        <v/>
      </c>
      <c r="F538">
        <f>IF($A538="","",IF(AND(LEN($B538)=11,SUMPRODUCT(--ISNUMBER(FIND(MID($B538,{1,2,3,4,5,6,7,8,9,10,11},1),"0123456789")))=11),1,0))</f>
        <v/>
      </c>
      <c r="G538">
        <f>IF($F538=1,VALUE(MID($B538,4,7)),"")</f>
        <v/>
      </c>
      <c r="H538">
        <f>IF($F538=1,MOD($G538,7),"")</f>
        <v/>
      </c>
    </row>
    <row r="539">
      <c r="A539" s="6" t="n"/>
      <c r="B539" s="7">
        <f>IF($A539="","",SUBSTITUTE(SUBSTITUTE(SUBSTITUTE(SUBSTITUTE($A539," ",""),"-",""),".",""),"/",""))</f>
        <v/>
      </c>
      <c r="C539" s="8">
        <f>IF($F539=1,$H539,"")</f>
        <v/>
      </c>
      <c r="D539" s="7">
        <f>IF($A539="","",IF($F539=0,"Biçim hatalı",IF(FIND(MID($B539,11,1),"0123456789")-1=$H539,"Geçerli","Kontrol hanesi hatalı (doğrusu: "&amp;$H539&amp;")")))</f>
        <v/>
      </c>
      <c r="F539">
        <f>IF($A539="","",IF(AND(LEN($B539)=11,SUMPRODUCT(--ISNUMBER(FIND(MID($B539,{1,2,3,4,5,6,7,8,9,10,11},1),"0123456789")))=11),1,0))</f>
        <v/>
      </c>
      <c r="G539">
        <f>IF($F539=1,VALUE(MID($B539,4,7)),"")</f>
        <v/>
      </c>
      <c r="H539">
        <f>IF($F539=1,MOD($G539,7),"")</f>
        <v/>
      </c>
    </row>
    <row r="540">
      <c r="A540" s="6" t="n"/>
      <c r="B540" s="7">
        <f>IF($A540="","",SUBSTITUTE(SUBSTITUTE(SUBSTITUTE(SUBSTITUTE($A540," ",""),"-",""),".",""),"/",""))</f>
        <v/>
      </c>
      <c r="C540" s="8">
        <f>IF($F540=1,$H540,"")</f>
        <v/>
      </c>
      <c r="D540" s="7">
        <f>IF($A540="","",IF($F540=0,"Biçim hatalı",IF(FIND(MID($B540,11,1),"0123456789")-1=$H540,"Geçerli","Kontrol hanesi hatalı (doğrusu: "&amp;$H540&amp;")")))</f>
        <v/>
      </c>
      <c r="F540">
        <f>IF($A540="","",IF(AND(LEN($B540)=11,SUMPRODUCT(--ISNUMBER(FIND(MID($B540,{1,2,3,4,5,6,7,8,9,10,11},1),"0123456789")))=11),1,0))</f>
        <v/>
      </c>
      <c r="G540">
        <f>IF($F540=1,VALUE(MID($B540,4,7)),"")</f>
        <v/>
      </c>
      <c r="H540">
        <f>IF($F540=1,MOD($G540,7),"")</f>
        <v/>
      </c>
    </row>
    <row r="541">
      <c r="A541" s="6" t="n"/>
      <c r="B541" s="7">
        <f>IF($A541="","",SUBSTITUTE(SUBSTITUTE(SUBSTITUTE(SUBSTITUTE($A541," ",""),"-",""),".",""),"/",""))</f>
        <v/>
      </c>
      <c r="C541" s="8">
        <f>IF($F541=1,$H541,"")</f>
        <v/>
      </c>
      <c r="D541" s="7">
        <f>IF($A541="","",IF($F541=0,"Biçim hatalı",IF(FIND(MID($B541,11,1),"0123456789")-1=$H541,"Geçerli","Kontrol hanesi hatalı (doğrusu: "&amp;$H541&amp;")")))</f>
        <v/>
      </c>
      <c r="F541">
        <f>IF($A541="","",IF(AND(LEN($B541)=11,SUMPRODUCT(--ISNUMBER(FIND(MID($B541,{1,2,3,4,5,6,7,8,9,10,11},1),"0123456789")))=11),1,0))</f>
        <v/>
      </c>
      <c r="G541">
        <f>IF($F541=1,VALUE(MID($B541,4,7)),"")</f>
        <v/>
      </c>
      <c r="H541">
        <f>IF($F541=1,MOD($G541,7),"")</f>
        <v/>
      </c>
    </row>
    <row r="542">
      <c r="A542" s="6" t="n"/>
      <c r="B542" s="7">
        <f>IF($A542="","",SUBSTITUTE(SUBSTITUTE(SUBSTITUTE(SUBSTITUTE($A542," ",""),"-",""),".",""),"/",""))</f>
        <v/>
      </c>
      <c r="C542" s="8">
        <f>IF($F542=1,$H542,"")</f>
        <v/>
      </c>
      <c r="D542" s="7">
        <f>IF($A542="","",IF($F542=0,"Biçim hatalı",IF(FIND(MID($B542,11,1),"0123456789")-1=$H542,"Geçerli","Kontrol hanesi hatalı (doğrusu: "&amp;$H542&amp;")")))</f>
        <v/>
      </c>
      <c r="F542">
        <f>IF($A542="","",IF(AND(LEN($B542)=11,SUMPRODUCT(--ISNUMBER(FIND(MID($B542,{1,2,3,4,5,6,7,8,9,10,11},1),"0123456789")))=11),1,0))</f>
        <v/>
      </c>
      <c r="G542">
        <f>IF($F542=1,VALUE(MID($B542,4,7)),"")</f>
        <v/>
      </c>
      <c r="H542">
        <f>IF($F542=1,MOD($G542,7),"")</f>
        <v/>
      </c>
    </row>
    <row r="543">
      <c r="A543" s="6" t="n"/>
      <c r="B543" s="7">
        <f>IF($A543="","",SUBSTITUTE(SUBSTITUTE(SUBSTITUTE(SUBSTITUTE($A543," ",""),"-",""),".",""),"/",""))</f>
        <v/>
      </c>
      <c r="C543" s="8">
        <f>IF($F543=1,$H543,"")</f>
        <v/>
      </c>
      <c r="D543" s="7">
        <f>IF($A543="","",IF($F543=0,"Biçim hatalı",IF(FIND(MID($B543,11,1),"0123456789")-1=$H543,"Geçerli","Kontrol hanesi hatalı (doğrusu: "&amp;$H543&amp;")")))</f>
        <v/>
      </c>
      <c r="F543">
        <f>IF($A543="","",IF(AND(LEN($B543)=11,SUMPRODUCT(--ISNUMBER(FIND(MID($B543,{1,2,3,4,5,6,7,8,9,10,11},1),"0123456789")))=11),1,0))</f>
        <v/>
      </c>
      <c r="G543">
        <f>IF($F543=1,VALUE(MID($B543,4,7)),"")</f>
        <v/>
      </c>
      <c r="H543">
        <f>IF($F543=1,MOD($G543,7),"")</f>
        <v/>
      </c>
    </row>
    <row r="544">
      <c r="A544" s="6" t="n"/>
      <c r="B544" s="7">
        <f>IF($A544="","",SUBSTITUTE(SUBSTITUTE(SUBSTITUTE(SUBSTITUTE($A544," ",""),"-",""),".",""),"/",""))</f>
        <v/>
      </c>
      <c r="C544" s="8">
        <f>IF($F544=1,$H544,"")</f>
        <v/>
      </c>
      <c r="D544" s="7">
        <f>IF($A544="","",IF($F544=0,"Biçim hatalı",IF(FIND(MID($B544,11,1),"0123456789")-1=$H544,"Geçerli","Kontrol hanesi hatalı (doğrusu: "&amp;$H544&amp;")")))</f>
        <v/>
      </c>
      <c r="F544">
        <f>IF($A544="","",IF(AND(LEN($B544)=11,SUMPRODUCT(--ISNUMBER(FIND(MID($B544,{1,2,3,4,5,6,7,8,9,10,11},1),"0123456789")))=11),1,0))</f>
        <v/>
      </c>
      <c r="G544">
        <f>IF($F544=1,VALUE(MID($B544,4,7)),"")</f>
        <v/>
      </c>
      <c r="H544">
        <f>IF($F544=1,MOD($G544,7),"")</f>
        <v/>
      </c>
    </row>
    <row r="545">
      <c r="A545" s="6" t="n"/>
      <c r="B545" s="7">
        <f>IF($A545="","",SUBSTITUTE(SUBSTITUTE(SUBSTITUTE(SUBSTITUTE($A545," ",""),"-",""),".",""),"/",""))</f>
        <v/>
      </c>
      <c r="C545" s="8">
        <f>IF($F545=1,$H545,"")</f>
        <v/>
      </c>
      <c r="D545" s="7">
        <f>IF($A545="","",IF($F545=0,"Biçim hatalı",IF(FIND(MID($B545,11,1),"0123456789")-1=$H545,"Geçerli","Kontrol hanesi hatalı (doğrusu: "&amp;$H545&amp;")")))</f>
        <v/>
      </c>
      <c r="F545">
        <f>IF($A545="","",IF(AND(LEN($B545)=11,SUMPRODUCT(--ISNUMBER(FIND(MID($B545,{1,2,3,4,5,6,7,8,9,10,11},1),"0123456789")))=11),1,0))</f>
        <v/>
      </c>
      <c r="G545">
        <f>IF($F545=1,VALUE(MID($B545,4,7)),"")</f>
        <v/>
      </c>
      <c r="H545">
        <f>IF($F545=1,MOD($G545,7),"")</f>
        <v/>
      </c>
    </row>
    <row r="546">
      <c r="A546" s="6" t="n"/>
      <c r="B546" s="7">
        <f>IF($A546="","",SUBSTITUTE(SUBSTITUTE(SUBSTITUTE(SUBSTITUTE($A546," ",""),"-",""),".",""),"/",""))</f>
        <v/>
      </c>
      <c r="C546" s="8">
        <f>IF($F546=1,$H546,"")</f>
        <v/>
      </c>
      <c r="D546" s="7">
        <f>IF($A546="","",IF($F546=0,"Biçim hatalı",IF(FIND(MID($B546,11,1),"0123456789")-1=$H546,"Geçerli","Kontrol hanesi hatalı (doğrusu: "&amp;$H546&amp;")")))</f>
        <v/>
      </c>
      <c r="F546">
        <f>IF($A546="","",IF(AND(LEN($B546)=11,SUMPRODUCT(--ISNUMBER(FIND(MID($B546,{1,2,3,4,5,6,7,8,9,10,11},1),"0123456789")))=11),1,0))</f>
        <v/>
      </c>
      <c r="G546">
        <f>IF($F546=1,VALUE(MID($B546,4,7)),"")</f>
        <v/>
      </c>
      <c r="H546">
        <f>IF($F546=1,MOD($G546,7),"")</f>
        <v/>
      </c>
    </row>
    <row r="547">
      <c r="A547" s="6" t="n"/>
      <c r="B547" s="7">
        <f>IF($A547="","",SUBSTITUTE(SUBSTITUTE(SUBSTITUTE(SUBSTITUTE($A547," ",""),"-",""),".",""),"/",""))</f>
        <v/>
      </c>
      <c r="C547" s="8">
        <f>IF($F547=1,$H547,"")</f>
        <v/>
      </c>
      <c r="D547" s="7">
        <f>IF($A547="","",IF($F547=0,"Biçim hatalı",IF(FIND(MID($B547,11,1),"0123456789")-1=$H547,"Geçerli","Kontrol hanesi hatalı (doğrusu: "&amp;$H547&amp;")")))</f>
        <v/>
      </c>
      <c r="F547">
        <f>IF($A547="","",IF(AND(LEN($B547)=11,SUMPRODUCT(--ISNUMBER(FIND(MID($B547,{1,2,3,4,5,6,7,8,9,10,11},1),"0123456789")))=11),1,0))</f>
        <v/>
      </c>
      <c r="G547">
        <f>IF($F547=1,VALUE(MID($B547,4,7)),"")</f>
        <v/>
      </c>
      <c r="H547">
        <f>IF($F547=1,MOD($G547,7),"")</f>
        <v/>
      </c>
    </row>
    <row r="548">
      <c r="A548" s="6" t="n"/>
      <c r="B548" s="7">
        <f>IF($A548="","",SUBSTITUTE(SUBSTITUTE(SUBSTITUTE(SUBSTITUTE($A548," ",""),"-",""),".",""),"/",""))</f>
        <v/>
      </c>
      <c r="C548" s="8">
        <f>IF($F548=1,$H548,"")</f>
        <v/>
      </c>
      <c r="D548" s="7">
        <f>IF($A548="","",IF($F548=0,"Biçim hatalı",IF(FIND(MID($B548,11,1),"0123456789")-1=$H548,"Geçerli","Kontrol hanesi hatalı (doğrusu: "&amp;$H548&amp;")")))</f>
        <v/>
      </c>
      <c r="F548">
        <f>IF($A548="","",IF(AND(LEN($B548)=11,SUMPRODUCT(--ISNUMBER(FIND(MID($B548,{1,2,3,4,5,6,7,8,9,10,11},1),"0123456789")))=11),1,0))</f>
        <v/>
      </c>
      <c r="G548">
        <f>IF($F548=1,VALUE(MID($B548,4,7)),"")</f>
        <v/>
      </c>
      <c r="H548">
        <f>IF($F548=1,MOD($G548,7),"")</f>
        <v/>
      </c>
    </row>
    <row r="549">
      <c r="A549" s="6" t="n"/>
      <c r="B549" s="7">
        <f>IF($A549="","",SUBSTITUTE(SUBSTITUTE(SUBSTITUTE(SUBSTITUTE($A549," ",""),"-",""),".",""),"/",""))</f>
        <v/>
      </c>
      <c r="C549" s="8">
        <f>IF($F549=1,$H549,"")</f>
        <v/>
      </c>
      <c r="D549" s="7">
        <f>IF($A549="","",IF($F549=0,"Biçim hatalı",IF(FIND(MID($B549,11,1),"0123456789")-1=$H549,"Geçerli","Kontrol hanesi hatalı (doğrusu: "&amp;$H549&amp;")")))</f>
        <v/>
      </c>
      <c r="F549">
        <f>IF($A549="","",IF(AND(LEN($B549)=11,SUMPRODUCT(--ISNUMBER(FIND(MID($B549,{1,2,3,4,5,6,7,8,9,10,11},1),"0123456789")))=11),1,0))</f>
        <v/>
      </c>
      <c r="G549">
        <f>IF($F549=1,VALUE(MID($B549,4,7)),"")</f>
        <v/>
      </c>
      <c r="H549">
        <f>IF($F549=1,MOD($G549,7),"")</f>
        <v/>
      </c>
    </row>
    <row r="550">
      <c r="A550" s="6" t="n"/>
      <c r="B550" s="7">
        <f>IF($A550="","",SUBSTITUTE(SUBSTITUTE(SUBSTITUTE(SUBSTITUTE($A550," ",""),"-",""),".",""),"/",""))</f>
        <v/>
      </c>
      <c r="C550" s="8">
        <f>IF($F550=1,$H550,"")</f>
        <v/>
      </c>
      <c r="D550" s="7">
        <f>IF($A550="","",IF($F550=0,"Biçim hatalı",IF(FIND(MID($B550,11,1),"0123456789")-1=$H550,"Geçerli","Kontrol hanesi hatalı (doğrusu: "&amp;$H550&amp;")")))</f>
        <v/>
      </c>
      <c r="F550">
        <f>IF($A550="","",IF(AND(LEN($B550)=11,SUMPRODUCT(--ISNUMBER(FIND(MID($B550,{1,2,3,4,5,6,7,8,9,10,11},1),"0123456789")))=11),1,0))</f>
        <v/>
      </c>
      <c r="G550">
        <f>IF($F550=1,VALUE(MID($B550,4,7)),"")</f>
        <v/>
      </c>
      <c r="H550">
        <f>IF($F550=1,MOD($G550,7),"")</f>
        <v/>
      </c>
    </row>
    <row r="551">
      <c r="A551" s="6" t="n"/>
      <c r="B551" s="7">
        <f>IF($A551="","",SUBSTITUTE(SUBSTITUTE(SUBSTITUTE(SUBSTITUTE($A551," ",""),"-",""),".",""),"/",""))</f>
        <v/>
      </c>
      <c r="C551" s="8">
        <f>IF($F551=1,$H551,"")</f>
        <v/>
      </c>
      <c r="D551" s="7">
        <f>IF($A551="","",IF($F551=0,"Biçim hatalı",IF(FIND(MID($B551,11,1),"0123456789")-1=$H551,"Geçerli","Kontrol hanesi hatalı (doğrusu: "&amp;$H551&amp;")")))</f>
        <v/>
      </c>
      <c r="F551">
        <f>IF($A551="","",IF(AND(LEN($B551)=11,SUMPRODUCT(--ISNUMBER(FIND(MID($B551,{1,2,3,4,5,6,7,8,9,10,11},1),"0123456789")))=11),1,0))</f>
        <v/>
      </c>
      <c r="G551">
        <f>IF($F551=1,VALUE(MID($B551,4,7)),"")</f>
        <v/>
      </c>
      <c r="H551">
        <f>IF($F551=1,MOD($G551,7),"")</f>
        <v/>
      </c>
    </row>
    <row r="552">
      <c r="A552" s="6" t="n"/>
      <c r="B552" s="7">
        <f>IF($A552="","",SUBSTITUTE(SUBSTITUTE(SUBSTITUTE(SUBSTITUTE($A552," ",""),"-",""),".",""),"/",""))</f>
        <v/>
      </c>
      <c r="C552" s="8">
        <f>IF($F552=1,$H552,"")</f>
        <v/>
      </c>
      <c r="D552" s="7">
        <f>IF($A552="","",IF($F552=0,"Biçim hatalı",IF(FIND(MID($B552,11,1),"0123456789")-1=$H552,"Geçerli","Kontrol hanesi hatalı (doğrusu: "&amp;$H552&amp;")")))</f>
        <v/>
      </c>
      <c r="F552">
        <f>IF($A552="","",IF(AND(LEN($B552)=11,SUMPRODUCT(--ISNUMBER(FIND(MID($B552,{1,2,3,4,5,6,7,8,9,10,11},1),"0123456789")))=11),1,0))</f>
        <v/>
      </c>
      <c r="G552">
        <f>IF($F552=1,VALUE(MID($B552,4,7)),"")</f>
        <v/>
      </c>
      <c r="H552">
        <f>IF($F552=1,MOD($G552,7),"")</f>
        <v/>
      </c>
    </row>
    <row r="553">
      <c r="A553" s="6" t="n"/>
      <c r="B553" s="7">
        <f>IF($A553="","",SUBSTITUTE(SUBSTITUTE(SUBSTITUTE(SUBSTITUTE($A553," ",""),"-",""),".",""),"/",""))</f>
        <v/>
      </c>
      <c r="C553" s="8">
        <f>IF($F553=1,$H553,"")</f>
        <v/>
      </c>
      <c r="D553" s="7">
        <f>IF($A553="","",IF($F553=0,"Biçim hatalı",IF(FIND(MID($B553,11,1),"0123456789")-1=$H553,"Geçerli","Kontrol hanesi hatalı (doğrusu: "&amp;$H553&amp;")")))</f>
        <v/>
      </c>
      <c r="F553">
        <f>IF($A553="","",IF(AND(LEN($B553)=11,SUMPRODUCT(--ISNUMBER(FIND(MID($B553,{1,2,3,4,5,6,7,8,9,10,11},1),"0123456789")))=11),1,0))</f>
        <v/>
      </c>
      <c r="G553">
        <f>IF($F553=1,VALUE(MID($B553,4,7)),"")</f>
        <v/>
      </c>
      <c r="H553">
        <f>IF($F553=1,MOD($G553,7),"")</f>
        <v/>
      </c>
    </row>
    <row r="554">
      <c r="A554" s="6" t="n"/>
      <c r="B554" s="7">
        <f>IF($A554="","",SUBSTITUTE(SUBSTITUTE(SUBSTITUTE(SUBSTITUTE($A554," ",""),"-",""),".",""),"/",""))</f>
        <v/>
      </c>
      <c r="C554" s="8">
        <f>IF($F554=1,$H554,"")</f>
        <v/>
      </c>
      <c r="D554" s="7">
        <f>IF($A554="","",IF($F554=0,"Biçim hatalı",IF(FIND(MID($B554,11,1),"0123456789")-1=$H554,"Geçerli","Kontrol hanesi hatalı (doğrusu: "&amp;$H554&amp;")")))</f>
        <v/>
      </c>
      <c r="F554">
        <f>IF($A554="","",IF(AND(LEN($B554)=11,SUMPRODUCT(--ISNUMBER(FIND(MID($B554,{1,2,3,4,5,6,7,8,9,10,11},1),"0123456789")))=11),1,0))</f>
        <v/>
      </c>
      <c r="G554">
        <f>IF($F554=1,VALUE(MID($B554,4,7)),"")</f>
        <v/>
      </c>
      <c r="H554">
        <f>IF($F554=1,MOD($G554,7),"")</f>
        <v/>
      </c>
    </row>
    <row r="555">
      <c r="A555" s="6" t="n"/>
      <c r="B555" s="7">
        <f>IF($A555="","",SUBSTITUTE(SUBSTITUTE(SUBSTITUTE(SUBSTITUTE($A555," ",""),"-",""),".",""),"/",""))</f>
        <v/>
      </c>
      <c r="C555" s="8">
        <f>IF($F555=1,$H555,"")</f>
        <v/>
      </c>
      <c r="D555" s="7">
        <f>IF($A555="","",IF($F555=0,"Biçim hatalı",IF(FIND(MID($B555,11,1),"0123456789")-1=$H555,"Geçerli","Kontrol hanesi hatalı (doğrusu: "&amp;$H555&amp;")")))</f>
        <v/>
      </c>
      <c r="F555">
        <f>IF($A555="","",IF(AND(LEN($B555)=11,SUMPRODUCT(--ISNUMBER(FIND(MID($B555,{1,2,3,4,5,6,7,8,9,10,11},1),"0123456789")))=11),1,0))</f>
        <v/>
      </c>
      <c r="G555">
        <f>IF($F555=1,VALUE(MID($B555,4,7)),"")</f>
        <v/>
      </c>
      <c r="H555">
        <f>IF($F555=1,MOD($G555,7),"")</f>
        <v/>
      </c>
    </row>
    <row r="556">
      <c r="A556" s="6" t="n"/>
      <c r="B556" s="7">
        <f>IF($A556="","",SUBSTITUTE(SUBSTITUTE(SUBSTITUTE(SUBSTITUTE($A556," ",""),"-",""),".",""),"/",""))</f>
        <v/>
      </c>
      <c r="C556" s="8">
        <f>IF($F556=1,$H556,"")</f>
        <v/>
      </c>
      <c r="D556" s="7">
        <f>IF($A556="","",IF($F556=0,"Biçim hatalı",IF(FIND(MID($B556,11,1),"0123456789")-1=$H556,"Geçerli","Kontrol hanesi hatalı (doğrusu: "&amp;$H556&amp;")")))</f>
        <v/>
      </c>
      <c r="F556">
        <f>IF($A556="","",IF(AND(LEN($B556)=11,SUMPRODUCT(--ISNUMBER(FIND(MID($B556,{1,2,3,4,5,6,7,8,9,10,11},1),"0123456789")))=11),1,0))</f>
        <v/>
      </c>
      <c r="G556">
        <f>IF($F556=1,VALUE(MID($B556,4,7)),"")</f>
        <v/>
      </c>
      <c r="H556">
        <f>IF($F556=1,MOD($G556,7),"")</f>
        <v/>
      </c>
    </row>
    <row r="557">
      <c r="A557" s="6" t="n"/>
      <c r="B557" s="7">
        <f>IF($A557="","",SUBSTITUTE(SUBSTITUTE(SUBSTITUTE(SUBSTITUTE($A557," ",""),"-",""),".",""),"/",""))</f>
        <v/>
      </c>
      <c r="C557" s="8">
        <f>IF($F557=1,$H557,"")</f>
        <v/>
      </c>
      <c r="D557" s="7">
        <f>IF($A557="","",IF($F557=0,"Biçim hatalı",IF(FIND(MID($B557,11,1),"0123456789")-1=$H557,"Geçerli","Kontrol hanesi hatalı (doğrusu: "&amp;$H557&amp;")")))</f>
        <v/>
      </c>
      <c r="F557">
        <f>IF($A557="","",IF(AND(LEN($B557)=11,SUMPRODUCT(--ISNUMBER(FIND(MID($B557,{1,2,3,4,5,6,7,8,9,10,11},1),"0123456789")))=11),1,0))</f>
        <v/>
      </c>
      <c r="G557">
        <f>IF($F557=1,VALUE(MID($B557,4,7)),"")</f>
        <v/>
      </c>
      <c r="H557">
        <f>IF($F557=1,MOD($G557,7),"")</f>
        <v/>
      </c>
    </row>
    <row r="558">
      <c r="A558" s="6" t="n"/>
      <c r="B558" s="7">
        <f>IF($A558="","",SUBSTITUTE(SUBSTITUTE(SUBSTITUTE(SUBSTITUTE($A558," ",""),"-",""),".",""),"/",""))</f>
        <v/>
      </c>
      <c r="C558" s="8">
        <f>IF($F558=1,$H558,"")</f>
        <v/>
      </c>
      <c r="D558" s="7">
        <f>IF($A558="","",IF($F558=0,"Biçim hatalı",IF(FIND(MID($B558,11,1),"0123456789")-1=$H558,"Geçerli","Kontrol hanesi hatalı (doğrusu: "&amp;$H558&amp;")")))</f>
        <v/>
      </c>
      <c r="F558">
        <f>IF($A558="","",IF(AND(LEN($B558)=11,SUMPRODUCT(--ISNUMBER(FIND(MID($B558,{1,2,3,4,5,6,7,8,9,10,11},1),"0123456789")))=11),1,0))</f>
        <v/>
      </c>
      <c r="G558">
        <f>IF($F558=1,VALUE(MID($B558,4,7)),"")</f>
        <v/>
      </c>
      <c r="H558">
        <f>IF($F558=1,MOD($G558,7),"")</f>
        <v/>
      </c>
    </row>
    <row r="559">
      <c r="A559" s="6" t="n"/>
      <c r="B559" s="7">
        <f>IF($A559="","",SUBSTITUTE(SUBSTITUTE(SUBSTITUTE(SUBSTITUTE($A559," ",""),"-",""),".",""),"/",""))</f>
        <v/>
      </c>
      <c r="C559" s="8">
        <f>IF($F559=1,$H559,"")</f>
        <v/>
      </c>
      <c r="D559" s="7">
        <f>IF($A559="","",IF($F559=0,"Biçim hatalı",IF(FIND(MID($B559,11,1),"0123456789")-1=$H559,"Geçerli","Kontrol hanesi hatalı (doğrusu: "&amp;$H559&amp;")")))</f>
        <v/>
      </c>
      <c r="F559">
        <f>IF($A559="","",IF(AND(LEN($B559)=11,SUMPRODUCT(--ISNUMBER(FIND(MID($B559,{1,2,3,4,5,6,7,8,9,10,11},1),"0123456789")))=11),1,0))</f>
        <v/>
      </c>
      <c r="G559">
        <f>IF($F559=1,VALUE(MID($B559,4,7)),"")</f>
        <v/>
      </c>
      <c r="H559">
        <f>IF($F559=1,MOD($G559,7),"")</f>
        <v/>
      </c>
    </row>
    <row r="560">
      <c r="A560" s="6" t="n"/>
      <c r="B560" s="7">
        <f>IF($A560="","",SUBSTITUTE(SUBSTITUTE(SUBSTITUTE(SUBSTITUTE($A560," ",""),"-",""),".",""),"/",""))</f>
        <v/>
      </c>
      <c r="C560" s="8">
        <f>IF($F560=1,$H560,"")</f>
        <v/>
      </c>
      <c r="D560" s="7">
        <f>IF($A560="","",IF($F560=0,"Biçim hatalı",IF(FIND(MID($B560,11,1),"0123456789")-1=$H560,"Geçerli","Kontrol hanesi hatalı (doğrusu: "&amp;$H560&amp;")")))</f>
        <v/>
      </c>
      <c r="F560">
        <f>IF($A560="","",IF(AND(LEN($B560)=11,SUMPRODUCT(--ISNUMBER(FIND(MID($B560,{1,2,3,4,5,6,7,8,9,10,11},1),"0123456789")))=11),1,0))</f>
        <v/>
      </c>
      <c r="G560">
        <f>IF($F560=1,VALUE(MID($B560,4,7)),"")</f>
        <v/>
      </c>
      <c r="H560">
        <f>IF($F560=1,MOD($G560,7),"")</f>
        <v/>
      </c>
    </row>
    <row r="561">
      <c r="A561" s="6" t="n"/>
      <c r="B561" s="7">
        <f>IF($A561="","",SUBSTITUTE(SUBSTITUTE(SUBSTITUTE(SUBSTITUTE($A561," ",""),"-",""),".",""),"/",""))</f>
        <v/>
      </c>
      <c r="C561" s="8">
        <f>IF($F561=1,$H561,"")</f>
        <v/>
      </c>
      <c r="D561" s="7">
        <f>IF($A561="","",IF($F561=0,"Biçim hatalı",IF(FIND(MID($B561,11,1),"0123456789")-1=$H561,"Geçerli","Kontrol hanesi hatalı (doğrusu: "&amp;$H561&amp;")")))</f>
        <v/>
      </c>
      <c r="F561">
        <f>IF($A561="","",IF(AND(LEN($B561)=11,SUMPRODUCT(--ISNUMBER(FIND(MID($B561,{1,2,3,4,5,6,7,8,9,10,11},1),"0123456789")))=11),1,0))</f>
        <v/>
      </c>
      <c r="G561">
        <f>IF($F561=1,VALUE(MID($B561,4,7)),"")</f>
        <v/>
      </c>
      <c r="H561">
        <f>IF($F561=1,MOD($G561,7),"")</f>
        <v/>
      </c>
    </row>
    <row r="562">
      <c r="A562" s="6" t="n"/>
      <c r="B562" s="7">
        <f>IF($A562="","",SUBSTITUTE(SUBSTITUTE(SUBSTITUTE(SUBSTITUTE($A562," ",""),"-",""),".",""),"/",""))</f>
        <v/>
      </c>
      <c r="C562" s="8">
        <f>IF($F562=1,$H562,"")</f>
        <v/>
      </c>
      <c r="D562" s="7">
        <f>IF($A562="","",IF($F562=0,"Biçim hatalı",IF(FIND(MID($B562,11,1),"0123456789")-1=$H562,"Geçerli","Kontrol hanesi hatalı (doğrusu: "&amp;$H562&amp;")")))</f>
        <v/>
      </c>
      <c r="F562">
        <f>IF($A562="","",IF(AND(LEN($B562)=11,SUMPRODUCT(--ISNUMBER(FIND(MID($B562,{1,2,3,4,5,6,7,8,9,10,11},1),"0123456789")))=11),1,0))</f>
        <v/>
      </c>
      <c r="G562">
        <f>IF($F562=1,VALUE(MID($B562,4,7)),"")</f>
        <v/>
      </c>
      <c r="H562">
        <f>IF($F562=1,MOD($G562,7),"")</f>
        <v/>
      </c>
    </row>
    <row r="563">
      <c r="A563" s="6" t="n"/>
      <c r="B563" s="7">
        <f>IF($A563="","",SUBSTITUTE(SUBSTITUTE(SUBSTITUTE(SUBSTITUTE($A563," ",""),"-",""),".",""),"/",""))</f>
        <v/>
      </c>
      <c r="C563" s="8">
        <f>IF($F563=1,$H563,"")</f>
        <v/>
      </c>
      <c r="D563" s="7">
        <f>IF($A563="","",IF($F563=0,"Biçim hatalı",IF(FIND(MID($B563,11,1),"0123456789")-1=$H563,"Geçerli","Kontrol hanesi hatalı (doğrusu: "&amp;$H563&amp;")")))</f>
        <v/>
      </c>
      <c r="F563">
        <f>IF($A563="","",IF(AND(LEN($B563)=11,SUMPRODUCT(--ISNUMBER(FIND(MID($B563,{1,2,3,4,5,6,7,8,9,10,11},1),"0123456789")))=11),1,0))</f>
        <v/>
      </c>
      <c r="G563">
        <f>IF($F563=1,VALUE(MID($B563,4,7)),"")</f>
        <v/>
      </c>
      <c r="H563">
        <f>IF($F563=1,MOD($G563,7),"")</f>
        <v/>
      </c>
    </row>
    <row r="564">
      <c r="A564" s="6" t="n"/>
      <c r="B564" s="7">
        <f>IF($A564="","",SUBSTITUTE(SUBSTITUTE(SUBSTITUTE(SUBSTITUTE($A564," ",""),"-",""),".",""),"/",""))</f>
        <v/>
      </c>
      <c r="C564" s="8">
        <f>IF($F564=1,$H564,"")</f>
        <v/>
      </c>
      <c r="D564" s="7">
        <f>IF($A564="","",IF($F564=0,"Biçim hatalı",IF(FIND(MID($B564,11,1),"0123456789")-1=$H564,"Geçerli","Kontrol hanesi hatalı (doğrusu: "&amp;$H564&amp;")")))</f>
        <v/>
      </c>
      <c r="F564">
        <f>IF($A564="","",IF(AND(LEN($B564)=11,SUMPRODUCT(--ISNUMBER(FIND(MID($B564,{1,2,3,4,5,6,7,8,9,10,11},1),"0123456789")))=11),1,0))</f>
        <v/>
      </c>
      <c r="G564">
        <f>IF($F564=1,VALUE(MID($B564,4,7)),"")</f>
        <v/>
      </c>
      <c r="H564">
        <f>IF($F564=1,MOD($G564,7),"")</f>
        <v/>
      </c>
    </row>
    <row r="565">
      <c r="A565" s="6" t="n"/>
      <c r="B565" s="7">
        <f>IF($A565="","",SUBSTITUTE(SUBSTITUTE(SUBSTITUTE(SUBSTITUTE($A565," ",""),"-",""),".",""),"/",""))</f>
        <v/>
      </c>
      <c r="C565" s="8">
        <f>IF($F565=1,$H565,"")</f>
        <v/>
      </c>
      <c r="D565" s="7">
        <f>IF($A565="","",IF($F565=0,"Biçim hatalı",IF(FIND(MID($B565,11,1),"0123456789")-1=$H565,"Geçerli","Kontrol hanesi hatalı (doğrusu: "&amp;$H565&amp;")")))</f>
        <v/>
      </c>
      <c r="F565">
        <f>IF($A565="","",IF(AND(LEN($B565)=11,SUMPRODUCT(--ISNUMBER(FIND(MID($B565,{1,2,3,4,5,6,7,8,9,10,11},1),"0123456789")))=11),1,0))</f>
        <v/>
      </c>
      <c r="G565">
        <f>IF($F565=1,VALUE(MID($B565,4,7)),"")</f>
        <v/>
      </c>
      <c r="H565">
        <f>IF($F565=1,MOD($G565,7),"")</f>
        <v/>
      </c>
    </row>
    <row r="566">
      <c r="A566" s="6" t="n"/>
      <c r="B566" s="7">
        <f>IF($A566="","",SUBSTITUTE(SUBSTITUTE(SUBSTITUTE(SUBSTITUTE($A566," ",""),"-",""),".",""),"/",""))</f>
        <v/>
      </c>
      <c r="C566" s="8">
        <f>IF($F566=1,$H566,"")</f>
        <v/>
      </c>
      <c r="D566" s="7">
        <f>IF($A566="","",IF($F566=0,"Biçim hatalı",IF(FIND(MID($B566,11,1),"0123456789")-1=$H566,"Geçerli","Kontrol hanesi hatalı (doğrusu: "&amp;$H566&amp;")")))</f>
        <v/>
      </c>
      <c r="F566">
        <f>IF($A566="","",IF(AND(LEN($B566)=11,SUMPRODUCT(--ISNUMBER(FIND(MID($B566,{1,2,3,4,5,6,7,8,9,10,11},1),"0123456789")))=11),1,0))</f>
        <v/>
      </c>
      <c r="G566">
        <f>IF($F566=1,VALUE(MID($B566,4,7)),"")</f>
        <v/>
      </c>
      <c r="H566">
        <f>IF($F566=1,MOD($G566,7),"")</f>
        <v/>
      </c>
    </row>
    <row r="567">
      <c r="A567" s="6" t="n"/>
      <c r="B567" s="7">
        <f>IF($A567="","",SUBSTITUTE(SUBSTITUTE(SUBSTITUTE(SUBSTITUTE($A567," ",""),"-",""),".",""),"/",""))</f>
        <v/>
      </c>
      <c r="C567" s="8">
        <f>IF($F567=1,$H567,"")</f>
        <v/>
      </c>
      <c r="D567" s="7">
        <f>IF($A567="","",IF($F567=0,"Biçim hatalı",IF(FIND(MID($B567,11,1),"0123456789")-1=$H567,"Geçerli","Kontrol hanesi hatalı (doğrusu: "&amp;$H567&amp;")")))</f>
        <v/>
      </c>
      <c r="F567">
        <f>IF($A567="","",IF(AND(LEN($B567)=11,SUMPRODUCT(--ISNUMBER(FIND(MID($B567,{1,2,3,4,5,6,7,8,9,10,11},1),"0123456789")))=11),1,0))</f>
        <v/>
      </c>
      <c r="G567">
        <f>IF($F567=1,VALUE(MID($B567,4,7)),"")</f>
        <v/>
      </c>
      <c r="H567">
        <f>IF($F567=1,MOD($G567,7),"")</f>
        <v/>
      </c>
    </row>
    <row r="568">
      <c r="A568" s="6" t="n"/>
      <c r="B568" s="7">
        <f>IF($A568="","",SUBSTITUTE(SUBSTITUTE(SUBSTITUTE(SUBSTITUTE($A568," ",""),"-",""),".",""),"/",""))</f>
        <v/>
      </c>
      <c r="C568" s="8">
        <f>IF($F568=1,$H568,"")</f>
        <v/>
      </c>
      <c r="D568" s="7">
        <f>IF($A568="","",IF($F568=0,"Biçim hatalı",IF(FIND(MID($B568,11,1),"0123456789")-1=$H568,"Geçerli","Kontrol hanesi hatalı (doğrusu: "&amp;$H568&amp;")")))</f>
        <v/>
      </c>
      <c r="F568">
        <f>IF($A568="","",IF(AND(LEN($B568)=11,SUMPRODUCT(--ISNUMBER(FIND(MID($B568,{1,2,3,4,5,6,7,8,9,10,11},1),"0123456789")))=11),1,0))</f>
        <v/>
      </c>
      <c r="G568">
        <f>IF($F568=1,VALUE(MID($B568,4,7)),"")</f>
        <v/>
      </c>
      <c r="H568">
        <f>IF($F568=1,MOD($G568,7),"")</f>
        <v/>
      </c>
    </row>
    <row r="569">
      <c r="A569" s="6" t="n"/>
      <c r="B569" s="7">
        <f>IF($A569="","",SUBSTITUTE(SUBSTITUTE(SUBSTITUTE(SUBSTITUTE($A569," ",""),"-",""),".",""),"/",""))</f>
        <v/>
      </c>
      <c r="C569" s="8">
        <f>IF($F569=1,$H569,"")</f>
        <v/>
      </c>
      <c r="D569" s="7">
        <f>IF($A569="","",IF($F569=0,"Biçim hatalı",IF(FIND(MID($B569,11,1),"0123456789")-1=$H569,"Geçerli","Kontrol hanesi hatalı (doğrusu: "&amp;$H569&amp;")")))</f>
        <v/>
      </c>
      <c r="F569">
        <f>IF($A569="","",IF(AND(LEN($B569)=11,SUMPRODUCT(--ISNUMBER(FIND(MID($B569,{1,2,3,4,5,6,7,8,9,10,11},1),"0123456789")))=11),1,0))</f>
        <v/>
      </c>
      <c r="G569">
        <f>IF($F569=1,VALUE(MID($B569,4,7)),"")</f>
        <v/>
      </c>
      <c r="H569">
        <f>IF($F569=1,MOD($G569,7),"")</f>
        <v/>
      </c>
    </row>
    <row r="570">
      <c r="A570" s="6" t="n"/>
      <c r="B570" s="7">
        <f>IF($A570="","",SUBSTITUTE(SUBSTITUTE(SUBSTITUTE(SUBSTITUTE($A570," ",""),"-",""),".",""),"/",""))</f>
        <v/>
      </c>
      <c r="C570" s="8">
        <f>IF($F570=1,$H570,"")</f>
        <v/>
      </c>
      <c r="D570" s="7">
        <f>IF($A570="","",IF($F570=0,"Biçim hatalı",IF(FIND(MID($B570,11,1),"0123456789")-1=$H570,"Geçerli","Kontrol hanesi hatalı (doğrusu: "&amp;$H570&amp;")")))</f>
        <v/>
      </c>
      <c r="F570">
        <f>IF($A570="","",IF(AND(LEN($B570)=11,SUMPRODUCT(--ISNUMBER(FIND(MID($B570,{1,2,3,4,5,6,7,8,9,10,11},1),"0123456789")))=11),1,0))</f>
        <v/>
      </c>
      <c r="G570">
        <f>IF($F570=1,VALUE(MID($B570,4,7)),"")</f>
        <v/>
      </c>
      <c r="H570">
        <f>IF($F570=1,MOD($G570,7),"")</f>
        <v/>
      </c>
    </row>
    <row r="571">
      <c r="A571" s="6" t="n"/>
      <c r="B571" s="7">
        <f>IF($A571="","",SUBSTITUTE(SUBSTITUTE(SUBSTITUTE(SUBSTITUTE($A571," ",""),"-",""),".",""),"/",""))</f>
        <v/>
      </c>
      <c r="C571" s="8">
        <f>IF($F571=1,$H571,"")</f>
        <v/>
      </c>
      <c r="D571" s="7">
        <f>IF($A571="","",IF($F571=0,"Biçim hatalı",IF(FIND(MID($B571,11,1),"0123456789")-1=$H571,"Geçerli","Kontrol hanesi hatalı (doğrusu: "&amp;$H571&amp;")")))</f>
        <v/>
      </c>
      <c r="F571">
        <f>IF($A571="","",IF(AND(LEN($B571)=11,SUMPRODUCT(--ISNUMBER(FIND(MID($B571,{1,2,3,4,5,6,7,8,9,10,11},1),"0123456789")))=11),1,0))</f>
        <v/>
      </c>
      <c r="G571">
        <f>IF($F571=1,VALUE(MID($B571,4,7)),"")</f>
        <v/>
      </c>
      <c r="H571">
        <f>IF($F571=1,MOD($G571,7),"")</f>
        <v/>
      </c>
    </row>
    <row r="572">
      <c r="A572" s="6" t="n"/>
      <c r="B572" s="7">
        <f>IF($A572="","",SUBSTITUTE(SUBSTITUTE(SUBSTITUTE(SUBSTITUTE($A572," ",""),"-",""),".",""),"/",""))</f>
        <v/>
      </c>
      <c r="C572" s="8">
        <f>IF($F572=1,$H572,"")</f>
        <v/>
      </c>
      <c r="D572" s="7">
        <f>IF($A572="","",IF($F572=0,"Biçim hatalı",IF(FIND(MID($B572,11,1),"0123456789")-1=$H572,"Geçerli","Kontrol hanesi hatalı (doğrusu: "&amp;$H572&amp;")")))</f>
        <v/>
      </c>
      <c r="F572">
        <f>IF($A572="","",IF(AND(LEN($B572)=11,SUMPRODUCT(--ISNUMBER(FIND(MID($B572,{1,2,3,4,5,6,7,8,9,10,11},1),"0123456789")))=11),1,0))</f>
        <v/>
      </c>
      <c r="G572">
        <f>IF($F572=1,VALUE(MID($B572,4,7)),"")</f>
        <v/>
      </c>
      <c r="H572">
        <f>IF($F572=1,MOD($G572,7),"")</f>
        <v/>
      </c>
    </row>
    <row r="573">
      <c r="A573" s="6" t="n"/>
      <c r="B573" s="7">
        <f>IF($A573="","",SUBSTITUTE(SUBSTITUTE(SUBSTITUTE(SUBSTITUTE($A573," ",""),"-",""),".",""),"/",""))</f>
        <v/>
      </c>
      <c r="C573" s="8">
        <f>IF($F573=1,$H573,"")</f>
        <v/>
      </c>
      <c r="D573" s="7">
        <f>IF($A573="","",IF($F573=0,"Biçim hatalı",IF(FIND(MID($B573,11,1),"0123456789")-1=$H573,"Geçerli","Kontrol hanesi hatalı (doğrusu: "&amp;$H573&amp;")")))</f>
        <v/>
      </c>
      <c r="F573">
        <f>IF($A573="","",IF(AND(LEN($B573)=11,SUMPRODUCT(--ISNUMBER(FIND(MID($B573,{1,2,3,4,5,6,7,8,9,10,11},1),"0123456789")))=11),1,0))</f>
        <v/>
      </c>
      <c r="G573">
        <f>IF($F573=1,VALUE(MID($B573,4,7)),"")</f>
        <v/>
      </c>
      <c r="H573">
        <f>IF($F573=1,MOD($G573,7),"")</f>
        <v/>
      </c>
    </row>
    <row r="574">
      <c r="A574" s="6" t="n"/>
      <c r="B574" s="7">
        <f>IF($A574="","",SUBSTITUTE(SUBSTITUTE(SUBSTITUTE(SUBSTITUTE($A574," ",""),"-",""),".",""),"/",""))</f>
        <v/>
      </c>
      <c r="C574" s="8">
        <f>IF($F574=1,$H574,"")</f>
        <v/>
      </c>
      <c r="D574" s="7">
        <f>IF($A574="","",IF($F574=0,"Biçim hatalı",IF(FIND(MID($B574,11,1),"0123456789")-1=$H574,"Geçerli","Kontrol hanesi hatalı (doğrusu: "&amp;$H574&amp;")")))</f>
        <v/>
      </c>
      <c r="F574">
        <f>IF($A574="","",IF(AND(LEN($B574)=11,SUMPRODUCT(--ISNUMBER(FIND(MID($B574,{1,2,3,4,5,6,7,8,9,10,11},1),"0123456789")))=11),1,0))</f>
        <v/>
      </c>
      <c r="G574">
        <f>IF($F574=1,VALUE(MID($B574,4,7)),"")</f>
        <v/>
      </c>
      <c r="H574">
        <f>IF($F574=1,MOD($G574,7),"")</f>
        <v/>
      </c>
    </row>
    <row r="575">
      <c r="A575" s="6" t="n"/>
      <c r="B575" s="7">
        <f>IF($A575="","",SUBSTITUTE(SUBSTITUTE(SUBSTITUTE(SUBSTITUTE($A575," ",""),"-",""),".",""),"/",""))</f>
        <v/>
      </c>
      <c r="C575" s="8">
        <f>IF($F575=1,$H575,"")</f>
        <v/>
      </c>
      <c r="D575" s="7">
        <f>IF($A575="","",IF($F575=0,"Biçim hatalı",IF(FIND(MID($B575,11,1),"0123456789")-1=$H575,"Geçerli","Kontrol hanesi hatalı (doğrusu: "&amp;$H575&amp;")")))</f>
        <v/>
      </c>
      <c r="F575">
        <f>IF($A575="","",IF(AND(LEN($B575)=11,SUMPRODUCT(--ISNUMBER(FIND(MID($B575,{1,2,3,4,5,6,7,8,9,10,11},1),"0123456789")))=11),1,0))</f>
        <v/>
      </c>
      <c r="G575">
        <f>IF($F575=1,VALUE(MID($B575,4,7)),"")</f>
        <v/>
      </c>
      <c r="H575">
        <f>IF($F575=1,MOD($G575,7),"")</f>
        <v/>
      </c>
    </row>
    <row r="576">
      <c r="A576" s="6" t="n"/>
      <c r="B576" s="7">
        <f>IF($A576="","",SUBSTITUTE(SUBSTITUTE(SUBSTITUTE(SUBSTITUTE($A576," ",""),"-",""),".",""),"/",""))</f>
        <v/>
      </c>
      <c r="C576" s="8">
        <f>IF($F576=1,$H576,"")</f>
        <v/>
      </c>
      <c r="D576" s="7">
        <f>IF($A576="","",IF($F576=0,"Biçim hatalı",IF(FIND(MID($B576,11,1),"0123456789")-1=$H576,"Geçerli","Kontrol hanesi hatalı (doğrusu: "&amp;$H576&amp;")")))</f>
        <v/>
      </c>
      <c r="F576">
        <f>IF($A576="","",IF(AND(LEN($B576)=11,SUMPRODUCT(--ISNUMBER(FIND(MID($B576,{1,2,3,4,5,6,7,8,9,10,11},1),"0123456789")))=11),1,0))</f>
        <v/>
      </c>
      <c r="G576">
        <f>IF($F576=1,VALUE(MID($B576,4,7)),"")</f>
        <v/>
      </c>
      <c r="H576">
        <f>IF($F576=1,MOD($G576,7),"")</f>
        <v/>
      </c>
    </row>
    <row r="577">
      <c r="A577" s="6" t="n"/>
      <c r="B577" s="7">
        <f>IF($A577="","",SUBSTITUTE(SUBSTITUTE(SUBSTITUTE(SUBSTITUTE($A577," ",""),"-",""),".",""),"/",""))</f>
        <v/>
      </c>
      <c r="C577" s="8">
        <f>IF($F577=1,$H577,"")</f>
        <v/>
      </c>
      <c r="D577" s="7">
        <f>IF($A577="","",IF($F577=0,"Biçim hatalı",IF(FIND(MID($B577,11,1),"0123456789")-1=$H577,"Geçerli","Kontrol hanesi hatalı (doğrusu: "&amp;$H577&amp;")")))</f>
        <v/>
      </c>
      <c r="F577">
        <f>IF($A577="","",IF(AND(LEN($B577)=11,SUMPRODUCT(--ISNUMBER(FIND(MID($B577,{1,2,3,4,5,6,7,8,9,10,11},1),"0123456789")))=11),1,0))</f>
        <v/>
      </c>
      <c r="G577">
        <f>IF($F577=1,VALUE(MID($B577,4,7)),"")</f>
        <v/>
      </c>
      <c r="H577">
        <f>IF($F577=1,MOD($G577,7),"")</f>
        <v/>
      </c>
    </row>
    <row r="578">
      <c r="A578" s="6" t="n"/>
      <c r="B578" s="7">
        <f>IF($A578="","",SUBSTITUTE(SUBSTITUTE(SUBSTITUTE(SUBSTITUTE($A578," ",""),"-",""),".",""),"/",""))</f>
        <v/>
      </c>
      <c r="C578" s="8">
        <f>IF($F578=1,$H578,"")</f>
        <v/>
      </c>
      <c r="D578" s="7">
        <f>IF($A578="","",IF($F578=0,"Biçim hatalı",IF(FIND(MID($B578,11,1),"0123456789")-1=$H578,"Geçerli","Kontrol hanesi hatalı (doğrusu: "&amp;$H578&amp;")")))</f>
        <v/>
      </c>
      <c r="F578">
        <f>IF($A578="","",IF(AND(LEN($B578)=11,SUMPRODUCT(--ISNUMBER(FIND(MID($B578,{1,2,3,4,5,6,7,8,9,10,11},1),"0123456789")))=11),1,0))</f>
        <v/>
      </c>
      <c r="G578">
        <f>IF($F578=1,VALUE(MID($B578,4,7)),"")</f>
        <v/>
      </c>
      <c r="H578">
        <f>IF($F578=1,MOD($G578,7),"")</f>
        <v/>
      </c>
    </row>
    <row r="579">
      <c r="A579" s="6" t="n"/>
      <c r="B579" s="7">
        <f>IF($A579="","",SUBSTITUTE(SUBSTITUTE(SUBSTITUTE(SUBSTITUTE($A579," ",""),"-",""),".",""),"/",""))</f>
        <v/>
      </c>
      <c r="C579" s="8">
        <f>IF($F579=1,$H579,"")</f>
        <v/>
      </c>
      <c r="D579" s="7">
        <f>IF($A579="","",IF($F579=0,"Biçim hatalı",IF(FIND(MID($B579,11,1),"0123456789")-1=$H579,"Geçerli","Kontrol hanesi hatalı (doğrusu: "&amp;$H579&amp;")")))</f>
        <v/>
      </c>
      <c r="F579">
        <f>IF($A579="","",IF(AND(LEN($B579)=11,SUMPRODUCT(--ISNUMBER(FIND(MID($B579,{1,2,3,4,5,6,7,8,9,10,11},1),"0123456789")))=11),1,0))</f>
        <v/>
      </c>
      <c r="G579">
        <f>IF($F579=1,VALUE(MID($B579,4,7)),"")</f>
        <v/>
      </c>
      <c r="H579">
        <f>IF($F579=1,MOD($G579,7),"")</f>
        <v/>
      </c>
    </row>
    <row r="580">
      <c r="A580" s="6" t="n"/>
      <c r="B580" s="7">
        <f>IF($A580="","",SUBSTITUTE(SUBSTITUTE(SUBSTITUTE(SUBSTITUTE($A580," ",""),"-",""),".",""),"/",""))</f>
        <v/>
      </c>
      <c r="C580" s="8">
        <f>IF($F580=1,$H580,"")</f>
        <v/>
      </c>
      <c r="D580" s="7">
        <f>IF($A580="","",IF($F580=0,"Biçim hatalı",IF(FIND(MID($B580,11,1),"0123456789")-1=$H580,"Geçerli","Kontrol hanesi hatalı (doğrusu: "&amp;$H580&amp;")")))</f>
        <v/>
      </c>
      <c r="F580">
        <f>IF($A580="","",IF(AND(LEN($B580)=11,SUMPRODUCT(--ISNUMBER(FIND(MID($B580,{1,2,3,4,5,6,7,8,9,10,11},1),"0123456789")))=11),1,0))</f>
        <v/>
      </c>
      <c r="G580">
        <f>IF($F580=1,VALUE(MID($B580,4,7)),"")</f>
        <v/>
      </c>
      <c r="H580">
        <f>IF($F580=1,MOD($G580,7),"")</f>
        <v/>
      </c>
    </row>
    <row r="581">
      <c r="A581" s="6" t="n"/>
      <c r="B581" s="7">
        <f>IF($A581="","",SUBSTITUTE(SUBSTITUTE(SUBSTITUTE(SUBSTITUTE($A581," ",""),"-",""),".",""),"/",""))</f>
        <v/>
      </c>
      <c r="C581" s="8">
        <f>IF($F581=1,$H581,"")</f>
        <v/>
      </c>
      <c r="D581" s="7">
        <f>IF($A581="","",IF($F581=0,"Biçim hatalı",IF(FIND(MID($B581,11,1),"0123456789")-1=$H581,"Geçerli","Kontrol hanesi hatalı (doğrusu: "&amp;$H581&amp;")")))</f>
        <v/>
      </c>
      <c r="F581">
        <f>IF($A581="","",IF(AND(LEN($B581)=11,SUMPRODUCT(--ISNUMBER(FIND(MID($B581,{1,2,3,4,5,6,7,8,9,10,11},1),"0123456789")))=11),1,0))</f>
        <v/>
      </c>
      <c r="G581">
        <f>IF($F581=1,VALUE(MID($B581,4,7)),"")</f>
        <v/>
      </c>
      <c r="H581">
        <f>IF($F581=1,MOD($G581,7),"")</f>
        <v/>
      </c>
    </row>
    <row r="582">
      <c r="A582" s="6" t="n"/>
      <c r="B582" s="7">
        <f>IF($A582="","",SUBSTITUTE(SUBSTITUTE(SUBSTITUTE(SUBSTITUTE($A582," ",""),"-",""),".",""),"/",""))</f>
        <v/>
      </c>
      <c r="C582" s="8">
        <f>IF($F582=1,$H582,"")</f>
        <v/>
      </c>
      <c r="D582" s="7">
        <f>IF($A582="","",IF($F582=0,"Biçim hatalı",IF(FIND(MID($B582,11,1),"0123456789")-1=$H582,"Geçerli","Kontrol hanesi hatalı (doğrusu: "&amp;$H582&amp;")")))</f>
        <v/>
      </c>
      <c r="F582">
        <f>IF($A582="","",IF(AND(LEN($B582)=11,SUMPRODUCT(--ISNUMBER(FIND(MID($B582,{1,2,3,4,5,6,7,8,9,10,11},1),"0123456789")))=11),1,0))</f>
        <v/>
      </c>
      <c r="G582">
        <f>IF($F582=1,VALUE(MID($B582,4,7)),"")</f>
        <v/>
      </c>
      <c r="H582">
        <f>IF($F582=1,MOD($G582,7),"")</f>
        <v/>
      </c>
    </row>
    <row r="583">
      <c r="A583" s="6" t="n"/>
      <c r="B583" s="7">
        <f>IF($A583="","",SUBSTITUTE(SUBSTITUTE(SUBSTITUTE(SUBSTITUTE($A583," ",""),"-",""),".",""),"/",""))</f>
        <v/>
      </c>
      <c r="C583" s="8">
        <f>IF($F583=1,$H583,"")</f>
        <v/>
      </c>
      <c r="D583" s="7">
        <f>IF($A583="","",IF($F583=0,"Biçim hatalı",IF(FIND(MID($B583,11,1),"0123456789")-1=$H583,"Geçerli","Kontrol hanesi hatalı (doğrusu: "&amp;$H583&amp;")")))</f>
        <v/>
      </c>
      <c r="F583">
        <f>IF($A583="","",IF(AND(LEN($B583)=11,SUMPRODUCT(--ISNUMBER(FIND(MID($B583,{1,2,3,4,5,6,7,8,9,10,11},1),"0123456789")))=11),1,0))</f>
        <v/>
      </c>
      <c r="G583">
        <f>IF($F583=1,VALUE(MID($B583,4,7)),"")</f>
        <v/>
      </c>
      <c r="H583">
        <f>IF($F583=1,MOD($G583,7),"")</f>
        <v/>
      </c>
    </row>
    <row r="584">
      <c r="A584" s="6" t="n"/>
      <c r="B584" s="7">
        <f>IF($A584="","",SUBSTITUTE(SUBSTITUTE(SUBSTITUTE(SUBSTITUTE($A584," ",""),"-",""),".",""),"/",""))</f>
        <v/>
      </c>
      <c r="C584" s="8">
        <f>IF($F584=1,$H584,"")</f>
        <v/>
      </c>
      <c r="D584" s="7">
        <f>IF($A584="","",IF($F584=0,"Biçim hatalı",IF(FIND(MID($B584,11,1),"0123456789")-1=$H584,"Geçerli","Kontrol hanesi hatalı (doğrusu: "&amp;$H584&amp;")")))</f>
        <v/>
      </c>
      <c r="F584">
        <f>IF($A584="","",IF(AND(LEN($B584)=11,SUMPRODUCT(--ISNUMBER(FIND(MID($B584,{1,2,3,4,5,6,7,8,9,10,11},1),"0123456789")))=11),1,0))</f>
        <v/>
      </c>
      <c r="G584">
        <f>IF($F584=1,VALUE(MID($B584,4,7)),"")</f>
        <v/>
      </c>
      <c r="H584">
        <f>IF($F584=1,MOD($G584,7),"")</f>
        <v/>
      </c>
    </row>
    <row r="585">
      <c r="A585" s="6" t="n"/>
      <c r="B585" s="7">
        <f>IF($A585="","",SUBSTITUTE(SUBSTITUTE(SUBSTITUTE(SUBSTITUTE($A585," ",""),"-",""),".",""),"/",""))</f>
        <v/>
      </c>
      <c r="C585" s="8">
        <f>IF($F585=1,$H585,"")</f>
        <v/>
      </c>
      <c r="D585" s="7">
        <f>IF($A585="","",IF($F585=0,"Biçim hatalı",IF(FIND(MID($B585,11,1),"0123456789")-1=$H585,"Geçerli","Kontrol hanesi hatalı (doğrusu: "&amp;$H585&amp;")")))</f>
        <v/>
      </c>
      <c r="F585">
        <f>IF($A585="","",IF(AND(LEN($B585)=11,SUMPRODUCT(--ISNUMBER(FIND(MID($B585,{1,2,3,4,5,6,7,8,9,10,11},1),"0123456789")))=11),1,0))</f>
        <v/>
      </c>
      <c r="G585">
        <f>IF($F585=1,VALUE(MID($B585,4,7)),"")</f>
        <v/>
      </c>
      <c r="H585">
        <f>IF($F585=1,MOD($G585,7),"")</f>
        <v/>
      </c>
    </row>
    <row r="586">
      <c r="A586" s="6" t="n"/>
      <c r="B586" s="7">
        <f>IF($A586="","",SUBSTITUTE(SUBSTITUTE(SUBSTITUTE(SUBSTITUTE($A586," ",""),"-",""),".",""),"/",""))</f>
        <v/>
      </c>
      <c r="C586" s="8">
        <f>IF($F586=1,$H586,"")</f>
        <v/>
      </c>
      <c r="D586" s="7">
        <f>IF($A586="","",IF($F586=0,"Biçim hatalı",IF(FIND(MID($B586,11,1),"0123456789")-1=$H586,"Geçerli","Kontrol hanesi hatalı (doğrusu: "&amp;$H586&amp;")")))</f>
        <v/>
      </c>
      <c r="F586">
        <f>IF($A586="","",IF(AND(LEN($B586)=11,SUMPRODUCT(--ISNUMBER(FIND(MID($B586,{1,2,3,4,5,6,7,8,9,10,11},1),"0123456789")))=11),1,0))</f>
        <v/>
      </c>
      <c r="G586">
        <f>IF($F586=1,VALUE(MID($B586,4,7)),"")</f>
        <v/>
      </c>
      <c r="H586">
        <f>IF($F586=1,MOD($G586,7),"")</f>
        <v/>
      </c>
    </row>
    <row r="587">
      <c r="A587" s="6" t="n"/>
      <c r="B587" s="7">
        <f>IF($A587="","",SUBSTITUTE(SUBSTITUTE(SUBSTITUTE(SUBSTITUTE($A587," ",""),"-",""),".",""),"/",""))</f>
        <v/>
      </c>
      <c r="C587" s="8">
        <f>IF($F587=1,$H587,"")</f>
        <v/>
      </c>
      <c r="D587" s="7">
        <f>IF($A587="","",IF($F587=0,"Biçim hatalı",IF(FIND(MID($B587,11,1),"0123456789")-1=$H587,"Geçerli","Kontrol hanesi hatalı (doğrusu: "&amp;$H587&amp;")")))</f>
        <v/>
      </c>
      <c r="F587">
        <f>IF($A587="","",IF(AND(LEN($B587)=11,SUMPRODUCT(--ISNUMBER(FIND(MID($B587,{1,2,3,4,5,6,7,8,9,10,11},1),"0123456789")))=11),1,0))</f>
        <v/>
      </c>
      <c r="G587">
        <f>IF($F587=1,VALUE(MID($B587,4,7)),"")</f>
        <v/>
      </c>
      <c r="H587">
        <f>IF($F587=1,MOD($G587,7),"")</f>
        <v/>
      </c>
    </row>
    <row r="588">
      <c r="A588" s="6" t="n"/>
      <c r="B588" s="7">
        <f>IF($A588="","",SUBSTITUTE(SUBSTITUTE(SUBSTITUTE(SUBSTITUTE($A588," ",""),"-",""),".",""),"/",""))</f>
        <v/>
      </c>
      <c r="C588" s="8">
        <f>IF($F588=1,$H588,"")</f>
        <v/>
      </c>
      <c r="D588" s="7">
        <f>IF($A588="","",IF($F588=0,"Biçim hatalı",IF(FIND(MID($B588,11,1),"0123456789")-1=$H588,"Geçerli","Kontrol hanesi hatalı (doğrusu: "&amp;$H588&amp;")")))</f>
        <v/>
      </c>
      <c r="F588">
        <f>IF($A588="","",IF(AND(LEN($B588)=11,SUMPRODUCT(--ISNUMBER(FIND(MID($B588,{1,2,3,4,5,6,7,8,9,10,11},1),"0123456789")))=11),1,0))</f>
        <v/>
      </c>
      <c r="G588">
        <f>IF($F588=1,VALUE(MID($B588,4,7)),"")</f>
        <v/>
      </c>
      <c r="H588">
        <f>IF($F588=1,MOD($G588,7),"")</f>
        <v/>
      </c>
    </row>
    <row r="589">
      <c r="A589" s="6" t="n"/>
      <c r="B589" s="7">
        <f>IF($A589="","",SUBSTITUTE(SUBSTITUTE(SUBSTITUTE(SUBSTITUTE($A589," ",""),"-",""),".",""),"/",""))</f>
        <v/>
      </c>
      <c r="C589" s="8">
        <f>IF($F589=1,$H589,"")</f>
        <v/>
      </c>
      <c r="D589" s="7">
        <f>IF($A589="","",IF($F589=0,"Biçim hatalı",IF(FIND(MID($B589,11,1),"0123456789")-1=$H589,"Geçerli","Kontrol hanesi hatalı (doğrusu: "&amp;$H589&amp;")")))</f>
        <v/>
      </c>
      <c r="F589">
        <f>IF($A589="","",IF(AND(LEN($B589)=11,SUMPRODUCT(--ISNUMBER(FIND(MID($B589,{1,2,3,4,5,6,7,8,9,10,11},1),"0123456789")))=11),1,0))</f>
        <v/>
      </c>
      <c r="G589">
        <f>IF($F589=1,VALUE(MID($B589,4,7)),"")</f>
        <v/>
      </c>
      <c r="H589">
        <f>IF($F589=1,MOD($G589,7),"")</f>
        <v/>
      </c>
    </row>
    <row r="590">
      <c r="A590" s="6" t="n"/>
      <c r="B590" s="7">
        <f>IF($A590="","",SUBSTITUTE(SUBSTITUTE(SUBSTITUTE(SUBSTITUTE($A590," ",""),"-",""),".",""),"/",""))</f>
        <v/>
      </c>
      <c r="C590" s="8">
        <f>IF($F590=1,$H590,"")</f>
        <v/>
      </c>
      <c r="D590" s="7">
        <f>IF($A590="","",IF($F590=0,"Biçim hatalı",IF(FIND(MID($B590,11,1),"0123456789")-1=$H590,"Geçerli","Kontrol hanesi hatalı (doğrusu: "&amp;$H590&amp;")")))</f>
        <v/>
      </c>
      <c r="F590">
        <f>IF($A590="","",IF(AND(LEN($B590)=11,SUMPRODUCT(--ISNUMBER(FIND(MID($B590,{1,2,3,4,5,6,7,8,9,10,11},1),"0123456789")))=11),1,0))</f>
        <v/>
      </c>
      <c r="G590">
        <f>IF($F590=1,VALUE(MID($B590,4,7)),"")</f>
        <v/>
      </c>
      <c r="H590">
        <f>IF($F590=1,MOD($G590,7),"")</f>
        <v/>
      </c>
    </row>
    <row r="591">
      <c r="A591" s="6" t="n"/>
      <c r="B591" s="7">
        <f>IF($A591="","",SUBSTITUTE(SUBSTITUTE(SUBSTITUTE(SUBSTITUTE($A591," ",""),"-",""),".",""),"/",""))</f>
        <v/>
      </c>
      <c r="C591" s="8">
        <f>IF($F591=1,$H591,"")</f>
        <v/>
      </c>
      <c r="D591" s="7">
        <f>IF($A591="","",IF($F591=0,"Biçim hatalı",IF(FIND(MID($B591,11,1),"0123456789")-1=$H591,"Geçerli","Kontrol hanesi hatalı (doğrusu: "&amp;$H591&amp;")")))</f>
        <v/>
      </c>
      <c r="F591">
        <f>IF($A591="","",IF(AND(LEN($B591)=11,SUMPRODUCT(--ISNUMBER(FIND(MID($B591,{1,2,3,4,5,6,7,8,9,10,11},1),"0123456789")))=11),1,0))</f>
        <v/>
      </c>
      <c r="G591">
        <f>IF($F591=1,VALUE(MID($B591,4,7)),"")</f>
        <v/>
      </c>
      <c r="H591">
        <f>IF($F591=1,MOD($G591,7),"")</f>
        <v/>
      </c>
    </row>
    <row r="592">
      <c r="A592" s="6" t="n"/>
      <c r="B592" s="7">
        <f>IF($A592="","",SUBSTITUTE(SUBSTITUTE(SUBSTITUTE(SUBSTITUTE($A592," ",""),"-",""),".",""),"/",""))</f>
        <v/>
      </c>
      <c r="C592" s="8">
        <f>IF($F592=1,$H592,"")</f>
        <v/>
      </c>
      <c r="D592" s="7">
        <f>IF($A592="","",IF($F592=0,"Biçim hatalı",IF(FIND(MID($B592,11,1),"0123456789")-1=$H592,"Geçerli","Kontrol hanesi hatalı (doğrusu: "&amp;$H592&amp;")")))</f>
        <v/>
      </c>
      <c r="F592">
        <f>IF($A592="","",IF(AND(LEN($B592)=11,SUMPRODUCT(--ISNUMBER(FIND(MID($B592,{1,2,3,4,5,6,7,8,9,10,11},1),"0123456789")))=11),1,0))</f>
        <v/>
      </c>
      <c r="G592">
        <f>IF($F592=1,VALUE(MID($B592,4,7)),"")</f>
        <v/>
      </c>
      <c r="H592">
        <f>IF($F592=1,MOD($G592,7),"")</f>
        <v/>
      </c>
    </row>
    <row r="593">
      <c r="A593" s="6" t="n"/>
      <c r="B593" s="7">
        <f>IF($A593="","",SUBSTITUTE(SUBSTITUTE(SUBSTITUTE(SUBSTITUTE($A593," ",""),"-",""),".",""),"/",""))</f>
        <v/>
      </c>
      <c r="C593" s="8">
        <f>IF($F593=1,$H593,"")</f>
        <v/>
      </c>
      <c r="D593" s="7">
        <f>IF($A593="","",IF($F593=0,"Biçim hatalı",IF(FIND(MID($B593,11,1),"0123456789")-1=$H593,"Geçerli","Kontrol hanesi hatalı (doğrusu: "&amp;$H593&amp;")")))</f>
        <v/>
      </c>
      <c r="F593">
        <f>IF($A593="","",IF(AND(LEN($B593)=11,SUMPRODUCT(--ISNUMBER(FIND(MID($B593,{1,2,3,4,5,6,7,8,9,10,11},1),"0123456789")))=11),1,0))</f>
        <v/>
      </c>
      <c r="G593">
        <f>IF($F593=1,VALUE(MID($B593,4,7)),"")</f>
        <v/>
      </c>
      <c r="H593">
        <f>IF($F593=1,MOD($G593,7),"")</f>
        <v/>
      </c>
    </row>
    <row r="594">
      <c r="A594" s="6" t="n"/>
      <c r="B594" s="7">
        <f>IF($A594="","",SUBSTITUTE(SUBSTITUTE(SUBSTITUTE(SUBSTITUTE($A594," ",""),"-",""),".",""),"/",""))</f>
        <v/>
      </c>
      <c r="C594" s="8">
        <f>IF($F594=1,$H594,"")</f>
        <v/>
      </c>
      <c r="D594" s="7">
        <f>IF($A594="","",IF($F594=0,"Biçim hatalı",IF(FIND(MID($B594,11,1),"0123456789")-1=$H594,"Geçerli","Kontrol hanesi hatalı (doğrusu: "&amp;$H594&amp;")")))</f>
        <v/>
      </c>
      <c r="F594">
        <f>IF($A594="","",IF(AND(LEN($B594)=11,SUMPRODUCT(--ISNUMBER(FIND(MID($B594,{1,2,3,4,5,6,7,8,9,10,11},1),"0123456789")))=11),1,0))</f>
        <v/>
      </c>
      <c r="G594">
        <f>IF($F594=1,VALUE(MID($B594,4,7)),"")</f>
        <v/>
      </c>
      <c r="H594">
        <f>IF($F594=1,MOD($G594,7),"")</f>
        <v/>
      </c>
    </row>
    <row r="595">
      <c r="A595" s="6" t="n"/>
      <c r="B595" s="7">
        <f>IF($A595="","",SUBSTITUTE(SUBSTITUTE(SUBSTITUTE(SUBSTITUTE($A595," ",""),"-",""),".",""),"/",""))</f>
        <v/>
      </c>
      <c r="C595" s="8">
        <f>IF($F595=1,$H595,"")</f>
        <v/>
      </c>
      <c r="D595" s="7">
        <f>IF($A595="","",IF($F595=0,"Biçim hatalı",IF(FIND(MID($B595,11,1),"0123456789")-1=$H595,"Geçerli","Kontrol hanesi hatalı (doğrusu: "&amp;$H595&amp;")")))</f>
        <v/>
      </c>
      <c r="F595">
        <f>IF($A595="","",IF(AND(LEN($B595)=11,SUMPRODUCT(--ISNUMBER(FIND(MID($B595,{1,2,3,4,5,6,7,8,9,10,11},1),"0123456789")))=11),1,0))</f>
        <v/>
      </c>
      <c r="G595">
        <f>IF($F595=1,VALUE(MID($B595,4,7)),"")</f>
        <v/>
      </c>
      <c r="H595">
        <f>IF($F595=1,MOD($G595,7),"")</f>
        <v/>
      </c>
    </row>
    <row r="596">
      <c r="A596" s="6" t="n"/>
      <c r="B596" s="7">
        <f>IF($A596="","",SUBSTITUTE(SUBSTITUTE(SUBSTITUTE(SUBSTITUTE($A596," ",""),"-",""),".",""),"/",""))</f>
        <v/>
      </c>
      <c r="C596" s="8">
        <f>IF($F596=1,$H596,"")</f>
        <v/>
      </c>
      <c r="D596" s="7">
        <f>IF($A596="","",IF($F596=0,"Biçim hatalı",IF(FIND(MID($B596,11,1),"0123456789")-1=$H596,"Geçerli","Kontrol hanesi hatalı (doğrusu: "&amp;$H596&amp;")")))</f>
        <v/>
      </c>
      <c r="F596">
        <f>IF($A596="","",IF(AND(LEN($B596)=11,SUMPRODUCT(--ISNUMBER(FIND(MID($B596,{1,2,3,4,5,6,7,8,9,10,11},1),"0123456789")))=11),1,0))</f>
        <v/>
      </c>
      <c r="G596">
        <f>IF($F596=1,VALUE(MID($B596,4,7)),"")</f>
        <v/>
      </c>
      <c r="H596">
        <f>IF($F596=1,MOD($G596,7),"")</f>
        <v/>
      </c>
    </row>
    <row r="597">
      <c r="A597" s="6" t="n"/>
      <c r="B597" s="7">
        <f>IF($A597="","",SUBSTITUTE(SUBSTITUTE(SUBSTITUTE(SUBSTITUTE($A597," ",""),"-",""),".",""),"/",""))</f>
        <v/>
      </c>
      <c r="C597" s="8">
        <f>IF($F597=1,$H597,"")</f>
        <v/>
      </c>
      <c r="D597" s="7">
        <f>IF($A597="","",IF($F597=0,"Biçim hatalı",IF(FIND(MID($B597,11,1),"0123456789")-1=$H597,"Geçerli","Kontrol hanesi hatalı (doğrusu: "&amp;$H597&amp;")")))</f>
        <v/>
      </c>
      <c r="F597">
        <f>IF($A597="","",IF(AND(LEN($B597)=11,SUMPRODUCT(--ISNUMBER(FIND(MID($B597,{1,2,3,4,5,6,7,8,9,10,11},1),"0123456789")))=11),1,0))</f>
        <v/>
      </c>
      <c r="G597">
        <f>IF($F597=1,VALUE(MID($B597,4,7)),"")</f>
        <v/>
      </c>
      <c r="H597">
        <f>IF($F597=1,MOD($G597,7),"")</f>
        <v/>
      </c>
    </row>
    <row r="598">
      <c r="A598" s="6" t="n"/>
      <c r="B598" s="7">
        <f>IF($A598="","",SUBSTITUTE(SUBSTITUTE(SUBSTITUTE(SUBSTITUTE($A598," ",""),"-",""),".",""),"/",""))</f>
        <v/>
      </c>
      <c r="C598" s="8">
        <f>IF($F598=1,$H598,"")</f>
        <v/>
      </c>
      <c r="D598" s="7">
        <f>IF($A598="","",IF($F598=0,"Biçim hatalı",IF(FIND(MID($B598,11,1),"0123456789")-1=$H598,"Geçerli","Kontrol hanesi hatalı (doğrusu: "&amp;$H598&amp;")")))</f>
        <v/>
      </c>
      <c r="F598">
        <f>IF($A598="","",IF(AND(LEN($B598)=11,SUMPRODUCT(--ISNUMBER(FIND(MID($B598,{1,2,3,4,5,6,7,8,9,10,11},1),"0123456789")))=11),1,0))</f>
        <v/>
      </c>
      <c r="G598">
        <f>IF($F598=1,VALUE(MID($B598,4,7)),"")</f>
        <v/>
      </c>
      <c r="H598">
        <f>IF($F598=1,MOD($G598,7),"")</f>
        <v/>
      </c>
    </row>
    <row r="599">
      <c r="A599" s="6" t="n"/>
      <c r="B599" s="7">
        <f>IF($A599="","",SUBSTITUTE(SUBSTITUTE(SUBSTITUTE(SUBSTITUTE($A599," ",""),"-",""),".",""),"/",""))</f>
        <v/>
      </c>
      <c r="C599" s="8">
        <f>IF($F599=1,$H599,"")</f>
        <v/>
      </c>
      <c r="D599" s="7">
        <f>IF($A599="","",IF($F599=0,"Biçim hatalı",IF(FIND(MID($B599,11,1),"0123456789")-1=$H599,"Geçerli","Kontrol hanesi hatalı (doğrusu: "&amp;$H599&amp;")")))</f>
        <v/>
      </c>
      <c r="F599">
        <f>IF($A599="","",IF(AND(LEN($B599)=11,SUMPRODUCT(--ISNUMBER(FIND(MID($B599,{1,2,3,4,5,6,7,8,9,10,11},1),"0123456789")))=11),1,0))</f>
        <v/>
      </c>
      <c r="G599">
        <f>IF($F599=1,VALUE(MID($B599,4,7)),"")</f>
        <v/>
      </c>
      <c r="H599">
        <f>IF($F599=1,MOD($G599,7),"")</f>
        <v/>
      </c>
    </row>
    <row r="600">
      <c r="A600" s="6" t="n"/>
      <c r="B600" s="7">
        <f>IF($A600="","",SUBSTITUTE(SUBSTITUTE(SUBSTITUTE(SUBSTITUTE($A600," ",""),"-",""),".",""),"/",""))</f>
        <v/>
      </c>
      <c r="C600" s="8">
        <f>IF($F600=1,$H600,"")</f>
        <v/>
      </c>
      <c r="D600" s="7">
        <f>IF($A600="","",IF($F600=0,"Biçim hatalı",IF(FIND(MID($B600,11,1),"0123456789")-1=$H600,"Geçerli","Kontrol hanesi hatalı (doğrusu: "&amp;$H600&amp;")")))</f>
        <v/>
      </c>
      <c r="F600">
        <f>IF($A600="","",IF(AND(LEN($B600)=11,SUMPRODUCT(--ISNUMBER(FIND(MID($B600,{1,2,3,4,5,6,7,8,9,10,11},1),"0123456789")))=11),1,0))</f>
        <v/>
      </c>
      <c r="G600">
        <f>IF($F600=1,VALUE(MID($B600,4,7)),"")</f>
        <v/>
      </c>
      <c r="H600">
        <f>IF($F600=1,MOD($G600,7),"")</f>
        <v/>
      </c>
    </row>
    <row r="601">
      <c r="A601" s="6" t="n"/>
      <c r="B601" s="7">
        <f>IF($A601="","",SUBSTITUTE(SUBSTITUTE(SUBSTITUTE(SUBSTITUTE($A601," ",""),"-",""),".",""),"/",""))</f>
        <v/>
      </c>
      <c r="C601" s="8">
        <f>IF($F601=1,$H601,"")</f>
        <v/>
      </c>
      <c r="D601" s="7">
        <f>IF($A601="","",IF($F601=0,"Biçim hatalı",IF(FIND(MID($B601,11,1),"0123456789")-1=$H601,"Geçerli","Kontrol hanesi hatalı (doğrusu: "&amp;$H601&amp;")")))</f>
        <v/>
      </c>
      <c r="F601">
        <f>IF($A601="","",IF(AND(LEN($B601)=11,SUMPRODUCT(--ISNUMBER(FIND(MID($B601,{1,2,3,4,5,6,7,8,9,10,11},1),"0123456789")))=11),1,0))</f>
        <v/>
      </c>
      <c r="G601">
        <f>IF($F601=1,VALUE(MID($B601,4,7)),"")</f>
        <v/>
      </c>
      <c r="H601">
        <f>IF($F601=1,MOD($G601,7),"")</f>
        <v/>
      </c>
    </row>
    <row r="602">
      <c r="A602" s="6" t="n"/>
      <c r="B602" s="7">
        <f>IF($A602="","",SUBSTITUTE(SUBSTITUTE(SUBSTITUTE(SUBSTITUTE($A602," ",""),"-",""),".",""),"/",""))</f>
        <v/>
      </c>
      <c r="C602" s="8">
        <f>IF($F602=1,$H602,"")</f>
        <v/>
      </c>
      <c r="D602" s="7">
        <f>IF($A602="","",IF($F602=0,"Biçim hatalı",IF(FIND(MID($B602,11,1),"0123456789")-1=$H602,"Geçerli","Kontrol hanesi hatalı (doğrusu: "&amp;$H602&amp;")")))</f>
        <v/>
      </c>
      <c r="F602">
        <f>IF($A602="","",IF(AND(LEN($B602)=11,SUMPRODUCT(--ISNUMBER(FIND(MID($B602,{1,2,3,4,5,6,7,8,9,10,11},1),"0123456789")))=11),1,0))</f>
        <v/>
      </c>
      <c r="G602">
        <f>IF($F602=1,VALUE(MID($B602,4,7)),"")</f>
        <v/>
      </c>
      <c r="H602">
        <f>IF($F602=1,MOD($G602,7),"")</f>
        <v/>
      </c>
    </row>
    <row r="603">
      <c r="A603" s="6" t="n"/>
      <c r="B603" s="7">
        <f>IF($A603="","",SUBSTITUTE(SUBSTITUTE(SUBSTITUTE(SUBSTITUTE($A603," ",""),"-",""),".",""),"/",""))</f>
        <v/>
      </c>
      <c r="C603" s="8">
        <f>IF($F603=1,$H603,"")</f>
        <v/>
      </c>
      <c r="D603" s="7">
        <f>IF($A603="","",IF($F603=0,"Biçim hatalı",IF(FIND(MID($B603,11,1),"0123456789")-1=$H603,"Geçerli","Kontrol hanesi hatalı (doğrusu: "&amp;$H603&amp;")")))</f>
        <v/>
      </c>
      <c r="F603">
        <f>IF($A603="","",IF(AND(LEN($B603)=11,SUMPRODUCT(--ISNUMBER(FIND(MID($B603,{1,2,3,4,5,6,7,8,9,10,11},1),"0123456789")))=11),1,0))</f>
        <v/>
      </c>
      <c r="G603">
        <f>IF($F603=1,VALUE(MID($B603,4,7)),"")</f>
        <v/>
      </c>
      <c r="H603">
        <f>IF($F603=1,MOD($G603,7),"")</f>
        <v/>
      </c>
    </row>
    <row r="604">
      <c r="A604" s="6" t="n"/>
      <c r="B604" s="7">
        <f>IF($A604="","",SUBSTITUTE(SUBSTITUTE(SUBSTITUTE(SUBSTITUTE($A604," ",""),"-",""),".",""),"/",""))</f>
        <v/>
      </c>
      <c r="C604" s="8">
        <f>IF($F604=1,$H604,"")</f>
        <v/>
      </c>
      <c r="D604" s="7">
        <f>IF($A604="","",IF($F604=0,"Biçim hatalı",IF(FIND(MID($B604,11,1),"0123456789")-1=$H604,"Geçerli","Kontrol hanesi hatalı (doğrusu: "&amp;$H604&amp;")")))</f>
        <v/>
      </c>
      <c r="F604">
        <f>IF($A604="","",IF(AND(LEN($B604)=11,SUMPRODUCT(--ISNUMBER(FIND(MID($B604,{1,2,3,4,5,6,7,8,9,10,11},1),"0123456789")))=11),1,0))</f>
        <v/>
      </c>
      <c r="G604">
        <f>IF($F604=1,VALUE(MID($B604,4,7)),"")</f>
        <v/>
      </c>
      <c r="H604">
        <f>IF($F604=1,MOD($G604,7),"")</f>
        <v/>
      </c>
    </row>
    <row r="605">
      <c r="A605" s="6" t="n"/>
      <c r="B605" s="7">
        <f>IF($A605="","",SUBSTITUTE(SUBSTITUTE(SUBSTITUTE(SUBSTITUTE($A605," ",""),"-",""),".",""),"/",""))</f>
        <v/>
      </c>
      <c r="C605" s="8">
        <f>IF($F605=1,$H605,"")</f>
        <v/>
      </c>
      <c r="D605" s="7">
        <f>IF($A605="","",IF($F605=0,"Biçim hatalı",IF(FIND(MID($B605,11,1),"0123456789")-1=$H605,"Geçerli","Kontrol hanesi hatalı (doğrusu: "&amp;$H605&amp;")")))</f>
        <v/>
      </c>
      <c r="F605">
        <f>IF($A605="","",IF(AND(LEN($B605)=11,SUMPRODUCT(--ISNUMBER(FIND(MID($B605,{1,2,3,4,5,6,7,8,9,10,11},1),"0123456789")))=11),1,0))</f>
        <v/>
      </c>
      <c r="G605">
        <f>IF($F605=1,VALUE(MID($B605,4,7)),"")</f>
        <v/>
      </c>
      <c r="H605">
        <f>IF($F605=1,MOD($G605,7),"")</f>
        <v/>
      </c>
    </row>
    <row r="606">
      <c r="A606" s="6" t="n"/>
      <c r="B606" s="7">
        <f>IF($A606="","",SUBSTITUTE(SUBSTITUTE(SUBSTITUTE(SUBSTITUTE($A606," ",""),"-",""),".",""),"/",""))</f>
        <v/>
      </c>
      <c r="C606" s="8">
        <f>IF($F606=1,$H606,"")</f>
        <v/>
      </c>
      <c r="D606" s="7">
        <f>IF($A606="","",IF($F606=0,"Biçim hatalı",IF(FIND(MID($B606,11,1),"0123456789")-1=$H606,"Geçerli","Kontrol hanesi hatalı (doğrusu: "&amp;$H606&amp;")")))</f>
        <v/>
      </c>
      <c r="F606">
        <f>IF($A606="","",IF(AND(LEN($B606)=11,SUMPRODUCT(--ISNUMBER(FIND(MID($B606,{1,2,3,4,5,6,7,8,9,10,11},1),"0123456789")))=11),1,0))</f>
        <v/>
      </c>
      <c r="G606">
        <f>IF($F606=1,VALUE(MID($B606,4,7)),"")</f>
        <v/>
      </c>
      <c r="H606">
        <f>IF($F606=1,MOD($G606,7),"")</f>
        <v/>
      </c>
    </row>
    <row r="607">
      <c r="A607" s="6" t="n"/>
      <c r="B607" s="7">
        <f>IF($A607="","",SUBSTITUTE(SUBSTITUTE(SUBSTITUTE(SUBSTITUTE($A607," ",""),"-",""),".",""),"/",""))</f>
        <v/>
      </c>
      <c r="C607" s="8">
        <f>IF($F607=1,$H607,"")</f>
        <v/>
      </c>
      <c r="D607" s="7">
        <f>IF($A607="","",IF($F607=0,"Biçim hatalı",IF(FIND(MID($B607,11,1),"0123456789")-1=$H607,"Geçerli","Kontrol hanesi hatalı (doğrusu: "&amp;$H607&amp;")")))</f>
        <v/>
      </c>
      <c r="F607">
        <f>IF($A607="","",IF(AND(LEN($B607)=11,SUMPRODUCT(--ISNUMBER(FIND(MID($B607,{1,2,3,4,5,6,7,8,9,10,11},1),"0123456789")))=11),1,0))</f>
        <v/>
      </c>
      <c r="G607">
        <f>IF($F607=1,VALUE(MID($B607,4,7)),"")</f>
        <v/>
      </c>
      <c r="H607">
        <f>IF($F607=1,MOD($G607,7),"")</f>
        <v/>
      </c>
    </row>
    <row r="608">
      <c r="A608" s="6" t="n"/>
      <c r="B608" s="7">
        <f>IF($A608="","",SUBSTITUTE(SUBSTITUTE(SUBSTITUTE(SUBSTITUTE($A608," ",""),"-",""),".",""),"/",""))</f>
        <v/>
      </c>
      <c r="C608" s="8">
        <f>IF($F608=1,$H608,"")</f>
        <v/>
      </c>
      <c r="D608" s="7">
        <f>IF($A608="","",IF($F608=0,"Biçim hatalı",IF(FIND(MID($B608,11,1),"0123456789")-1=$H608,"Geçerli","Kontrol hanesi hatalı (doğrusu: "&amp;$H608&amp;")")))</f>
        <v/>
      </c>
      <c r="F608">
        <f>IF($A608="","",IF(AND(LEN($B608)=11,SUMPRODUCT(--ISNUMBER(FIND(MID($B608,{1,2,3,4,5,6,7,8,9,10,11},1),"0123456789")))=11),1,0))</f>
        <v/>
      </c>
      <c r="G608">
        <f>IF($F608=1,VALUE(MID($B608,4,7)),"")</f>
        <v/>
      </c>
      <c r="H608">
        <f>IF($F608=1,MOD($G608,7),"")</f>
        <v/>
      </c>
    </row>
    <row r="609">
      <c r="A609" s="6" t="n"/>
      <c r="B609" s="7">
        <f>IF($A609="","",SUBSTITUTE(SUBSTITUTE(SUBSTITUTE(SUBSTITUTE($A609," ",""),"-",""),".",""),"/",""))</f>
        <v/>
      </c>
      <c r="C609" s="8">
        <f>IF($F609=1,$H609,"")</f>
        <v/>
      </c>
      <c r="D609" s="7">
        <f>IF($A609="","",IF($F609=0,"Biçim hatalı",IF(FIND(MID($B609,11,1),"0123456789")-1=$H609,"Geçerli","Kontrol hanesi hatalı (doğrusu: "&amp;$H609&amp;")")))</f>
        <v/>
      </c>
      <c r="F609">
        <f>IF($A609="","",IF(AND(LEN($B609)=11,SUMPRODUCT(--ISNUMBER(FIND(MID($B609,{1,2,3,4,5,6,7,8,9,10,11},1),"0123456789")))=11),1,0))</f>
        <v/>
      </c>
      <c r="G609">
        <f>IF($F609=1,VALUE(MID($B609,4,7)),"")</f>
        <v/>
      </c>
      <c r="H609">
        <f>IF($F609=1,MOD($G609,7),"")</f>
        <v/>
      </c>
    </row>
    <row r="610">
      <c r="A610" s="6" t="n"/>
      <c r="B610" s="7">
        <f>IF($A610="","",SUBSTITUTE(SUBSTITUTE(SUBSTITUTE(SUBSTITUTE($A610," ",""),"-",""),".",""),"/",""))</f>
        <v/>
      </c>
      <c r="C610" s="8">
        <f>IF($F610=1,$H610,"")</f>
        <v/>
      </c>
      <c r="D610" s="7">
        <f>IF($A610="","",IF($F610=0,"Biçim hatalı",IF(FIND(MID($B610,11,1),"0123456789")-1=$H610,"Geçerli","Kontrol hanesi hatalı (doğrusu: "&amp;$H610&amp;")")))</f>
        <v/>
      </c>
      <c r="F610">
        <f>IF($A610="","",IF(AND(LEN($B610)=11,SUMPRODUCT(--ISNUMBER(FIND(MID($B610,{1,2,3,4,5,6,7,8,9,10,11},1),"0123456789")))=11),1,0))</f>
        <v/>
      </c>
      <c r="G610">
        <f>IF($F610=1,VALUE(MID($B610,4,7)),"")</f>
        <v/>
      </c>
      <c r="H610">
        <f>IF($F610=1,MOD($G610,7),"")</f>
        <v/>
      </c>
    </row>
    <row r="611">
      <c r="A611" s="6" t="n"/>
      <c r="B611" s="7">
        <f>IF($A611="","",SUBSTITUTE(SUBSTITUTE(SUBSTITUTE(SUBSTITUTE($A611," ",""),"-",""),".",""),"/",""))</f>
        <v/>
      </c>
      <c r="C611" s="8">
        <f>IF($F611=1,$H611,"")</f>
        <v/>
      </c>
      <c r="D611" s="7">
        <f>IF($A611="","",IF($F611=0,"Biçim hatalı",IF(FIND(MID($B611,11,1),"0123456789")-1=$H611,"Geçerli","Kontrol hanesi hatalı (doğrusu: "&amp;$H611&amp;")")))</f>
        <v/>
      </c>
      <c r="F611">
        <f>IF($A611="","",IF(AND(LEN($B611)=11,SUMPRODUCT(--ISNUMBER(FIND(MID($B611,{1,2,3,4,5,6,7,8,9,10,11},1),"0123456789")))=11),1,0))</f>
        <v/>
      </c>
      <c r="G611">
        <f>IF($F611=1,VALUE(MID($B611,4,7)),"")</f>
        <v/>
      </c>
      <c r="H611">
        <f>IF($F611=1,MOD($G611,7),"")</f>
        <v/>
      </c>
    </row>
    <row r="612">
      <c r="A612" s="6" t="n"/>
      <c r="B612" s="7">
        <f>IF($A612="","",SUBSTITUTE(SUBSTITUTE(SUBSTITUTE(SUBSTITUTE($A612," ",""),"-",""),".",""),"/",""))</f>
        <v/>
      </c>
      <c r="C612" s="8">
        <f>IF($F612=1,$H612,"")</f>
        <v/>
      </c>
      <c r="D612" s="7">
        <f>IF($A612="","",IF($F612=0,"Biçim hatalı",IF(FIND(MID($B612,11,1),"0123456789")-1=$H612,"Geçerli","Kontrol hanesi hatalı (doğrusu: "&amp;$H612&amp;")")))</f>
        <v/>
      </c>
      <c r="F612">
        <f>IF($A612="","",IF(AND(LEN($B612)=11,SUMPRODUCT(--ISNUMBER(FIND(MID($B612,{1,2,3,4,5,6,7,8,9,10,11},1),"0123456789")))=11),1,0))</f>
        <v/>
      </c>
      <c r="G612">
        <f>IF($F612=1,VALUE(MID($B612,4,7)),"")</f>
        <v/>
      </c>
      <c r="H612">
        <f>IF($F612=1,MOD($G612,7),"")</f>
        <v/>
      </c>
    </row>
    <row r="613">
      <c r="A613" s="6" t="n"/>
      <c r="B613" s="7">
        <f>IF($A613="","",SUBSTITUTE(SUBSTITUTE(SUBSTITUTE(SUBSTITUTE($A613," ",""),"-",""),".",""),"/",""))</f>
        <v/>
      </c>
      <c r="C613" s="8">
        <f>IF($F613=1,$H613,"")</f>
        <v/>
      </c>
      <c r="D613" s="7">
        <f>IF($A613="","",IF($F613=0,"Biçim hatalı",IF(FIND(MID($B613,11,1),"0123456789")-1=$H613,"Geçerli","Kontrol hanesi hatalı (doğrusu: "&amp;$H613&amp;")")))</f>
        <v/>
      </c>
      <c r="F613">
        <f>IF($A613="","",IF(AND(LEN($B613)=11,SUMPRODUCT(--ISNUMBER(FIND(MID($B613,{1,2,3,4,5,6,7,8,9,10,11},1),"0123456789")))=11),1,0))</f>
        <v/>
      </c>
      <c r="G613">
        <f>IF($F613=1,VALUE(MID($B613,4,7)),"")</f>
        <v/>
      </c>
      <c r="H613">
        <f>IF($F613=1,MOD($G613,7),"")</f>
        <v/>
      </c>
    </row>
    <row r="614">
      <c r="A614" s="6" t="n"/>
      <c r="B614" s="7">
        <f>IF($A614="","",SUBSTITUTE(SUBSTITUTE(SUBSTITUTE(SUBSTITUTE($A614," ",""),"-",""),".",""),"/",""))</f>
        <v/>
      </c>
      <c r="C614" s="8">
        <f>IF($F614=1,$H614,"")</f>
        <v/>
      </c>
      <c r="D614" s="7">
        <f>IF($A614="","",IF($F614=0,"Biçim hatalı",IF(FIND(MID($B614,11,1),"0123456789")-1=$H614,"Geçerli","Kontrol hanesi hatalı (doğrusu: "&amp;$H614&amp;")")))</f>
        <v/>
      </c>
      <c r="F614">
        <f>IF($A614="","",IF(AND(LEN($B614)=11,SUMPRODUCT(--ISNUMBER(FIND(MID($B614,{1,2,3,4,5,6,7,8,9,10,11},1),"0123456789")))=11),1,0))</f>
        <v/>
      </c>
      <c r="G614">
        <f>IF($F614=1,VALUE(MID($B614,4,7)),"")</f>
        <v/>
      </c>
      <c r="H614">
        <f>IF($F614=1,MOD($G614,7),"")</f>
        <v/>
      </c>
    </row>
    <row r="615">
      <c r="A615" s="6" t="n"/>
      <c r="B615" s="7">
        <f>IF($A615="","",SUBSTITUTE(SUBSTITUTE(SUBSTITUTE(SUBSTITUTE($A615," ",""),"-",""),".",""),"/",""))</f>
        <v/>
      </c>
      <c r="C615" s="8">
        <f>IF($F615=1,$H615,"")</f>
        <v/>
      </c>
      <c r="D615" s="7">
        <f>IF($A615="","",IF($F615=0,"Biçim hatalı",IF(FIND(MID($B615,11,1),"0123456789")-1=$H615,"Geçerli","Kontrol hanesi hatalı (doğrusu: "&amp;$H615&amp;")")))</f>
        <v/>
      </c>
      <c r="F615">
        <f>IF($A615="","",IF(AND(LEN($B615)=11,SUMPRODUCT(--ISNUMBER(FIND(MID($B615,{1,2,3,4,5,6,7,8,9,10,11},1),"0123456789")))=11),1,0))</f>
        <v/>
      </c>
      <c r="G615">
        <f>IF($F615=1,VALUE(MID($B615,4,7)),"")</f>
        <v/>
      </c>
      <c r="H615">
        <f>IF($F615=1,MOD($G615,7),"")</f>
        <v/>
      </c>
    </row>
    <row r="616">
      <c r="A616" s="6" t="n"/>
      <c r="B616" s="7">
        <f>IF($A616="","",SUBSTITUTE(SUBSTITUTE(SUBSTITUTE(SUBSTITUTE($A616," ",""),"-",""),".",""),"/",""))</f>
        <v/>
      </c>
      <c r="C616" s="8">
        <f>IF($F616=1,$H616,"")</f>
        <v/>
      </c>
      <c r="D616" s="7">
        <f>IF($A616="","",IF($F616=0,"Biçim hatalı",IF(FIND(MID($B616,11,1),"0123456789")-1=$H616,"Geçerli","Kontrol hanesi hatalı (doğrusu: "&amp;$H616&amp;")")))</f>
        <v/>
      </c>
      <c r="F616">
        <f>IF($A616="","",IF(AND(LEN($B616)=11,SUMPRODUCT(--ISNUMBER(FIND(MID($B616,{1,2,3,4,5,6,7,8,9,10,11},1),"0123456789")))=11),1,0))</f>
        <v/>
      </c>
      <c r="G616">
        <f>IF($F616=1,VALUE(MID($B616,4,7)),"")</f>
        <v/>
      </c>
      <c r="H616">
        <f>IF($F616=1,MOD($G616,7),"")</f>
        <v/>
      </c>
    </row>
    <row r="617">
      <c r="A617" s="6" t="n"/>
      <c r="B617" s="7">
        <f>IF($A617="","",SUBSTITUTE(SUBSTITUTE(SUBSTITUTE(SUBSTITUTE($A617," ",""),"-",""),".",""),"/",""))</f>
        <v/>
      </c>
      <c r="C617" s="8">
        <f>IF($F617=1,$H617,"")</f>
        <v/>
      </c>
      <c r="D617" s="7">
        <f>IF($A617="","",IF($F617=0,"Biçim hatalı",IF(FIND(MID($B617,11,1),"0123456789")-1=$H617,"Geçerli","Kontrol hanesi hatalı (doğrusu: "&amp;$H617&amp;")")))</f>
        <v/>
      </c>
      <c r="F617">
        <f>IF($A617="","",IF(AND(LEN($B617)=11,SUMPRODUCT(--ISNUMBER(FIND(MID($B617,{1,2,3,4,5,6,7,8,9,10,11},1),"0123456789")))=11),1,0))</f>
        <v/>
      </c>
      <c r="G617">
        <f>IF($F617=1,VALUE(MID($B617,4,7)),"")</f>
        <v/>
      </c>
      <c r="H617">
        <f>IF($F617=1,MOD($G617,7),"")</f>
        <v/>
      </c>
    </row>
    <row r="618">
      <c r="A618" s="6" t="n"/>
      <c r="B618" s="7">
        <f>IF($A618="","",SUBSTITUTE(SUBSTITUTE(SUBSTITUTE(SUBSTITUTE($A618," ",""),"-",""),".",""),"/",""))</f>
        <v/>
      </c>
      <c r="C618" s="8">
        <f>IF($F618=1,$H618,"")</f>
        <v/>
      </c>
      <c r="D618" s="7">
        <f>IF($A618="","",IF($F618=0,"Biçim hatalı",IF(FIND(MID($B618,11,1),"0123456789")-1=$H618,"Geçerli","Kontrol hanesi hatalı (doğrusu: "&amp;$H618&amp;")")))</f>
        <v/>
      </c>
      <c r="F618">
        <f>IF($A618="","",IF(AND(LEN($B618)=11,SUMPRODUCT(--ISNUMBER(FIND(MID($B618,{1,2,3,4,5,6,7,8,9,10,11},1),"0123456789")))=11),1,0))</f>
        <v/>
      </c>
      <c r="G618">
        <f>IF($F618=1,VALUE(MID($B618,4,7)),"")</f>
        <v/>
      </c>
      <c r="H618">
        <f>IF($F618=1,MOD($G618,7),"")</f>
        <v/>
      </c>
    </row>
    <row r="619">
      <c r="A619" s="6" t="n"/>
      <c r="B619" s="7">
        <f>IF($A619="","",SUBSTITUTE(SUBSTITUTE(SUBSTITUTE(SUBSTITUTE($A619," ",""),"-",""),".",""),"/",""))</f>
        <v/>
      </c>
      <c r="C619" s="8">
        <f>IF($F619=1,$H619,"")</f>
        <v/>
      </c>
      <c r="D619" s="7">
        <f>IF($A619="","",IF($F619=0,"Biçim hatalı",IF(FIND(MID($B619,11,1),"0123456789")-1=$H619,"Geçerli","Kontrol hanesi hatalı (doğrusu: "&amp;$H619&amp;")")))</f>
        <v/>
      </c>
      <c r="F619">
        <f>IF($A619="","",IF(AND(LEN($B619)=11,SUMPRODUCT(--ISNUMBER(FIND(MID($B619,{1,2,3,4,5,6,7,8,9,10,11},1),"0123456789")))=11),1,0))</f>
        <v/>
      </c>
      <c r="G619">
        <f>IF($F619=1,VALUE(MID($B619,4,7)),"")</f>
        <v/>
      </c>
      <c r="H619">
        <f>IF($F619=1,MOD($G619,7),"")</f>
        <v/>
      </c>
    </row>
    <row r="620">
      <c r="A620" s="6" t="n"/>
      <c r="B620" s="7">
        <f>IF($A620="","",SUBSTITUTE(SUBSTITUTE(SUBSTITUTE(SUBSTITUTE($A620," ",""),"-",""),".",""),"/",""))</f>
        <v/>
      </c>
      <c r="C620" s="8">
        <f>IF($F620=1,$H620,"")</f>
        <v/>
      </c>
      <c r="D620" s="7">
        <f>IF($A620="","",IF($F620=0,"Biçim hatalı",IF(FIND(MID($B620,11,1),"0123456789")-1=$H620,"Geçerli","Kontrol hanesi hatalı (doğrusu: "&amp;$H620&amp;")")))</f>
        <v/>
      </c>
      <c r="F620">
        <f>IF($A620="","",IF(AND(LEN($B620)=11,SUMPRODUCT(--ISNUMBER(FIND(MID($B620,{1,2,3,4,5,6,7,8,9,10,11},1),"0123456789")))=11),1,0))</f>
        <v/>
      </c>
      <c r="G620">
        <f>IF($F620=1,VALUE(MID($B620,4,7)),"")</f>
        <v/>
      </c>
      <c r="H620">
        <f>IF($F620=1,MOD($G620,7),"")</f>
        <v/>
      </c>
    </row>
    <row r="621">
      <c r="A621" s="6" t="n"/>
      <c r="B621" s="7">
        <f>IF($A621="","",SUBSTITUTE(SUBSTITUTE(SUBSTITUTE(SUBSTITUTE($A621," ",""),"-",""),".",""),"/",""))</f>
        <v/>
      </c>
      <c r="C621" s="8">
        <f>IF($F621=1,$H621,"")</f>
        <v/>
      </c>
      <c r="D621" s="7">
        <f>IF($A621="","",IF($F621=0,"Biçim hatalı",IF(FIND(MID($B621,11,1),"0123456789")-1=$H621,"Geçerli","Kontrol hanesi hatalı (doğrusu: "&amp;$H621&amp;")")))</f>
        <v/>
      </c>
      <c r="F621">
        <f>IF($A621="","",IF(AND(LEN($B621)=11,SUMPRODUCT(--ISNUMBER(FIND(MID($B621,{1,2,3,4,5,6,7,8,9,10,11},1),"0123456789")))=11),1,0))</f>
        <v/>
      </c>
      <c r="G621">
        <f>IF($F621=1,VALUE(MID($B621,4,7)),"")</f>
        <v/>
      </c>
      <c r="H621">
        <f>IF($F621=1,MOD($G621,7),"")</f>
        <v/>
      </c>
    </row>
    <row r="622">
      <c r="A622" s="6" t="n"/>
      <c r="B622" s="7">
        <f>IF($A622="","",SUBSTITUTE(SUBSTITUTE(SUBSTITUTE(SUBSTITUTE($A622," ",""),"-",""),".",""),"/",""))</f>
        <v/>
      </c>
      <c r="C622" s="8">
        <f>IF($F622=1,$H622,"")</f>
        <v/>
      </c>
      <c r="D622" s="7">
        <f>IF($A622="","",IF($F622=0,"Biçim hatalı",IF(FIND(MID($B622,11,1),"0123456789")-1=$H622,"Geçerli","Kontrol hanesi hatalı (doğrusu: "&amp;$H622&amp;")")))</f>
        <v/>
      </c>
      <c r="F622">
        <f>IF($A622="","",IF(AND(LEN($B622)=11,SUMPRODUCT(--ISNUMBER(FIND(MID($B622,{1,2,3,4,5,6,7,8,9,10,11},1),"0123456789")))=11),1,0))</f>
        <v/>
      </c>
      <c r="G622">
        <f>IF($F622=1,VALUE(MID($B622,4,7)),"")</f>
        <v/>
      </c>
      <c r="H622">
        <f>IF($F622=1,MOD($G622,7),"")</f>
        <v/>
      </c>
    </row>
    <row r="623">
      <c r="A623" s="6" t="n"/>
      <c r="B623" s="7">
        <f>IF($A623="","",SUBSTITUTE(SUBSTITUTE(SUBSTITUTE(SUBSTITUTE($A623," ",""),"-",""),".",""),"/",""))</f>
        <v/>
      </c>
      <c r="C623" s="8">
        <f>IF($F623=1,$H623,"")</f>
        <v/>
      </c>
      <c r="D623" s="7">
        <f>IF($A623="","",IF($F623=0,"Biçim hatalı",IF(FIND(MID($B623,11,1),"0123456789")-1=$H623,"Geçerli","Kontrol hanesi hatalı (doğrusu: "&amp;$H623&amp;")")))</f>
        <v/>
      </c>
      <c r="F623">
        <f>IF($A623="","",IF(AND(LEN($B623)=11,SUMPRODUCT(--ISNUMBER(FIND(MID($B623,{1,2,3,4,5,6,7,8,9,10,11},1),"0123456789")))=11),1,0))</f>
        <v/>
      </c>
      <c r="G623">
        <f>IF($F623=1,VALUE(MID($B623,4,7)),"")</f>
        <v/>
      </c>
      <c r="H623">
        <f>IF($F623=1,MOD($G623,7),"")</f>
        <v/>
      </c>
    </row>
    <row r="624">
      <c r="A624" s="6" t="n"/>
      <c r="B624" s="7">
        <f>IF($A624="","",SUBSTITUTE(SUBSTITUTE(SUBSTITUTE(SUBSTITUTE($A624," ",""),"-",""),".",""),"/",""))</f>
        <v/>
      </c>
      <c r="C624" s="8">
        <f>IF($F624=1,$H624,"")</f>
        <v/>
      </c>
      <c r="D624" s="7">
        <f>IF($A624="","",IF($F624=0,"Biçim hatalı",IF(FIND(MID($B624,11,1),"0123456789")-1=$H624,"Geçerli","Kontrol hanesi hatalı (doğrusu: "&amp;$H624&amp;")")))</f>
        <v/>
      </c>
      <c r="F624">
        <f>IF($A624="","",IF(AND(LEN($B624)=11,SUMPRODUCT(--ISNUMBER(FIND(MID($B624,{1,2,3,4,5,6,7,8,9,10,11},1),"0123456789")))=11),1,0))</f>
        <v/>
      </c>
      <c r="G624">
        <f>IF($F624=1,VALUE(MID($B624,4,7)),"")</f>
        <v/>
      </c>
      <c r="H624">
        <f>IF($F624=1,MOD($G624,7),"")</f>
        <v/>
      </c>
    </row>
    <row r="625">
      <c r="A625" s="6" t="n"/>
      <c r="B625" s="7">
        <f>IF($A625="","",SUBSTITUTE(SUBSTITUTE(SUBSTITUTE(SUBSTITUTE($A625," ",""),"-",""),".",""),"/",""))</f>
        <v/>
      </c>
      <c r="C625" s="8">
        <f>IF($F625=1,$H625,"")</f>
        <v/>
      </c>
      <c r="D625" s="7">
        <f>IF($A625="","",IF($F625=0,"Biçim hatalı",IF(FIND(MID($B625,11,1),"0123456789")-1=$H625,"Geçerli","Kontrol hanesi hatalı (doğrusu: "&amp;$H625&amp;")")))</f>
        <v/>
      </c>
      <c r="F625">
        <f>IF($A625="","",IF(AND(LEN($B625)=11,SUMPRODUCT(--ISNUMBER(FIND(MID($B625,{1,2,3,4,5,6,7,8,9,10,11},1),"0123456789")))=11),1,0))</f>
        <v/>
      </c>
      <c r="G625">
        <f>IF($F625=1,VALUE(MID($B625,4,7)),"")</f>
        <v/>
      </c>
      <c r="H625">
        <f>IF($F625=1,MOD($G625,7),"")</f>
        <v/>
      </c>
    </row>
    <row r="626">
      <c r="A626" s="6" t="n"/>
      <c r="B626" s="7">
        <f>IF($A626="","",SUBSTITUTE(SUBSTITUTE(SUBSTITUTE(SUBSTITUTE($A626," ",""),"-",""),".",""),"/",""))</f>
        <v/>
      </c>
      <c r="C626" s="8">
        <f>IF($F626=1,$H626,"")</f>
        <v/>
      </c>
      <c r="D626" s="7">
        <f>IF($A626="","",IF($F626=0,"Biçim hatalı",IF(FIND(MID($B626,11,1),"0123456789")-1=$H626,"Geçerli","Kontrol hanesi hatalı (doğrusu: "&amp;$H626&amp;")")))</f>
        <v/>
      </c>
      <c r="F626">
        <f>IF($A626="","",IF(AND(LEN($B626)=11,SUMPRODUCT(--ISNUMBER(FIND(MID($B626,{1,2,3,4,5,6,7,8,9,10,11},1),"0123456789")))=11),1,0))</f>
        <v/>
      </c>
      <c r="G626">
        <f>IF($F626=1,VALUE(MID($B626,4,7)),"")</f>
        <v/>
      </c>
      <c r="H626">
        <f>IF($F626=1,MOD($G626,7),"")</f>
        <v/>
      </c>
    </row>
    <row r="627">
      <c r="A627" s="6" t="n"/>
      <c r="B627" s="7">
        <f>IF($A627="","",SUBSTITUTE(SUBSTITUTE(SUBSTITUTE(SUBSTITUTE($A627," ",""),"-",""),".",""),"/",""))</f>
        <v/>
      </c>
      <c r="C627" s="8">
        <f>IF($F627=1,$H627,"")</f>
        <v/>
      </c>
      <c r="D627" s="7">
        <f>IF($A627="","",IF($F627=0,"Biçim hatalı",IF(FIND(MID($B627,11,1),"0123456789")-1=$H627,"Geçerli","Kontrol hanesi hatalı (doğrusu: "&amp;$H627&amp;")")))</f>
        <v/>
      </c>
      <c r="F627">
        <f>IF($A627="","",IF(AND(LEN($B627)=11,SUMPRODUCT(--ISNUMBER(FIND(MID($B627,{1,2,3,4,5,6,7,8,9,10,11},1),"0123456789")))=11),1,0))</f>
        <v/>
      </c>
      <c r="G627">
        <f>IF($F627=1,VALUE(MID($B627,4,7)),"")</f>
        <v/>
      </c>
      <c r="H627">
        <f>IF($F627=1,MOD($G627,7),"")</f>
        <v/>
      </c>
    </row>
    <row r="628">
      <c r="A628" s="6" t="n"/>
      <c r="B628" s="7">
        <f>IF($A628="","",SUBSTITUTE(SUBSTITUTE(SUBSTITUTE(SUBSTITUTE($A628," ",""),"-",""),".",""),"/",""))</f>
        <v/>
      </c>
      <c r="C628" s="8">
        <f>IF($F628=1,$H628,"")</f>
        <v/>
      </c>
      <c r="D628" s="7">
        <f>IF($A628="","",IF($F628=0,"Biçim hatalı",IF(FIND(MID($B628,11,1),"0123456789")-1=$H628,"Geçerli","Kontrol hanesi hatalı (doğrusu: "&amp;$H628&amp;")")))</f>
        <v/>
      </c>
      <c r="F628">
        <f>IF($A628="","",IF(AND(LEN($B628)=11,SUMPRODUCT(--ISNUMBER(FIND(MID($B628,{1,2,3,4,5,6,7,8,9,10,11},1),"0123456789")))=11),1,0))</f>
        <v/>
      </c>
      <c r="G628">
        <f>IF($F628=1,VALUE(MID($B628,4,7)),"")</f>
        <v/>
      </c>
      <c r="H628">
        <f>IF($F628=1,MOD($G628,7),"")</f>
        <v/>
      </c>
    </row>
    <row r="629">
      <c r="A629" s="6" t="n"/>
      <c r="B629" s="7">
        <f>IF($A629="","",SUBSTITUTE(SUBSTITUTE(SUBSTITUTE(SUBSTITUTE($A629," ",""),"-",""),".",""),"/",""))</f>
        <v/>
      </c>
      <c r="C629" s="8">
        <f>IF($F629=1,$H629,"")</f>
        <v/>
      </c>
      <c r="D629" s="7">
        <f>IF($A629="","",IF($F629=0,"Biçim hatalı",IF(FIND(MID($B629,11,1),"0123456789")-1=$H629,"Geçerli","Kontrol hanesi hatalı (doğrusu: "&amp;$H629&amp;")")))</f>
        <v/>
      </c>
      <c r="F629">
        <f>IF($A629="","",IF(AND(LEN($B629)=11,SUMPRODUCT(--ISNUMBER(FIND(MID($B629,{1,2,3,4,5,6,7,8,9,10,11},1),"0123456789")))=11),1,0))</f>
        <v/>
      </c>
      <c r="G629">
        <f>IF($F629=1,VALUE(MID($B629,4,7)),"")</f>
        <v/>
      </c>
      <c r="H629">
        <f>IF($F629=1,MOD($G629,7),"")</f>
        <v/>
      </c>
    </row>
    <row r="630">
      <c r="A630" s="6" t="n"/>
      <c r="B630" s="7">
        <f>IF($A630="","",SUBSTITUTE(SUBSTITUTE(SUBSTITUTE(SUBSTITUTE($A630," ",""),"-",""),".",""),"/",""))</f>
        <v/>
      </c>
      <c r="C630" s="8">
        <f>IF($F630=1,$H630,"")</f>
        <v/>
      </c>
      <c r="D630" s="7">
        <f>IF($A630="","",IF($F630=0,"Biçim hatalı",IF(FIND(MID($B630,11,1),"0123456789")-1=$H630,"Geçerli","Kontrol hanesi hatalı (doğrusu: "&amp;$H630&amp;")")))</f>
        <v/>
      </c>
      <c r="F630">
        <f>IF($A630="","",IF(AND(LEN($B630)=11,SUMPRODUCT(--ISNUMBER(FIND(MID($B630,{1,2,3,4,5,6,7,8,9,10,11},1),"0123456789")))=11),1,0))</f>
        <v/>
      </c>
      <c r="G630">
        <f>IF($F630=1,VALUE(MID($B630,4,7)),"")</f>
        <v/>
      </c>
      <c r="H630">
        <f>IF($F630=1,MOD($G630,7),"")</f>
        <v/>
      </c>
    </row>
    <row r="631">
      <c r="A631" s="6" t="n"/>
      <c r="B631" s="7">
        <f>IF($A631="","",SUBSTITUTE(SUBSTITUTE(SUBSTITUTE(SUBSTITUTE($A631," ",""),"-",""),".",""),"/",""))</f>
        <v/>
      </c>
      <c r="C631" s="8">
        <f>IF($F631=1,$H631,"")</f>
        <v/>
      </c>
      <c r="D631" s="7">
        <f>IF($A631="","",IF($F631=0,"Biçim hatalı",IF(FIND(MID($B631,11,1),"0123456789")-1=$H631,"Geçerli","Kontrol hanesi hatalı (doğrusu: "&amp;$H631&amp;")")))</f>
        <v/>
      </c>
      <c r="F631">
        <f>IF($A631="","",IF(AND(LEN($B631)=11,SUMPRODUCT(--ISNUMBER(FIND(MID($B631,{1,2,3,4,5,6,7,8,9,10,11},1),"0123456789")))=11),1,0))</f>
        <v/>
      </c>
      <c r="G631">
        <f>IF($F631=1,VALUE(MID($B631,4,7)),"")</f>
        <v/>
      </c>
      <c r="H631">
        <f>IF($F631=1,MOD($G631,7),"")</f>
        <v/>
      </c>
    </row>
    <row r="632">
      <c r="A632" s="6" t="n"/>
      <c r="B632" s="7">
        <f>IF($A632="","",SUBSTITUTE(SUBSTITUTE(SUBSTITUTE(SUBSTITUTE($A632," ",""),"-",""),".",""),"/",""))</f>
        <v/>
      </c>
      <c r="C632" s="8">
        <f>IF($F632=1,$H632,"")</f>
        <v/>
      </c>
      <c r="D632" s="7">
        <f>IF($A632="","",IF($F632=0,"Biçim hatalı",IF(FIND(MID($B632,11,1),"0123456789")-1=$H632,"Geçerli","Kontrol hanesi hatalı (doğrusu: "&amp;$H632&amp;")")))</f>
        <v/>
      </c>
      <c r="F632">
        <f>IF($A632="","",IF(AND(LEN($B632)=11,SUMPRODUCT(--ISNUMBER(FIND(MID($B632,{1,2,3,4,5,6,7,8,9,10,11},1),"0123456789")))=11),1,0))</f>
        <v/>
      </c>
      <c r="G632">
        <f>IF($F632=1,VALUE(MID($B632,4,7)),"")</f>
        <v/>
      </c>
      <c r="H632">
        <f>IF($F632=1,MOD($G632,7),"")</f>
        <v/>
      </c>
    </row>
    <row r="633">
      <c r="A633" s="6" t="n"/>
      <c r="B633" s="7">
        <f>IF($A633="","",SUBSTITUTE(SUBSTITUTE(SUBSTITUTE(SUBSTITUTE($A633," ",""),"-",""),".",""),"/",""))</f>
        <v/>
      </c>
      <c r="C633" s="8">
        <f>IF($F633=1,$H633,"")</f>
        <v/>
      </c>
      <c r="D633" s="7">
        <f>IF($A633="","",IF($F633=0,"Biçim hatalı",IF(FIND(MID($B633,11,1),"0123456789")-1=$H633,"Geçerli","Kontrol hanesi hatalı (doğrusu: "&amp;$H633&amp;")")))</f>
        <v/>
      </c>
      <c r="F633">
        <f>IF($A633="","",IF(AND(LEN($B633)=11,SUMPRODUCT(--ISNUMBER(FIND(MID($B633,{1,2,3,4,5,6,7,8,9,10,11},1),"0123456789")))=11),1,0))</f>
        <v/>
      </c>
      <c r="G633">
        <f>IF($F633=1,VALUE(MID($B633,4,7)),"")</f>
        <v/>
      </c>
      <c r="H633">
        <f>IF($F633=1,MOD($G633,7),"")</f>
        <v/>
      </c>
    </row>
    <row r="634">
      <c r="A634" s="6" t="n"/>
      <c r="B634" s="7">
        <f>IF($A634="","",SUBSTITUTE(SUBSTITUTE(SUBSTITUTE(SUBSTITUTE($A634," ",""),"-",""),".",""),"/",""))</f>
        <v/>
      </c>
      <c r="C634" s="8">
        <f>IF($F634=1,$H634,"")</f>
        <v/>
      </c>
      <c r="D634" s="7">
        <f>IF($A634="","",IF($F634=0,"Biçim hatalı",IF(FIND(MID($B634,11,1),"0123456789")-1=$H634,"Geçerli","Kontrol hanesi hatalı (doğrusu: "&amp;$H634&amp;")")))</f>
        <v/>
      </c>
      <c r="F634">
        <f>IF($A634="","",IF(AND(LEN($B634)=11,SUMPRODUCT(--ISNUMBER(FIND(MID($B634,{1,2,3,4,5,6,7,8,9,10,11},1),"0123456789")))=11),1,0))</f>
        <v/>
      </c>
      <c r="G634">
        <f>IF($F634=1,VALUE(MID($B634,4,7)),"")</f>
        <v/>
      </c>
      <c r="H634">
        <f>IF($F634=1,MOD($G634,7),"")</f>
        <v/>
      </c>
    </row>
    <row r="635">
      <c r="A635" s="6" t="n"/>
      <c r="B635" s="7">
        <f>IF($A635="","",SUBSTITUTE(SUBSTITUTE(SUBSTITUTE(SUBSTITUTE($A635," ",""),"-",""),".",""),"/",""))</f>
        <v/>
      </c>
      <c r="C635" s="8">
        <f>IF($F635=1,$H635,"")</f>
        <v/>
      </c>
      <c r="D635" s="7">
        <f>IF($A635="","",IF($F635=0,"Biçim hatalı",IF(FIND(MID($B635,11,1),"0123456789")-1=$H635,"Geçerli","Kontrol hanesi hatalı (doğrusu: "&amp;$H635&amp;")")))</f>
        <v/>
      </c>
      <c r="F635">
        <f>IF($A635="","",IF(AND(LEN($B635)=11,SUMPRODUCT(--ISNUMBER(FIND(MID($B635,{1,2,3,4,5,6,7,8,9,10,11},1),"0123456789")))=11),1,0))</f>
        <v/>
      </c>
      <c r="G635">
        <f>IF($F635=1,VALUE(MID($B635,4,7)),"")</f>
        <v/>
      </c>
      <c r="H635">
        <f>IF($F635=1,MOD($G635,7),"")</f>
        <v/>
      </c>
    </row>
    <row r="636">
      <c r="A636" s="6" t="n"/>
      <c r="B636" s="7">
        <f>IF($A636="","",SUBSTITUTE(SUBSTITUTE(SUBSTITUTE(SUBSTITUTE($A636," ",""),"-",""),".",""),"/",""))</f>
        <v/>
      </c>
      <c r="C636" s="8">
        <f>IF($F636=1,$H636,"")</f>
        <v/>
      </c>
      <c r="D636" s="7">
        <f>IF($A636="","",IF($F636=0,"Biçim hatalı",IF(FIND(MID($B636,11,1),"0123456789")-1=$H636,"Geçerli","Kontrol hanesi hatalı (doğrusu: "&amp;$H636&amp;")")))</f>
        <v/>
      </c>
      <c r="F636">
        <f>IF($A636="","",IF(AND(LEN($B636)=11,SUMPRODUCT(--ISNUMBER(FIND(MID($B636,{1,2,3,4,5,6,7,8,9,10,11},1),"0123456789")))=11),1,0))</f>
        <v/>
      </c>
      <c r="G636">
        <f>IF($F636=1,VALUE(MID($B636,4,7)),"")</f>
        <v/>
      </c>
      <c r="H636">
        <f>IF($F636=1,MOD($G636,7),"")</f>
        <v/>
      </c>
    </row>
    <row r="637">
      <c r="A637" s="6" t="n"/>
      <c r="B637" s="7">
        <f>IF($A637="","",SUBSTITUTE(SUBSTITUTE(SUBSTITUTE(SUBSTITUTE($A637," ",""),"-",""),".",""),"/",""))</f>
        <v/>
      </c>
      <c r="C637" s="8">
        <f>IF($F637=1,$H637,"")</f>
        <v/>
      </c>
      <c r="D637" s="7">
        <f>IF($A637="","",IF($F637=0,"Biçim hatalı",IF(FIND(MID($B637,11,1),"0123456789")-1=$H637,"Geçerli","Kontrol hanesi hatalı (doğrusu: "&amp;$H637&amp;")")))</f>
        <v/>
      </c>
      <c r="F637">
        <f>IF($A637="","",IF(AND(LEN($B637)=11,SUMPRODUCT(--ISNUMBER(FIND(MID($B637,{1,2,3,4,5,6,7,8,9,10,11},1),"0123456789")))=11),1,0))</f>
        <v/>
      </c>
      <c r="G637">
        <f>IF($F637=1,VALUE(MID($B637,4,7)),"")</f>
        <v/>
      </c>
      <c r="H637">
        <f>IF($F637=1,MOD($G637,7),"")</f>
        <v/>
      </c>
    </row>
    <row r="638">
      <c r="A638" s="6" t="n"/>
      <c r="B638" s="7">
        <f>IF($A638="","",SUBSTITUTE(SUBSTITUTE(SUBSTITUTE(SUBSTITUTE($A638," ",""),"-",""),".",""),"/",""))</f>
        <v/>
      </c>
      <c r="C638" s="8">
        <f>IF($F638=1,$H638,"")</f>
        <v/>
      </c>
      <c r="D638" s="7">
        <f>IF($A638="","",IF($F638=0,"Biçim hatalı",IF(FIND(MID($B638,11,1),"0123456789")-1=$H638,"Geçerli","Kontrol hanesi hatalı (doğrusu: "&amp;$H638&amp;")")))</f>
        <v/>
      </c>
      <c r="F638">
        <f>IF($A638="","",IF(AND(LEN($B638)=11,SUMPRODUCT(--ISNUMBER(FIND(MID($B638,{1,2,3,4,5,6,7,8,9,10,11},1),"0123456789")))=11),1,0))</f>
        <v/>
      </c>
      <c r="G638">
        <f>IF($F638=1,VALUE(MID($B638,4,7)),"")</f>
        <v/>
      </c>
      <c r="H638">
        <f>IF($F638=1,MOD($G638,7),"")</f>
        <v/>
      </c>
    </row>
    <row r="639">
      <c r="A639" s="6" t="n"/>
      <c r="B639" s="7">
        <f>IF($A639="","",SUBSTITUTE(SUBSTITUTE(SUBSTITUTE(SUBSTITUTE($A639," ",""),"-",""),".",""),"/",""))</f>
        <v/>
      </c>
      <c r="C639" s="8">
        <f>IF($F639=1,$H639,"")</f>
        <v/>
      </c>
      <c r="D639" s="7">
        <f>IF($A639="","",IF($F639=0,"Biçim hatalı",IF(FIND(MID($B639,11,1),"0123456789")-1=$H639,"Geçerli","Kontrol hanesi hatalı (doğrusu: "&amp;$H639&amp;")")))</f>
        <v/>
      </c>
      <c r="F639">
        <f>IF($A639="","",IF(AND(LEN($B639)=11,SUMPRODUCT(--ISNUMBER(FIND(MID($B639,{1,2,3,4,5,6,7,8,9,10,11},1),"0123456789")))=11),1,0))</f>
        <v/>
      </c>
      <c r="G639">
        <f>IF($F639=1,VALUE(MID($B639,4,7)),"")</f>
        <v/>
      </c>
      <c r="H639">
        <f>IF($F639=1,MOD($G639,7),"")</f>
        <v/>
      </c>
    </row>
    <row r="640">
      <c r="A640" s="6" t="n"/>
      <c r="B640" s="7">
        <f>IF($A640="","",SUBSTITUTE(SUBSTITUTE(SUBSTITUTE(SUBSTITUTE($A640," ",""),"-",""),".",""),"/",""))</f>
        <v/>
      </c>
      <c r="C640" s="8">
        <f>IF($F640=1,$H640,"")</f>
        <v/>
      </c>
      <c r="D640" s="7">
        <f>IF($A640="","",IF($F640=0,"Biçim hatalı",IF(FIND(MID($B640,11,1),"0123456789")-1=$H640,"Geçerli","Kontrol hanesi hatalı (doğrusu: "&amp;$H640&amp;")")))</f>
        <v/>
      </c>
      <c r="F640">
        <f>IF($A640="","",IF(AND(LEN($B640)=11,SUMPRODUCT(--ISNUMBER(FIND(MID($B640,{1,2,3,4,5,6,7,8,9,10,11},1),"0123456789")))=11),1,0))</f>
        <v/>
      </c>
      <c r="G640">
        <f>IF($F640=1,VALUE(MID($B640,4,7)),"")</f>
        <v/>
      </c>
      <c r="H640">
        <f>IF($F640=1,MOD($G640,7),"")</f>
        <v/>
      </c>
    </row>
    <row r="641">
      <c r="A641" s="6" t="n"/>
      <c r="B641" s="7">
        <f>IF($A641="","",SUBSTITUTE(SUBSTITUTE(SUBSTITUTE(SUBSTITUTE($A641," ",""),"-",""),".",""),"/",""))</f>
        <v/>
      </c>
      <c r="C641" s="8">
        <f>IF($F641=1,$H641,"")</f>
        <v/>
      </c>
      <c r="D641" s="7">
        <f>IF($A641="","",IF($F641=0,"Biçim hatalı",IF(FIND(MID($B641,11,1),"0123456789")-1=$H641,"Geçerli","Kontrol hanesi hatalı (doğrusu: "&amp;$H641&amp;")")))</f>
        <v/>
      </c>
      <c r="F641">
        <f>IF($A641="","",IF(AND(LEN($B641)=11,SUMPRODUCT(--ISNUMBER(FIND(MID($B641,{1,2,3,4,5,6,7,8,9,10,11},1),"0123456789")))=11),1,0))</f>
        <v/>
      </c>
      <c r="G641">
        <f>IF($F641=1,VALUE(MID($B641,4,7)),"")</f>
        <v/>
      </c>
      <c r="H641">
        <f>IF($F641=1,MOD($G641,7),"")</f>
        <v/>
      </c>
    </row>
    <row r="642">
      <c r="A642" s="6" t="n"/>
      <c r="B642" s="7">
        <f>IF($A642="","",SUBSTITUTE(SUBSTITUTE(SUBSTITUTE(SUBSTITUTE($A642," ",""),"-",""),".",""),"/",""))</f>
        <v/>
      </c>
      <c r="C642" s="8">
        <f>IF($F642=1,$H642,"")</f>
        <v/>
      </c>
      <c r="D642" s="7">
        <f>IF($A642="","",IF($F642=0,"Biçim hatalı",IF(FIND(MID($B642,11,1),"0123456789")-1=$H642,"Geçerli","Kontrol hanesi hatalı (doğrusu: "&amp;$H642&amp;")")))</f>
        <v/>
      </c>
      <c r="F642">
        <f>IF($A642="","",IF(AND(LEN($B642)=11,SUMPRODUCT(--ISNUMBER(FIND(MID($B642,{1,2,3,4,5,6,7,8,9,10,11},1),"0123456789")))=11),1,0))</f>
        <v/>
      </c>
      <c r="G642">
        <f>IF($F642=1,VALUE(MID($B642,4,7)),"")</f>
        <v/>
      </c>
      <c r="H642">
        <f>IF($F642=1,MOD($G642,7),"")</f>
        <v/>
      </c>
    </row>
    <row r="643">
      <c r="A643" s="6" t="n"/>
      <c r="B643" s="7">
        <f>IF($A643="","",SUBSTITUTE(SUBSTITUTE(SUBSTITUTE(SUBSTITUTE($A643," ",""),"-",""),".",""),"/",""))</f>
        <v/>
      </c>
      <c r="C643" s="8">
        <f>IF($F643=1,$H643,"")</f>
        <v/>
      </c>
      <c r="D643" s="7">
        <f>IF($A643="","",IF($F643=0,"Biçim hatalı",IF(FIND(MID($B643,11,1),"0123456789")-1=$H643,"Geçerli","Kontrol hanesi hatalı (doğrusu: "&amp;$H643&amp;")")))</f>
        <v/>
      </c>
      <c r="F643">
        <f>IF($A643="","",IF(AND(LEN($B643)=11,SUMPRODUCT(--ISNUMBER(FIND(MID($B643,{1,2,3,4,5,6,7,8,9,10,11},1),"0123456789")))=11),1,0))</f>
        <v/>
      </c>
      <c r="G643">
        <f>IF($F643=1,VALUE(MID($B643,4,7)),"")</f>
        <v/>
      </c>
      <c r="H643">
        <f>IF($F643=1,MOD($G643,7),"")</f>
        <v/>
      </c>
    </row>
    <row r="644">
      <c r="A644" s="6" t="n"/>
      <c r="B644" s="7">
        <f>IF($A644="","",SUBSTITUTE(SUBSTITUTE(SUBSTITUTE(SUBSTITUTE($A644," ",""),"-",""),".",""),"/",""))</f>
        <v/>
      </c>
      <c r="C644" s="8">
        <f>IF($F644=1,$H644,"")</f>
        <v/>
      </c>
      <c r="D644" s="7">
        <f>IF($A644="","",IF($F644=0,"Biçim hatalı",IF(FIND(MID($B644,11,1),"0123456789")-1=$H644,"Geçerli","Kontrol hanesi hatalı (doğrusu: "&amp;$H644&amp;")")))</f>
        <v/>
      </c>
      <c r="F644">
        <f>IF($A644="","",IF(AND(LEN($B644)=11,SUMPRODUCT(--ISNUMBER(FIND(MID($B644,{1,2,3,4,5,6,7,8,9,10,11},1),"0123456789")))=11),1,0))</f>
        <v/>
      </c>
      <c r="G644">
        <f>IF($F644=1,VALUE(MID($B644,4,7)),"")</f>
        <v/>
      </c>
      <c r="H644">
        <f>IF($F644=1,MOD($G644,7),"")</f>
        <v/>
      </c>
    </row>
    <row r="645">
      <c r="A645" s="6" t="n"/>
      <c r="B645" s="7">
        <f>IF($A645="","",SUBSTITUTE(SUBSTITUTE(SUBSTITUTE(SUBSTITUTE($A645," ",""),"-",""),".",""),"/",""))</f>
        <v/>
      </c>
      <c r="C645" s="8">
        <f>IF($F645=1,$H645,"")</f>
        <v/>
      </c>
      <c r="D645" s="7">
        <f>IF($A645="","",IF($F645=0,"Biçim hatalı",IF(FIND(MID($B645,11,1),"0123456789")-1=$H645,"Geçerli","Kontrol hanesi hatalı (doğrusu: "&amp;$H645&amp;")")))</f>
        <v/>
      </c>
      <c r="F645">
        <f>IF($A645="","",IF(AND(LEN($B645)=11,SUMPRODUCT(--ISNUMBER(FIND(MID($B645,{1,2,3,4,5,6,7,8,9,10,11},1),"0123456789")))=11),1,0))</f>
        <v/>
      </c>
      <c r="G645">
        <f>IF($F645=1,VALUE(MID($B645,4,7)),"")</f>
        <v/>
      </c>
      <c r="H645">
        <f>IF($F645=1,MOD($G645,7),"")</f>
        <v/>
      </c>
    </row>
    <row r="646">
      <c r="A646" s="6" t="n"/>
      <c r="B646" s="7">
        <f>IF($A646="","",SUBSTITUTE(SUBSTITUTE(SUBSTITUTE(SUBSTITUTE($A646," ",""),"-",""),".",""),"/",""))</f>
        <v/>
      </c>
      <c r="C646" s="8">
        <f>IF($F646=1,$H646,"")</f>
        <v/>
      </c>
      <c r="D646" s="7">
        <f>IF($A646="","",IF($F646=0,"Biçim hatalı",IF(FIND(MID($B646,11,1),"0123456789")-1=$H646,"Geçerli","Kontrol hanesi hatalı (doğrusu: "&amp;$H646&amp;")")))</f>
        <v/>
      </c>
      <c r="F646">
        <f>IF($A646="","",IF(AND(LEN($B646)=11,SUMPRODUCT(--ISNUMBER(FIND(MID($B646,{1,2,3,4,5,6,7,8,9,10,11},1),"0123456789")))=11),1,0))</f>
        <v/>
      </c>
      <c r="G646">
        <f>IF($F646=1,VALUE(MID($B646,4,7)),"")</f>
        <v/>
      </c>
      <c r="H646">
        <f>IF($F646=1,MOD($G646,7),"")</f>
        <v/>
      </c>
    </row>
    <row r="647">
      <c r="A647" s="6" t="n"/>
      <c r="B647" s="7">
        <f>IF($A647="","",SUBSTITUTE(SUBSTITUTE(SUBSTITUTE(SUBSTITUTE($A647," ",""),"-",""),".",""),"/",""))</f>
        <v/>
      </c>
      <c r="C647" s="8">
        <f>IF($F647=1,$H647,"")</f>
        <v/>
      </c>
      <c r="D647" s="7">
        <f>IF($A647="","",IF($F647=0,"Biçim hatalı",IF(FIND(MID($B647,11,1),"0123456789")-1=$H647,"Geçerli","Kontrol hanesi hatalı (doğrusu: "&amp;$H647&amp;")")))</f>
        <v/>
      </c>
      <c r="F647">
        <f>IF($A647="","",IF(AND(LEN($B647)=11,SUMPRODUCT(--ISNUMBER(FIND(MID($B647,{1,2,3,4,5,6,7,8,9,10,11},1),"0123456789")))=11),1,0))</f>
        <v/>
      </c>
      <c r="G647">
        <f>IF($F647=1,VALUE(MID($B647,4,7)),"")</f>
        <v/>
      </c>
      <c r="H647">
        <f>IF($F647=1,MOD($G647,7),"")</f>
        <v/>
      </c>
    </row>
    <row r="648">
      <c r="A648" s="6" t="n"/>
      <c r="B648" s="7">
        <f>IF($A648="","",SUBSTITUTE(SUBSTITUTE(SUBSTITUTE(SUBSTITUTE($A648," ",""),"-",""),".",""),"/",""))</f>
        <v/>
      </c>
      <c r="C648" s="8">
        <f>IF($F648=1,$H648,"")</f>
        <v/>
      </c>
      <c r="D648" s="7">
        <f>IF($A648="","",IF($F648=0,"Biçim hatalı",IF(FIND(MID($B648,11,1),"0123456789")-1=$H648,"Geçerli","Kontrol hanesi hatalı (doğrusu: "&amp;$H648&amp;")")))</f>
        <v/>
      </c>
      <c r="F648">
        <f>IF($A648="","",IF(AND(LEN($B648)=11,SUMPRODUCT(--ISNUMBER(FIND(MID($B648,{1,2,3,4,5,6,7,8,9,10,11},1),"0123456789")))=11),1,0))</f>
        <v/>
      </c>
      <c r="G648">
        <f>IF($F648=1,VALUE(MID($B648,4,7)),"")</f>
        <v/>
      </c>
      <c r="H648">
        <f>IF($F648=1,MOD($G648,7),"")</f>
        <v/>
      </c>
    </row>
    <row r="649">
      <c r="A649" s="6" t="n"/>
      <c r="B649" s="7">
        <f>IF($A649="","",SUBSTITUTE(SUBSTITUTE(SUBSTITUTE(SUBSTITUTE($A649," ",""),"-",""),".",""),"/",""))</f>
        <v/>
      </c>
      <c r="C649" s="8">
        <f>IF($F649=1,$H649,"")</f>
        <v/>
      </c>
      <c r="D649" s="7">
        <f>IF($A649="","",IF($F649=0,"Biçim hatalı",IF(FIND(MID($B649,11,1),"0123456789")-1=$H649,"Geçerli","Kontrol hanesi hatalı (doğrusu: "&amp;$H649&amp;")")))</f>
        <v/>
      </c>
      <c r="F649">
        <f>IF($A649="","",IF(AND(LEN($B649)=11,SUMPRODUCT(--ISNUMBER(FIND(MID($B649,{1,2,3,4,5,6,7,8,9,10,11},1),"0123456789")))=11),1,0))</f>
        <v/>
      </c>
      <c r="G649">
        <f>IF($F649=1,VALUE(MID($B649,4,7)),"")</f>
        <v/>
      </c>
      <c r="H649">
        <f>IF($F649=1,MOD($G649,7),"")</f>
        <v/>
      </c>
    </row>
    <row r="650">
      <c r="A650" s="6" t="n"/>
      <c r="B650" s="7">
        <f>IF($A650="","",SUBSTITUTE(SUBSTITUTE(SUBSTITUTE(SUBSTITUTE($A650," ",""),"-",""),".",""),"/",""))</f>
        <v/>
      </c>
      <c r="C650" s="8">
        <f>IF($F650=1,$H650,"")</f>
        <v/>
      </c>
      <c r="D650" s="7">
        <f>IF($A650="","",IF($F650=0,"Biçim hatalı",IF(FIND(MID($B650,11,1),"0123456789")-1=$H650,"Geçerli","Kontrol hanesi hatalı (doğrusu: "&amp;$H650&amp;")")))</f>
        <v/>
      </c>
      <c r="F650">
        <f>IF($A650="","",IF(AND(LEN($B650)=11,SUMPRODUCT(--ISNUMBER(FIND(MID($B650,{1,2,3,4,5,6,7,8,9,10,11},1),"0123456789")))=11),1,0))</f>
        <v/>
      </c>
      <c r="G650">
        <f>IF($F650=1,VALUE(MID($B650,4,7)),"")</f>
        <v/>
      </c>
      <c r="H650">
        <f>IF($F650=1,MOD($G650,7),"")</f>
        <v/>
      </c>
    </row>
    <row r="651">
      <c r="A651" s="6" t="n"/>
      <c r="B651" s="7">
        <f>IF($A651="","",SUBSTITUTE(SUBSTITUTE(SUBSTITUTE(SUBSTITUTE($A651," ",""),"-",""),".",""),"/",""))</f>
        <v/>
      </c>
      <c r="C651" s="8">
        <f>IF($F651=1,$H651,"")</f>
        <v/>
      </c>
      <c r="D651" s="7">
        <f>IF($A651="","",IF($F651=0,"Biçim hatalı",IF(FIND(MID($B651,11,1),"0123456789")-1=$H651,"Geçerli","Kontrol hanesi hatalı (doğrusu: "&amp;$H651&amp;")")))</f>
        <v/>
      </c>
      <c r="F651">
        <f>IF($A651="","",IF(AND(LEN($B651)=11,SUMPRODUCT(--ISNUMBER(FIND(MID($B651,{1,2,3,4,5,6,7,8,9,10,11},1),"0123456789")))=11),1,0))</f>
        <v/>
      </c>
      <c r="G651">
        <f>IF($F651=1,VALUE(MID($B651,4,7)),"")</f>
        <v/>
      </c>
      <c r="H651">
        <f>IF($F651=1,MOD($G651,7),"")</f>
        <v/>
      </c>
    </row>
    <row r="652">
      <c r="A652" s="6" t="n"/>
      <c r="B652" s="7">
        <f>IF($A652="","",SUBSTITUTE(SUBSTITUTE(SUBSTITUTE(SUBSTITUTE($A652," ",""),"-",""),".",""),"/",""))</f>
        <v/>
      </c>
      <c r="C652" s="8">
        <f>IF($F652=1,$H652,"")</f>
        <v/>
      </c>
      <c r="D652" s="7">
        <f>IF($A652="","",IF($F652=0,"Biçim hatalı",IF(FIND(MID($B652,11,1),"0123456789")-1=$H652,"Geçerli","Kontrol hanesi hatalı (doğrusu: "&amp;$H652&amp;")")))</f>
        <v/>
      </c>
      <c r="F652">
        <f>IF($A652="","",IF(AND(LEN($B652)=11,SUMPRODUCT(--ISNUMBER(FIND(MID($B652,{1,2,3,4,5,6,7,8,9,10,11},1),"0123456789")))=11),1,0))</f>
        <v/>
      </c>
      <c r="G652">
        <f>IF($F652=1,VALUE(MID($B652,4,7)),"")</f>
        <v/>
      </c>
      <c r="H652">
        <f>IF($F652=1,MOD($G652,7),"")</f>
        <v/>
      </c>
    </row>
    <row r="653">
      <c r="A653" s="6" t="n"/>
      <c r="B653" s="7">
        <f>IF($A653="","",SUBSTITUTE(SUBSTITUTE(SUBSTITUTE(SUBSTITUTE($A653," ",""),"-",""),".",""),"/",""))</f>
        <v/>
      </c>
      <c r="C653" s="8">
        <f>IF($F653=1,$H653,"")</f>
        <v/>
      </c>
      <c r="D653" s="7">
        <f>IF($A653="","",IF($F653=0,"Biçim hatalı",IF(FIND(MID($B653,11,1),"0123456789")-1=$H653,"Geçerli","Kontrol hanesi hatalı (doğrusu: "&amp;$H653&amp;")")))</f>
        <v/>
      </c>
      <c r="F653">
        <f>IF($A653="","",IF(AND(LEN($B653)=11,SUMPRODUCT(--ISNUMBER(FIND(MID($B653,{1,2,3,4,5,6,7,8,9,10,11},1),"0123456789")))=11),1,0))</f>
        <v/>
      </c>
      <c r="G653">
        <f>IF($F653=1,VALUE(MID($B653,4,7)),"")</f>
        <v/>
      </c>
      <c r="H653">
        <f>IF($F653=1,MOD($G653,7),"")</f>
        <v/>
      </c>
    </row>
    <row r="654">
      <c r="A654" s="6" t="n"/>
      <c r="B654" s="7">
        <f>IF($A654="","",SUBSTITUTE(SUBSTITUTE(SUBSTITUTE(SUBSTITUTE($A654," ",""),"-",""),".",""),"/",""))</f>
        <v/>
      </c>
      <c r="C654" s="8">
        <f>IF($F654=1,$H654,"")</f>
        <v/>
      </c>
      <c r="D654" s="7">
        <f>IF($A654="","",IF($F654=0,"Biçim hatalı",IF(FIND(MID($B654,11,1),"0123456789")-1=$H654,"Geçerli","Kontrol hanesi hatalı (doğrusu: "&amp;$H654&amp;")")))</f>
        <v/>
      </c>
      <c r="F654">
        <f>IF($A654="","",IF(AND(LEN($B654)=11,SUMPRODUCT(--ISNUMBER(FIND(MID($B654,{1,2,3,4,5,6,7,8,9,10,11},1),"0123456789")))=11),1,0))</f>
        <v/>
      </c>
      <c r="G654">
        <f>IF($F654=1,VALUE(MID($B654,4,7)),"")</f>
        <v/>
      </c>
      <c r="H654">
        <f>IF($F654=1,MOD($G654,7),"")</f>
        <v/>
      </c>
    </row>
    <row r="655">
      <c r="A655" s="6" t="n"/>
      <c r="B655" s="7">
        <f>IF($A655="","",SUBSTITUTE(SUBSTITUTE(SUBSTITUTE(SUBSTITUTE($A655," ",""),"-",""),".",""),"/",""))</f>
        <v/>
      </c>
      <c r="C655" s="8">
        <f>IF($F655=1,$H655,"")</f>
        <v/>
      </c>
      <c r="D655" s="7">
        <f>IF($A655="","",IF($F655=0,"Biçim hatalı",IF(FIND(MID($B655,11,1),"0123456789")-1=$H655,"Geçerli","Kontrol hanesi hatalı (doğrusu: "&amp;$H655&amp;")")))</f>
        <v/>
      </c>
      <c r="F655">
        <f>IF($A655="","",IF(AND(LEN($B655)=11,SUMPRODUCT(--ISNUMBER(FIND(MID($B655,{1,2,3,4,5,6,7,8,9,10,11},1),"0123456789")))=11),1,0))</f>
        <v/>
      </c>
      <c r="G655">
        <f>IF($F655=1,VALUE(MID($B655,4,7)),"")</f>
        <v/>
      </c>
      <c r="H655">
        <f>IF($F655=1,MOD($G655,7),"")</f>
        <v/>
      </c>
    </row>
    <row r="656">
      <c r="A656" s="6" t="n"/>
      <c r="B656" s="7">
        <f>IF($A656="","",SUBSTITUTE(SUBSTITUTE(SUBSTITUTE(SUBSTITUTE($A656," ",""),"-",""),".",""),"/",""))</f>
        <v/>
      </c>
      <c r="C656" s="8">
        <f>IF($F656=1,$H656,"")</f>
        <v/>
      </c>
      <c r="D656" s="7">
        <f>IF($A656="","",IF($F656=0,"Biçim hatalı",IF(FIND(MID($B656,11,1),"0123456789")-1=$H656,"Geçerli","Kontrol hanesi hatalı (doğrusu: "&amp;$H656&amp;")")))</f>
        <v/>
      </c>
      <c r="F656">
        <f>IF($A656="","",IF(AND(LEN($B656)=11,SUMPRODUCT(--ISNUMBER(FIND(MID($B656,{1,2,3,4,5,6,7,8,9,10,11},1),"0123456789")))=11),1,0))</f>
        <v/>
      </c>
      <c r="G656">
        <f>IF($F656=1,VALUE(MID($B656,4,7)),"")</f>
        <v/>
      </c>
      <c r="H656">
        <f>IF($F656=1,MOD($G656,7),"")</f>
        <v/>
      </c>
    </row>
    <row r="657">
      <c r="A657" s="6" t="n"/>
      <c r="B657" s="7">
        <f>IF($A657="","",SUBSTITUTE(SUBSTITUTE(SUBSTITUTE(SUBSTITUTE($A657," ",""),"-",""),".",""),"/",""))</f>
        <v/>
      </c>
      <c r="C657" s="8">
        <f>IF($F657=1,$H657,"")</f>
        <v/>
      </c>
      <c r="D657" s="7">
        <f>IF($A657="","",IF($F657=0,"Biçim hatalı",IF(FIND(MID($B657,11,1),"0123456789")-1=$H657,"Geçerli","Kontrol hanesi hatalı (doğrusu: "&amp;$H657&amp;")")))</f>
        <v/>
      </c>
      <c r="F657">
        <f>IF($A657="","",IF(AND(LEN($B657)=11,SUMPRODUCT(--ISNUMBER(FIND(MID($B657,{1,2,3,4,5,6,7,8,9,10,11},1),"0123456789")))=11),1,0))</f>
        <v/>
      </c>
      <c r="G657">
        <f>IF($F657=1,VALUE(MID($B657,4,7)),"")</f>
        <v/>
      </c>
      <c r="H657">
        <f>IF($F657=1,MOD($G657,7),"")</f>
        <v/>
      </c>
    </row>
    <row r="658">
      <c r="A658" s="6" t="n"/>
      <c r="B658" s="7">
        <f>IF($A658="","",SUBSTITUTE(SUBSTITUTE(SUBSTITUTE(SUBSTITUTE($A658," ",""),"-",""),".",""),"/",""))</f>
        <v/>
      </c>
      <c r="C658" s="8">
        <f>IF($F658=1,$H658,"")</f>
        <v/>
      </c>
      <c r="D658" s="7">
        <f>IF($A658="","",IF($F658=0,"Biçim hatalı",IF(FIND(MID($B658,11,1),"0123456789")-1=$H658,"Geçerli","Kontrol hanesi hatalı (doğrusu: "&amp;$H658&amp;")")))</f>
        <v/>
      </c>
      <c r="F658">
        <f>IF($A658="","",IF(AND(LEN($B658)=11,SUMPRODUCT(--ISNUMBER(FIND(MID($B658,{1,2,3,4,5,6,7,8,9,10,11},1),"0123456789")))=11),1,0))</f>
        <v/>
      </c>
      <c r="G658">
        <f>IF($F658=1,VALUE(MID($B658,4,7)),"")</f>
        <v/>
      </c>
      <c r="H658">
        <f>IF($F658=1,MOD($G658,7),"")</f>
        <v/>
      </c>
    </row>
    <row r="659">
      <c r="A659" s="6" t="n"/>
      <c r="B659" s="7">
        <f>IF($A659="","",SUBSTITUTE(SUBSTITUTE(SUBSTITUTE(SUBSTITUTE($A659," ",""),"-",""),".",""),"/",""))</f>
        <v/>
      </c>
      <c r="C659" s="8">
        <f>IF($F659=1,$H659,"")</f>
        <v/>
      </c>
      <c r="D659" s="7">
        <f>IF($A659="","",IF($F659=0,"Biçim hatalı",IF(FIND(MID($B659,11,1),"0123456789")-1=$H659,"Geçerli","Kontrol hanesi hatalı (doğrusu: "&amp;$H659&amp;")")))</f>
        <v/>
      </c>
      <c r="F659">
        <f>IF($A659="","",IF(AND(LEN($B659)=11,SUMPRODUCT(--ISNUMBER(FIND(MID($B659,{1,2,3,4,5,6,7,8,9,10,11},1),"0123456789")))=11),1,0))</f>
        <v/>
      </c>
      <c r="G659">
        <f>IF($F659=1,VALUE(MID($B659,4,7)),"")</f>
        <v/>
      </c>
      <c r="H659">
        <f>IF($F659=1,MOD($G659,7),"")</f>
        <v/>
      </c>
    </row>
    <row r="660">
      <c r="A660" s="6" t="n"/>
      <c r="B660" s="7">
        <f>IF($A660="","",SUBSTITUTE(SUBSTITUTE(SUBSTITUTE(SUBSTITUTE($A660," ",""),"-",""),".",""),"/",""))</f>
        <v/>
      </c>
      <c r="C660" s="8">
        <f>IF($F660=1,$H660,"")</f>
        <v/>
      </c>
      <c r="D660" s="7">
        <f>IF($A660="","",IF($F660=0,"Biçim hatalı",IF(FIND(MID($B660,11,1),"0123456789")-1=$H660,"Geçerli","Kontrol hanesi hatalı (doğrusu: "&amp;$H660&amp;")")))</f>
        <v/>
      </c>
      <c r="F660">
        <f>IF($A660="","",IF(AND(LEN($B660)=11,SUMPRODUCT(--ISNUMBER(FIND(MID($B660,{1,2,3,4,5,6,7,8,9,10,11},1),"0123456789")))=11),1,0))</f>
        <v/>
      </c>
      <c r="G660">
        <f>IF($F660=1,VALUE(MID($B660,4,7)),"")</f>
        <v/>
      </c>
      <c r="H660">
        <f>IF($F660=1,MOD($G660,7),"")</f>
        <v/>
      </c>
    </row>
    <row r="661">
      <c r="A661" s="6" t="n"/>
      <c r="B661" s="7">
        <f>IF($A661="","",SUBSTITUTE(SUBSTITUTE(SUBSTITUTE(SUBSTITUTE($A661," ",""),"-",""),".",""),"/",""))</f>
        <v/>
      </c>
      <c r="C661" s="8">
        <f>IF($F661=1,$H661,"")</f>
        <v/>
      </c>
      <c r="D661" s="7">
        <f>IF($A661="","",IF($F661=0,"Biçim hatalı",IF(FIND(MID($B661,11,1),"0123456789")-1=$H661,"Geçerli","Kontrol hanesi hatalı (doğrusu: "&amp;$H661&amp;")")))</f>
        <v/>
      </c>
      <c r="F661">
        <f>IF($A661="","",IF(AND(LEN($B661)=11,SUMPRODUCT(--ISNUMBER(FIND(MID($B661,{1,2,3,4,5,6,7,8,9,10,11},1),"0123456789")))=11),1,0))</f>
        <v/>
      </c>
      <c r="G661">
        <f>IF($F661=1,VALUE(MID($B661,4,7)),"")</f>
        <v/>
      </c>
      <c r="H661">
        <f>IF($F661=1,MOD($G661,7),"")</f>
        <v/>
      </c>
    </row>
    <row r="662">
      <c r="A662" s="6" t="n"/>
      <c r="B662" s="7">
        <f>IF($A662="","",SUBSTITUTE(SUBSTITUTE(SUBSTITUTE(SUBSTITUTE($A662," ",""),"-",""),".",""),"/",""))</f>
        <v/>
      </c>
      <c r="C662" s="8">
        <f>IF($F662=1,$H662,"")</f>
        <v/>
      </c>
      <c r="D662" s="7">
        <f>IF($A662="","",IF($F662=0,"Biçim hatalı",IF(FIND(MID($B662,11,1),"0123456789")-1=$H662,"Geçerli","Kontrol hanesi hatalı (doğrusu: "&amp;$H662&amp;")")))</f>
        <v/>
      </c>
      <c r="F662">
        <f>IF($A662="","",IF(AND(LEN($B662)=11,SUMPRODUCT(--ISNUMBER(FIND(MID($B662,{1,2,3,4,5,6,7,8,9,10,11},1),"0123456789")))=11),1,0))</f>
        <v/>
      </c>
      <c r="G662">
        <f>IF($F662=1,VALUE(MID($B662,4,7)),"")</f>
        <v/>
      </c>
      <c r="H662">
        <f>IF($F662=1,MOD($G662,7),"")</f>
        <v/>
      </c>
    </row>
    <row r="663">
      <c r="A663" s="6" t="n"/>
      <c r="B663" s="7">
        <f>IF($A663="","",SUBSTITUTE(SUBSTITUTE(SUBSTITUTE(SUBSTITUTE($A663," ",""),"-",""),".",""),"/",""))</f>
        <v/>
      </c>
      <c r="C663" s="8">
        <f>IF($F663=1,$H663,"")</f>
        <v/>
      </c>
      <c r="D663" s="7">
        <f>IF($A663="","",IF($F663=0,"Biçim hatalı",IF(FIND(MID($B663,11,1),"0123456789")-1=$H663,"Geçerli","Kontrol hanesi hatalı (doğrusu: "&amp;$H663&amp;")")))</f>
        <v/>
      </c>
      <c r="F663">
        <f>IF($A663="","",IF(AND(LEN($B663)=11,SUMPRODUCT(--ISNUMBER(FIND(MID($B663,{1,2,3,4,5,6,7,8,9,10,11},1),"0123456789")))=11),1,0))</f>
        <v/>
      </c>
      <c r="G663">
        <f>IF($F663=1,VALUE(MID($B663,4,7)),"")</f>
        <v/>
      </c>
      <c r="H663">
        <f>IF($F663=1,MOD($G663,7),"")</f>
        <v/>
      </c>
    </row>
    <row r="664">
      <c r="A664" s="6" t="n"/>
      <c r="B664" s="7">
        <f>IF($A664="","",SUBSTITUTE(SUBSTITUTE(SUBSTITUTE(SUBSTITUTE($A664," ",""),"-",""),".",""),"/",""))</f>
        <v/>
      </c>
      <c r="C664" s="8">
        <f>IF($F664=1,$H664,"")</f>
        <v/>
      </c>
      <c r="D664" s="7">
        <f>IF($A664="","",IF($F664=0,"Biçim hatalı",IF(FIND(MID($B664,11,1),"0123456789")-1=$H664,"Geçerli","Kontrol hanesi hatalı (doğrusu: "&amp;$H664&amp;")")))</f>
        <v/>
      </c>
      <c r="F664">
        <f>IF($A664="","",IF(AND(LEN($B664)=11,SUMPRODUCT(--ISNUMBER(FIND(MID($B664,{1,2,3,4,5,6,7,8,9,10,11},1),"0123456789")))=11),1,0))</f>
        <v/>
      </c>
      <c r="G664">
        <f>IF($F664=1,VALUE(MID($B664,4,7)),"")</f>
        <v/>
      </c>
      <c r="H664">
        <f>IF($F664=1,MOD($G664,7),"")</f>
        <v/>
      </c>
    </row>
    <row r="665">
      <c r="A665" s="6" t="n"/>
      <c r="B665" s="7">
        <f>IF($A665="","",SUBSTITUTE(SUBSTITUTE(SUBSTITUTE(SUBSTITUTE($A665," ",""),"-",""),".",""),"/",""))</f>
        <v/>
      </c>
      <c r="C665" s="8">
        <f>IF($F665=1,$H665,"")</f>
        <v/>
      </c>
      <c r="D665" s="7">
        <f>IF($A665="","",IF($F665=0,"Biçim hatalı",IF(FIND(MID($B665,11,1),"0123456789")-1=$H665,"Geçerli","Kontrol hanesi hatalı (doğrusu: "&amp;$H665&amp;")")))</f>
        <v/>
      </c>
      <c r="F665">
        <f>IF($A665="","",IF(AND(LEN($B665)=11,SUMPRODUCT(--ISNUMBER(FIND(MID($B665,{1,2,3,4,5,6,7,8,9,10,11},1),"0123456789")))=11),1,0))</f>
        <v/>
      </c>
      <c r="G665">
        <f>IF($F665=1,VALUE(MID($B665,4,7)),"")</f>
        <v/>
      </c>
      <c r="H665">
        <f>IF($F665=1,MOD($G665,7),"")</f>
        <v/>
      </c>
    </row>
    <row r="666">
      <c r="A666" s="6" t="n"/>
      <c r="B666" s="7">
        <f>IF($A666="","",SUBSTITUTE(SUBSTITUTE(SUBSTITUTE(SUBSTITUTE($A666," ",""),"-",""),".",""),"/",""))</f>
        <v/>
      </c>
      <c r="C666" s="8">
        <f>IF($F666=1,$H666,"")</f>
        <v/>
      </c>
      <c r="D666" s="7">
        <f>IF($A666="","",IF($F666=0,"Biçim hatalı",IF(FIND(MID($B666,11,1),"0123456789")-1=$H666,"Geçerli","Kontrol hanesi hatalı (doğrusu: "&amp;$H666&amp;")")))</f>
        <v/>
      </c>
      <c r="F666">
        <f>IF($A666="","",IF(AND(LEN($B666)=11,SUMPRODUCT(--ISNUMBER(FIND(MID($B666,{1,2,3,4,5,6,7,8,9,10,11},1),"0123456789")))=11),1,0))</f>
        <v/>
      </c>
      <c r="G666">
        <f>IF($F666=1,VALUE(MID($B666,4,7)),"")</f>
        <v/>
      </c>
      <c r="H666">
        <f>IF($F666=1,MOD($G666,7),"")</f>
        <v/>
      </c>
    </row>
    <row r="667">
      <c r="A667" s="6" t="n"/>
      <c r="B667" s="7">
        <f>IF($A667="","",SUBSTITUTE(SUBSTITUTE(SUBSTITUTE(SUBSTITUTE($A667," ",""),"-",""),".",""),"/",""))</f>
        <v/>
      </c>
      <c r="C667" s="8">
        <f>IF($F667=1,$H667,"")</f>
        <v/>
      </c>
      <c r="D667" s="7">
        <f>IF($A667="","",IF($F667=0,"Biçim hatalı",IF(FIND(MID($B667,11,1),"0123456789")-1=$H667,"Geçerli","Kontrol hanesi hatalı (doğrusu: "&amp;$H667&amp;")")))</f>
        <v/>
      </c>
      <c r="F667">
        <f>IF($A667="","",IF(AND(LEN($B667)=11,SUMPRODUCT(--ISNUMBER(FIND(MID($B667,{1,2,3,4,5,6,7,8,9,10,11},1),"0123456789")))=11),1,0))</f>
        <v/>
      </c>
      <c r="G667">
        <f>IF($F667=1,VALUE(MID($B667,4,7)),"")</f>
        <v/>
      </c>
      <c r="H667">
        <f>IF($F667=1,MOD($G667,7),"")</f>
        <v/>
      </c>
    </row>
    <row r="668">
      <c r="A668" s="6" t="n"/>
      <c r="B668" s="7">
        <f>IF($A668="","",SUBSTITUTE(SUBSTITUTE(SUBSTITUTE(SUBSTITUTE($A668," ",""),"-",""),".",""),"/",""))</f>
        <v/>
      </c>
      <c r="C668" s="8">
        <f>IF($F668=1,$H668,"")</f>
        <v/>
      </c>
      <c r="D668" s="7">
        <f>IF($A668="","",IF($F668=0,"Biçim hatalı",IF(FIND(MID($B668,11,1),"0123456789")-1=$H668,"Geçerli","Kontrol hanesi hatalı (doğrusu: "&amp;$H668&amp;")")))</f>
        <v/>
      </c>
      <c r="F668">
        <f>IF($A668="","",IF(AND(LEN($B668)=11,SUMPRODUCT(--ISNUMBER(FIND(MID($B668,{1,2,3,4,5,6,7,8,9,10,11},1),"0123456789")))=11),1,0))</f>
        <v/>
      </c>
      <c r="G668">
        <f>IF($F668=1,VALUE(MID($B668,4,7)),"")</f>
        <v/>
      </c>
      <c r="H668">
        <f>IF($F668=1,MOD($G668,7),"")</f>
        <v/>
      </c>
    </row>
    <row r="669">
      <c r="A669" s="6" t="n"/>
      <c r="B669" s="7">
        <f>IF($A669="","",SUBSTITUTE(SUBSTITUTE(SUBSTITUTE(SUBSTITUTE($A669," ",""),"-",""),".",""),"/",""))</f>
        <v/>
      </c>
      <c r="C669" s="8">
        <f>IF($F669=1,$H669,"")</f>
        <v/>
      </c>
      <c r="D669" s="7">
        <f>IF($A669="","",IF($F669=0,"Biçim hatalı",IF(FIND(MID($B669,11,1),"0123456789")-1=$H669,"Geçerli","Kontrol hanesi hatalı (doğrusu: "&amp;$H669&amp;")")))</f>
        <v/>
      </c>
      <c r="F669">
        <f>IF($A669="","",IF(AND(LEN($B669)=11,SUMPRODUCT(--ISNUMBER(FIND(MID($B669,{1,2,3,4,5,6,7,8,9,10,11},1),"0123456789")))=11),1,0))</f>
        <v/>
      </c>
      <c r="G669">
        <f>IF($F669=1,VALUE(MID($B669,4,7)),"")</f>
        <v/>
      </c>
      <c r="H669">
        <f>IF($F669=1,MOD($G669,7),"")</f>
        <v/>
      </c>
    </row>
    <row r="670">
      <c r="A670" s="6" t="n"/>
      <c r="B670" s="7">
        <f>IF($A670="","",SUBSTITUTE(SUBSTITUTE(SUBSTITUTE(SUBSTITUTE($A670," ",""),"-",""),".",""),"/",""))</f>
        <v/>
      </c>
      <c r="C670" s="8">
        <f>IF($F670=1,$H670,"")</f>
        <v/>
      </c>
      <c r="D670" s="7">
        <f>IF($A670="","",IF($F670=0,"Biçim hatalı",IF(FIND(MID($B670,11,1),"0123456789")-1=$H670,"Geçerli","Kontrol hanesi hatalı (doğrusu: "&amp;$H670&amp;")")))</f>
        <v/>
      </c>
      <c r="F670">
        <f>IF($A670="","",IF(AND(LEN($B670)=11,SUMPRODUCT(--ISNUMBER(FIND(MID($B670,{1,2,3,4,5,6,7,8,9,10,11},1),"0123456789")))=11),1,0))</f>
        <v/>
      </c>
      <c r="G670">
        <f>IF($F670=1,VALUE(MID($B670,4,7)),"")</f>
        <v/>
      </c>
      <c r="H670">
        <f>IF($F670=1,MOD($G670,7),"")</f>
        <v/>
      </c>
    </row>
    <row r="671">
      <c r="A671" s="6" t="n"/>
      <c r="B671" s="7">
        <f>IF($A671="","",SUBSTITUTE(SUBSTITUTE(SUBSTITUTE(SUBSTITUTE($A671," ",""),"-",""),".",""),"/",""))</f>
        <v/>
      </c>
      <c r="C671" s="8">
        <f>IF($F671=1,$H671,"")</f>
        <v/>
      </c>
      <c r="D671" s="7">
        <f>IF($A671="","",IF($F671=0,"Biçim hatalı",IF(FIND(MID($B671,11,1),"0123456789")-1=$H671,"Geçerli","Kontrol hanesi hatalı (doğrusu: "&amp;$H671&amp;")")))</f>
        <v/>
      </c>
      <c r="F671">
        <f>IF($A671="","",IF(AND(LEN($B671)=11,SUMPRODUCT(--ISNUMBER(FIND(MID($B671,{1,2,3,4,5,6,7,8,9,10,11},1),"0123456789")))=11),1,0))</f>
        <v/>
      </c>
      <c r="G671">
        <f>IF($F671=1,VALUE(MID($B671,4,7)),"")</f>
        <v/>
      </c>
      <c r="H671">
        <f>IF($F671=1,MOD($G671,7),"")</f>
        <v/>
      </c>
    </row>
    <row r="672">
      <c r="A672" s="6" t="n"/>
      <c r="B672" s="7">
        <f>IF($A672="","",SUBSTITUTE(SUBSTITUTE(SUBSTITUTE(SUBSTITUTE($A672," ",""),"-",""),".",""),"/",""))</f>
        <v/>
      </c>
      <c r="C672" s="8">
        <f>IF($F672=1,$H672,"")</f>
        <v/>
      </c>
      <c r="D672" s="7">
        <f>IF($A672="","",IF($F672=0,"Biçim hatalı",IF(FIND(MID($B672,11,1),"0123456789")-1=$H672,"Geçerli","Kontrol hanesi hatalı (doğrusu: "&amp;$H672&amp;")")))</f>
        <v/>
      </c>
      <c r="F672">
        <f>IF($A672="","",IF(AND(LEN($B672)=11,SUMPRODUCT(--ISNUMBER(FIND(MID($B672,{1,2,3,4,5,6,7,8,9,10,11},1),"0123456789")))=11),1,0))</f>
        <v/>
      </c>
      <c r="G672">
        <f>IF($F672=1,VALUE(MID($B672,4,7)),"")</f>
        <v/>
      </c>
      <c r="H672">
        <f>IF($F672=1,MOD($G672,7),"")</f>
        <v/>
      </c>
    </row>
    <row r="673">
      <c r="A673" s="6" t="n"/>
      <c r="B673" s="7">
        <f>IF($A673="","",SUBSTITUTE(SUBSTITUTE(SUBSTITUTE(SUBSTITUTE($A673," ",""),"-",""),".",""),"/",""))</f>
        <v/>
      </c>
      <c r="C673" s="8">
        <f>IF($F673=1,$H673,"")</f>
        <v/>
      </c>
      <c r="D673" s="7">
        <f>IF($A673="","",IF($F673=0,"Biçim hatalı",IF(FIND(MID($B673,11,1),"0123456789")-1=$H673,"Geçerli","Kontrol hanesi hatalı (doğrusu: "&amp;$H673&amp;")")))</f>
        <v/>
      </c>
      <c r="F673">
        <f>IF($A673="","",IF(AND(LEN($B673)=11,SUMPRODUCT(--ISNUMBER(FIND(MID($B673,{1,2,3,4,5,6,7,8,9,10,11},1),"0123456789")))=11),1,0))</f>
        <v/>
      </c>
      <c r="G673">
        <f>IF($F673=1,VALUE(MID($B673,4,7)),"")</f>
        <v/>
      </c>
      <c r="H673">
        <f>IF($F673=1,MOD($G673,7),"")</f>
        <v/>
      </c>
    </row>
    <row r="674">
      <c r="A674" s="6" t="n"/>
      <c r="B674" s="7">
        <f>IF($A674="","",SUBSTITUTE(SUBSTITUTE(SUBSTITUTE(SUBSTITUTE($A674," ",""),"-",""),".",""),"/",""))</f>
        <v/>
      </c>
      <c r="C674" s="8">
        <f>IF($F674=1,$H674,"")</f>
        <v/>
      </c>
      <c r="D674" s="7">
        <f>IF($A674="","",IF($F674=0,"Biçim hatalı",IF(FIND(MID($B674,11,1),"0123456789")-1=$H674,"Geçerli","Kontrol hanesi hatalı (doğrusu: "&amp;$H674&amp;")")))</f>
        <v/>
      </c>
      <c r="F674">
        <f>IF($A674="","",IF(AND(LEN($B674)=11,SUMPRODUCT(--ISNUMBER(FIND(MID($B674,{1,2,3,4,5,6,7,8,9,10,11},1),"0123456789")))=11),1,0))</f>
        <v/>
      </c>
      <c r="G674">
        <f>IF($F674=1,VALUE(MID($B674,4,7)),"")</f>
        <v/>
      </c>
      <c r="H674">
        <f>IF($F674=1,MOD($G674,7),"")</f>
        <v/>
      </c>
    </row>
    <row r="675">
      <c r="A675" s="6" t="n"/>
      <c r="B675" s="7">
        <f>IF($A675="","",SUBSTITUTE(SUBSTITUTE(SUBSTITUTE(SUBSTITUTE($A675," ",""),"-",""),".",""),"/",""))</f>
        <v/>
      </c>
      <c r="C675" s="8">
        <f>IF($F675=1,$H675,"")</f>
        <v/>
      </c>
      <c r="D675" s="7">
        <f>IF($A675="","",IF($F675=0,"Biçim hatalı",IF(FIND(MID($B675,11,1),"0123456789")-1=$H675,"Geçerli","Kontrol hanesi hatalı (doğrusu: "&amp;$H675&amp;")")))</f>
        <v/>
      </c>
      <c r="F675">
        <f>IF($A675="","",IF(AND(LEN($B675)=11,SUMPRODUCT(--ISNUMBER(FIND(MID($B675,{1,2,3,4,5,6,7,8,9,10,11},1),"0123456789")))=11),1,0))</f>
        <v/>
      </c>
      <c r="G675">
        <f>IF($F675=1,VALUE(MID($B675,4,7)),"")</f>
        <v/>
      </c>
      <c r="H675">
        <f>IF($F675=1,MOD($G675,7),"")</f>
        <v/>
      </c>
    </row>
    <row r="676">
      <c r="A676" s="6" t="n"/>
      <c r="B676" s="7">
        <f>IF($A676="","",SUBSTITUTE(SUBSTITUTE(SUBSTITUTE(SUBSTITUTE($A676," ",""),"-",""),".",""),"/",""))</f>
        <v/>
      </c>
      <c r="C676" s="8">
        <f>IF($F676=1,$H676,"")</f>
        <v/>
      </c>
      <c r="D676" s="7">
        <f>IF($A676="","",IF($F676=0,"Biçim hatalı",IF(FIND(MID($B676,11,1),"0123456789")-1=$H676,"Geçerli","Kontrol hanesi hatalı (doğrusu: "&amp;$H676&amp;")")))</f>
        <v/>
      </c>
      <c r="F676">
        <f>IF($A676="","",IF(AND(LEN($B676)=11,SUMPRODUCT(--ISNUMBER(FIND(MID($B676,{1,2,3,4,5,6,7,8,9,10,11},1),"0123456789")))=11),1,0))</f>
        <v/>
      </c>
      <c r="G676">
        <f>IF($F676=1,VALUE(MID($B676,4,7)),"")</f>
        <v/>
      </c>
      <c r="H676">
        <f>IF($F676=1,MOD($G676,7),"")</f>
        <v/>
      </c>
    </row>
    <row r="677">
      <c r="A677" s="6" t="n"/>
      <c r="B677" s="7">
        <f>IF($A677="","",SUBSTITUTE(SUBSTITUTE(SUBSTITUTE(SUBSTITUTE($A677," ",""),"-",""),".",""),"/",""))</f>
        <v/>
      </c>
      <c r="C677" s="8">
        <f>IF($F677=1,$H677,"")</f>
        <v/>
      </c>
      <c r="D677" s="7">
        <f>IF($A677="","",IF($F677=0,"Biçim hatalı",IF(FIND(MID($B677,11,1),"0123456789")-1=$H677,"Geçerli","Kontrol hanesi hatalı (doğrusu: "&amp;$H677&amp;")")))</f>
        <v/>
      </c>
      <c r="F677">
        <f>IF($A677="","",IF(AND(LEN($B677)=11,SUMPRODUCT(--ISNUMBER(FIND(MID($B677,{1,2,3,4,5,6,7,8,9,10,11},1),"0123456789")))=11),1,0))</f>
        <v/>
      </c>
      <c r="G677">
        <f>IF($F677=1,VALUE(MID($B677,4,7)),"")</f>
        <v/>
      </c>
      <c r="H677">
        <f>IF($F677=1,MOD($G677,7),"")</f>
        <v/>
      </c>
    </row>
    <row r="678">
      <c r="A678" s="6" t="n"/>
      <c r="B678" s="7">
        <f>IF($A678="","",SUBSTITUTE(SUBSTITUTE(SUBSTITUTE(SUBSTITUTE($A678," ",""),"-",""),".",""),"/",""))</f>
        <v/>
      </c>
      <c r="C678" s="8">
        <f>IF($F678=1,$H678,"")</f>
        <v/>
      </c>
      <c r="D678" s="7">
        <f>IF($A678="","",IF($F678=0,"Biçim hatalı",IF(FIND(MID($B678,11,1),"0123456789")-1=$H678,"Geçerli","Kontrol hanesi hatalı (doğrusu: "&amp;$H678&amp;")")))</f>
        <v/>
      </c>
      <c r="F678">
        <f>IF($A678="","",IF(AND(LEN($B678)=11,SUMPRODUCT(--ISNUMBER(FIND(MID($B678,{1,2,3,4,5,6,7,8,9,10,11},1),"0123456789")))=11),1,0))</f>
        <v/>
      </c>
      <c r="G678">
        <f>IF($F678=1,VALUE(MID($B678,4,7)),"")</f>
        <v/>
      </c>
      <c r="H678">
        <f>IF($F678=1,MOD($G678,7),"")</f>
        <v/>
      </c>
    </row>
    <row r="679">
      <c r="A679" s="6" t="n"/>
      <c r="B679" s="7">
        <f>IF($A679="","",SUBSTITUTE(SUBSTITUTE(SUBSTITUTE(SUBSTITUTE($A679," ",""),"-",""),".",""),"/",""))</f>
        <v/>
      </c>
      <c r="C679" s="8">
        <f>IF($F679=1,$H679,"")</f>
        <v/>
      </c>
      <c r="D679" s="7">
        <f>IF($A679="","",IF($F679=0,"Biçim hatalı",IF(FIND(MID($B679,11,1),"0123456789")-1=$H679,"Geçerli","Kontrol hanesi hatalı (doğrusu: "&amp;$H679&amp;")")))</f>
        <v/>
      </c>
      <c r="F679">
        <f>IF($A679="","",IF(AND(LEN($B679)=11,SUMPRODUCT(--ISNUMBER(FIND(MID($B679,{1,2,3,4,5,6,7,8,9,10,11},1),"0123456789")))=11),1,0))</f>
        <v/>
      </c>
      <c r="G679">
        <f>IF($F679=1,VALUE(MID($B679,4,7)),"")</f>
        <v/>
      </c>
      <c r="H679">
        <f>IF($F679=1,MOD($G679,7),"")</f>
        <v/>
      </c>
    </row>
    <row r="680">
      <c r="A680" s="6" t="n"/>
      <c r="B680" s="7">
        <f>IF($A680="","",SUBSTITUTE(SUBSTITUTE(SUBSTITUTE(SUBSTITUTE($A680," ",""),"-",""),".",""),"/",""))</f>
        <v/>
      </c>
      <c r="C680" s="8">
        <f>IF($F680=1,$H680,"")</f>
        <v/>
      </c>
      <c r="D680" s="7">
        <f>IF($A680="","",IF($F680=0,"Biçim hatalı",IF(FIND(MID($B680,11,1),"0123456789")-1=$H680,"Geçerli","Kontrol hanesi hatalı (doğrusu: "&amp;$H680&amp;")")))</f>
        <v/>
      </c>
      <c r="F680">
        <f>IF($A680="","",IF(AND(LEN($B680)=11,SUMPRODUCT(--ISNUMBER(FIND(MID($B680,{1,2,3,4,5,6,7,8,9,10,11},1),"0123456789")))=11),1,0))</f>
        <v/>
      </c>
      <c r="G680">
        <f>IF($F680=1,VALUE(MID($B680,4,7)),"")</f>
        <v/>
      </c>
      <c r="H680">
        <f>IF($F680=1,MOD($G680,7),"")</f>
        <v/>
      </c>
    </row>
    <row r="681">
      <c r="A681" s="6" t="n"/>
      <c r="B681" s="7">
        <f>IF($A681="","",SUBSTITUTE(SUBSTITUTE(SUBSTITUTE(SUBSTITUTE($A681," ",""),"-",""),".",""),"/",""))</f>
        <v/>
      </c>
      <c r="C681" s="8">
        <f>IF($F681=1,$H681,"")</f>
        <v/>
      </c>
      <c r="D681" s="7">
        <f>IF($A681="","",IF($F681=0,"Biçim hatalı",IF(FIND(MID($B681,11,1),"0123456789")-1=$H681,"Geçerli","Kontrol hanesi hatalı (doğrusu: "&amp;$H681&amp;")")))</f>
        <v/>
      </c>
      <c r="F681">
        <f>IF($A681="","",IF(AND(LEN($B681)=11,SUMPRODUCT(--ISNUMBER(FIND(MID($B681,{1,2,3,4,5,6,7,8,9,10,11},1),"0123456789")))=11),1,0))</f>
        <v/>
      </c>
      <c r="G681">
        <f>IF($F681=1,VALUE(MID($B681,4,7)),"")</f>
        <v/>
      </c>
      <c r="H681">
        <f>IF($F681=1,MOD($G681,7),"")</f>
        <v/>
      </c>
    </row>
    <row r="682">
      <c r="A682" s="6" t="n"/>
      <c r="B682" s="7">
        <f>IF($A682="","",SUBSTITUTE(SUBSTITUTE(SUBSTITUTE(SUBSTITUTE($A682," ",""),"-",""),".",""),"/",""))</f>
        <v/>
      </c>
      <c r="C682" s="8">
        <f>IF($F682=1,$H682,"")</f>
        <v/>
      </c>
      <c r="D682" s="7">
        <f>IF($A682="","",IF($F682=0,"Biçim hatalı",IF(FIND(MID($B682,11,1),"0123456789")-1=$H682,"Geçerli","Kontrol hanesi hatalı (doğrusu: "&amp;$H682&amp;")")))</f>
        <v/>
      </c>
      <c r="F682">
        <f>IF($A682="","",IF(AND(LEN($B682)=11,SUMPRODUCT(--ISNUMBER(FIND(MID($B682,{1,2,3,4,5,6,7,8,9,10,11},1),"0123456789")))=11),1,0))</f>
        <v/>
      </c>
      <c r="G682">
        <f>IF($F682=1,VALUE(MID($B682,4,7)),"")</f>
        <v/>
      </c>
      <c r="H682">
        <f>IF($F682=1,MOD($G682,7),"")</f>
        <v/>
      </c>
    </row>
    <row r="683">
      <c r="A683" s="6" t="n"/>
      <c r="B683" s="7">
        <f>IF($A683="","",SUBSTITUTE(SUBSTITUTE(SUBSTITUTE(SUBSTITUTE($A683," ",""),"-",""),".",""),"/",""))</f>
        <v/>
      </c>
      <c r="C683" s="8">
        <f>IF($F683=1,$H683,"")</f>
        <v/>
      </c>
      <c r="D683" s="7">
        <f>IF($A683="","",IF($F683=0,"Biçim hatalı",IF(FIND(MID($B683,11,1),"0123456789")-1=$H683,"Geçerli","Kontrol hanesi hatalı (doğrusu: "&amp;$H683&amp;")")))</f>
        <v/>
      </c>
      <c r="F683">
        <f>IF($A683="","",IF(AND(LEN($B683)=11,SUMPRODUCT(--ISNUMBER(FIND(MID($B683,{1,2,3,4,5,6,7,8,9,10,11},1),"0123456789")))=11),1,0))</f>
        <v/>
      </c>
      <c r="G683">
        <f>IF($F683=1,VALUE(MID($B683,4,7)),"")</f>
        <v/>
      </c>
      <c r="H683">
        <f>IF($F683=1,MOD($G683,7),"")</f>
        <v/>
      </c>
    </row>
    <row r="684">
      <c r="A684" s="6" t="n"/>
      <c r="B684" s="7">
        <f>IF($A684="","",SUBSTITUTE(SUBSTITUTE(SUBSTITUTE(SUBSTITUTE($A684," ",""),"-",""),".",""),"/",""))</f>
        <v/>
      </c>
      <c r="C684" s="8">
        <f>IF($F684=1,$H684,"")</f>
        <v/>
      </c>
      <c r="D684" s="7">
        <f>IF($A684="","",IF($F684=0,"Biçim hatalı",IF(FIND(MID($B684,11,1),"0123456789")-1=$H684,"Geçerli","Kontrol hanesi hatalı (doğrusu: "&amp;$H684&amp;")")))</f>
        <v/>
      </c>
      <c r="F684">
        <f>IF($A684="","",IF(AND(LEN($B684)=11,SUMPRODUCT(--ISNUMBER(FIND(MID($B684,{1,2,3,4,5,6,7,8,9,10,11},1),"0123456789")))=11),1,0))</f>
        <v/>
      </c>
      <c r="G684">
        <f>IF($F684=1,VALUE(MID($B684,4,7)),"")</f>
        <v/>
      </c>
      <c r="H684">
        <f>IF($F684=1,MOD($G684,7),"")</f>
        <v/>
      </c>
    </row>
    <row r="685">
      <c r="A685" s="6" t="n"/>
      <c r="B685" s="7">
        <f>IF($A685="","",SUBSTITUTE(SUBSTITUTE(SUBSTITUTE(SUBSTITUTE($A685," ",""),"-",""),".",""),"/",""))</f>
        <v/>
      </c>
      <c r="C685" s="8">
        <f>IF($F685=1,$H685,"")</f>
        <v/>
      </c>
      <c r="D685" s="7">
        <f>IF($A685="","",IF($F685=0,"Biçim hatalı",IF(FIND(MID($B685,11,1),"0123456789")-1=$H685,"Geçerli","Kontrol hanesi hatalı (doğrusu: "&amp;$H685&amp;")")))</f>
        <v/>
      </c>
      <c r="F685">
        <f>IF($A685="","",IF(AND(LEN($B685)=11,SUMPRODUCT(--ISNUMBER(FIND(MID($B685,{1,2,3,4,5,6,7,8,9,10,11},1),"0123456789")))=11),1,0))</f>
        <v/>
      </c>
      <c r="G685">
        <f>IF($F685=1,VALUE(MID($B685,4,7)),"")</f>
        <v/>
      </c>
      <c r="H685">
        <f>IF($F685=1,MOD($G685,7),"")</f>
        <v/>
      </c>
    </row>
    <row r="686">
      <c r="A686" s="6" t="n"/>
      <c r="B686" s="7">
        <f>IF($A686="","",SUBSTITUTE(SUBSTITUTE(SUBSTITUTE(SUBSTITUTE($A686," ",""),"-",""),".",""),"/",""))</f>
        <v/>
      </c>
      <c r="C686" s="8">
        <f>IF($F686=1,$H686,"")</f>
        <v/>
      </c>
      <c r="D686" s="7">
        <f>IF($A686="","",IF($F686=0,"Biçim hatalı",IF(FIND(MID($B686,11,1),"0123456789")-1=$H686,"Geçerli","Kontrol hanesi hatalı (doğrusu: "&amp;$H686&amp;")")))</f>
        <v/>
      </c>
      <c r="F686">
        <f>IF($A686="","",IF(AND(LEN($B686)=11,SUMPRODUCT(--ISNUMBER(FIND(MID($B686,{1,2,3,4,5,6,7,8,9,10,11},1),"0123456789")))=11),1,0))</f>
        <v/>
      </c>
      <c r="G686">
        <f>IF($F686=1,VALUE(MID($B686,4,7)),"")</f>
        <v/>
      </c>
      <c r="H686">
        <f>IF($F686=1,MOD($G686,7),"")</f>
        <v/>
      </c>
    </row>
    <row r="687">
      <c r="A687" s="6" t="n"/>
      <c r="B687" s="7">
        <f>IF($A687="","",SUBSTITUTE(SUBSTITUTE(SUBSTITUTE(SUBSTITUTE($A687," ",""),"-",""),".",""),"/",""))</f>
        <v/>
      </c>
      <c r="C687" s="8">
        <f>IF($F687=1,$H687,"")</f>
        <v/>
      </c>
      <c r="D687" s="7">
        <f>IF($A687="","",IF($F687=0,"Biçim hatalı",IF(FIND(MID($B687,11,1),"0123456789")-1=$H687,"Geçerli","Kontrol hanesi hatalı (doğrusu: "&amp;$H687&amp;")")))</f>
        <v/>
      </c>
      <c r="F687">
        <f>IF($A687="","",IF(AND(LEN($B687)=11,SUMPRODUCT(--ISNUMBER(FIND(MID($B687,{1,2,3,4,5,6,7,8,9,10,11},1),"0123456789")))=11),1,0))</f>
        <v/>
      </c>
      <c r="G687">
        <f>IF($F687=1,VALUE(MID($B687,4,7)),"")</f>
        <v/>
      </c>
      <c r="H687">
        <f>IF($F687=1,MOD($G687,7),"")</f>
        <v/>
      </c>
    </row>
    <row r="688">
      <c r="A688" s="6" t="n"/>
      <c r="B688" s="7">
        <f>IF($A688="","",SUBSTITUTE(SUBSTITUTE(SUBSTITUTE(SUBSTITUTE($A688," ",""),"-",""),".",""),"/",""))</f>
        <v/>
      </c>
      <c r="C688" s="8">
        <f>IF($F688=1,$H688,"")</f>
        <v/>
      </c>
      <c r="D688" s="7">
        <f>IF($A688="","",IF($F688=0,"Biçim hatalı",IF(FIND(MID($B688,11,1),"0123456789")-1=$H688,"Geçerli","Kontrol hanesi hatalı (doğrusu: "&amp;$H688&amp;")")))</f>
        <v/>
      </c>
      <c r="F688">
        <f>IF($A688="","",IF(AND(LEN($B688)=11,SUMPRODUCT(--ISNUMBER(FIND(MID($B688,{1,2,3,4,5,6,7,8,9,10,11},1),"0123456789")))=11),1,0))</f>
        <v/>
      </c>
      <c r="G688">
        <f>IF($F688=1,VALUE(MID($B688,4,7)),"")</f>
        <v/>
      </c>
      <c r="H688">
        <f>IF($F688=1,MOD($G688,7),"")</f>
        <v/>
      </c>
    </row>
    <row r="689">
      <c r="A689" s="6" t="n"/>
      <c r="B689" s="7">
        <f>IF($A689="","",SUBSTITUTE(SUBSTITUTE(SUBSTITUTE(SUBSTITUTE($A689," ",""),"-",""),".",""),"/",""))</f>
        <v/>
      </c>
      <c r="C689" s="8">
        <f>IF($F689=1,$H689,"")</f>
        <v/>
      </c>
      <c r="D689" s="7">
        <f>IF($A689="","",IF($F689=0,"Biçim hatalı",IF(FIND(MID($B689,11,1),"0123456789")-1=$H689,"Geçerli","Kontrol hanesi hatalı (doğrusu: "&amp;$H689&amp;")")))</f>
        <v/>
      </c>
      <c r="F689">
        <f>IF($A689="","",IF(AND(LEN($B689)=11,SUMPRODUCT(--ISNUMBER(FIND(MID($B689,{1,2,3,4,5,6,7,8,9,10,11},1),"0123456789")))=11),1,0))</f>
        <v/>
      </c>
      <c r="G689">
        <f>IF($F689=1,VALUE(MID($B689,4,7)),"")</f>
        <v/>
      </c>
      <c r="H689">
        <f>IF($F689=1,MOD($G689,7),"")</f>
        <v/>
      </c>
    </row>
    <row r="690">
      <c r="A690" s="6" t="n"/>
      <c r="B690" s="7">
        <f>IF($A690="","",SUBSTITUTE(SUBSTITUTE(SUBSTITUTE(SUBSTITUTE($A690," ",""),"-",""),".",""),"/",""))</f>
        <v/>
      </c>
      <c r="C690" s="8">
        <f>IF($F690=1,$H690,"")</f>
        <v/>
      </c>
      <c r="D690" s="7">
        <f>IF($A690="","",IF($F690=0,"Biçim hatalı",IF(FIND(MID($B690,11,1),"0123456789")-1=$H690,"Geçerli","Kontrol hanesi hatalı (doğrusu: "&amp;$H690&amp;")")))</f>
        <v/>
      </c>
      <c r="F690">
        <f>IF($A690="","",IF(AND(LEN($B690)=11,SUMPRODUCT(--ISNUMBER(FIND(MID($B690,{1,2,3,4,5,6,7,8,9,10,11},1),"0123456789")))=11),1,0))</f>
        <v/>
      </c>
      <c r="G690">
        <f>IF($F690=1,VALUE(MID($B690,4,7)),"")</f>
        <v/>
      </c>
      <c r="H690">
        <f>IF($F690=1,MOD($G690,7),"")</f>
        <v/>
      </c>
    </row>
    <row r="691">
      <c r="A691" s="6" t="n"/>
      <c r="B691" s="7">
        <f>IF($A691="","",SUBSTITUTE(SUBSTITUTE(SUBSTITUTE(SUBSTITUTE($A691," ",""),"-",""),".",""),"/",""))</f>
        <v/>
      </c>
      <c r="C691" s="8">
        <f>IF($F691=1,$H691,"")</f>
        <v/>
      </c>
      <c r="D691" s="7">
        <f>IF($A691="","",IF($F691=0,"Biçim hatalı",IF(FIND(MID($B691,11,1),"0123456789")-1=$H691,"Geçerli","Kontrol hanesi hatalı (doğrusu: "&amp;$H691&amp;")")))</f>
        <v/>
      </c>
      <c r="F691">
        <f>IF($A691="","",IF(AND(LEN($B691)=11,SUMPRODUCT(--ISNUMBER(FIND(MID($B691,{1,2,3,4,5,6,7,8,9,10,11},1),"0123456789")))=11),1,0))</f>
        <v/>
      </c>
      <c r="G691">
        <f>IF($F691=1,VALUE(MID($B691,4,7)),"")</f>
        <v/>
      </c>
      <c r="H691">
        <f>IF($F691=1,MOD($G691,7),"")</f>
        <v/>
      </c>
    </row>
    <row r="692">
      <c r="A692" s="6" t="n"/>
      <c r="B692" s="7">
        <f>IF($A692="","",SUBSTITUTE(SUBSTITUTE(SUBSTITUTE(SUBSTITUTE($A692," ",""),"-",""),".",""),"/",""))</f>
        <v/>
      </c>
      <c r="C692" s="8">
        <f>IF($F692=1,$H692,"")</f>
        <v/>
      </c>
      <c r="D692" s="7">
        <f>IF($A692="","",IF($F692=0,"Biçim hatalı",IF(FIND(MID($B692,11,1),"0123456789")-1=$H692,"Geçerli","Kontrol hanesi hatalı (doğrusu: "&amp;$H692&amp;")")))</f>
        <v/>
      </c>
      <c r="F692">
        <f>IF($A692="","",IF(AND(LEN($B692)=11,SUMPRODUCT(--ISNUMBER(FIND(MID($B692,{1,2,3,4,5,6,7,8,9,10,11},1),"0123456789")))=11),1,0))</f>
        <v/>
      </c>
      <c r="G692">
        <f>IF($F692=1,VALUE(MID($B692,4,7)),"")</f>
        <v/>
      </c>
      <c r="H692">
        <f>IF($F692=1,MOD($G692,7),"")</f>
        <v/>
      </c>
    </row>
    <row r="693">
      <c r="A693" s="6" t="n"/>
      <c r="B693" s="7">
        <f>IF($A693="","",SUBSTITUTE(SUBSTITUTE(SUBSTITUTE(SUBSTITUTE($A693," ",""),"-",""),".",""),"/",""))</f>
        <v/>
      </c>
      <c r="C693" s="8">
        <f>IF($F693=1,$H693,"")</f>
        <v/>
      </c>
      <c r="D693" s="7">
        <f>IF($A693="","",IF($F693=0,"Biçim hatalı",IF(FIND(MID($B693,11,1),"0123456789")-1=$H693,"Geçerli","Kontrol hanesi hatalı (doğrusu: "&amp;$H693&amp;")")))</f>
        <v/>
      </c>
      <c r="F693">
        <f>IF($A693="","",IF(AND(LEN($B693)=11,SUMPRODUCT(--ISNUMBER(FIND(MID($B693,{1,2,3,4,5,6,7,8,9,10,11},1),"0123456789")))=11),1,0))</f>
        <v/>
      </c>
      <c r="G693">
        <f>IF($F693=1,VALUE(MID($B693,4,7)),"")</f>
        <v/>
      </c>
      <c r="H693">
        <f>IF($F693=1,MOD($G693,7),"")</f>
        <v/>
      </c>
    </row>
    <row r="694">
      <c r="A694" s="6" t="n"/>
      <c r="B694" s="7">
        <f>IF($A694="","",SUBSTITUTE(SUBSTITUTE(SUBSTITUTE(SUBSTITUTE($A694," ",""),"-",""),".",""),"/",""))</f>
        <v/>
      </c>
      <c r="C694" s="8">
        <f>IF($F694=1,$H694,"")</f>
        <v/>
      </c>
      <c r="D694" s="7">
        <f>IF($A694="","",IF($F694=0,"Biçim hatalı",IF(FIND(MID($B694,11,1),"0123456789")-1=$H694,"Geçerli","Kontrol hanesi hatalı (doğrusu: "&amp;$H694&amp;")")))</f>
        <v/>
      </c>
      <c r="F694">
        <f>IF($A694="","",IF(AND(LEN($B694)=11,SUMPRODUCT(--ISNUMBER(FIND(MID($B694,{1,2,3,4,5,6,7,8,9,10,11},1),"0123456789")))=11),1,0))</f>
        <v/>
      </c>
      <c r="G694">
        <f>IF($F694=1,VALUE(MID($B694,4,7)),"")</f>
        <v/>
      </c>
      <c r="H694">
        <f>IF($F694=1,MOD($G694,7),"")</f>
        <v/>
      </c>
    </row>
    <row r="695">
      <c r="A695" s="6" t="n"/>
      <c r="B695" s="7">
        <f>IF($A695="","",SUBSTITUTE(SUBSTITUTE(SUBSTITUTE(SUBSTITUTE($A695," ",""),"-",""),".",""),"/",""))</f>
        <v/>
      </c>
      <c r="C695" s="8">
        <f>IF($F695=1,$H695,"")</f>
        <v/>
      </c>
      <c r="D695" s="7">
        <f>IF($A695="","",IF($F695=0,"Biçim hatalı",IF(FIND(MID($B695,11,1),"0123456789")-1=$H695,"Geçerli","Kontrol hanesi hatalı (doğrusu: "&amp;$H695&amp;")")))</f>
        <v/>
      </c>
      <c r="F695">
        <f>IF($A695="","",IF(AND(LEN($B695)=11,SUMPRODUCT(--ISNUMBER(FIND(MID($B695,{1,2,3,4,5,6,7,8,9,10,11},1),"0123456789")))=11),1,0))</f>
        <v/>
      </c>
      <c r="G695">
        <f>IF($F695=1,VALUE(MID($B695,4,7)),"")</f>
        <v/>
      </c>
      <c r="H695">
        <f>IF($F695=1,MOD($G695,7),"")</f>
        <v/>
      </c>
    </row>
    <row r="696">
      <c r="A696" s="6" t="n"/>
      <c r="B696" s="7">
        <f>IF($A696="","",SUBSTITUTE(SUBSTITUTE(SUBSTITUTE(SUBSTITUTE($A696," ",""),"-",""),".",""),"/",""))</f>
        <v/>
      </c>
      <c r="C696" s="8">
        <f>IF($F696=1,$H696,"")</f>
        <v/>
      </c>
      <c r="D696" s="7">
        <f>IF($A696="","",IF($F696=0,"Biçim hatalı",IF(FIND(MID($B696,11,1),"0123456789")-1=$H696,"Geçerli","Kontrol hanesi hatalı (doğrusu: "&amp;$H696&amp;")")))</f>
        <v/>
      </c>
      <c r="F696">
        <f>IF($A696="","",IF(AND(LEN($B696)=11,SUMPRODUCT(--ISNUMBER(FIND(MID($B696,{1,2,3,4,5,6,7,8,9,10,11},1),"0123456789")))=11),1,0))</f>
        <v/>
      </c>
      <c r="G696">
        <f>IF($F696=1,VALUE(MID($B696,4,7)),"")</f>
        <v/>
      </c>
      <c r="H696">
        <f>IF($F696=1,MOD($G696,7),"")</f>
        <v/>
      </c>
    </row>
    <row r="697">
      <c r="A697" s="6" t="n"/>
      <c r="B697" s="7">
        <f>IF($A697="","",SUBSTITUTE(SUBSTITUTE(SUBSTITUTE(SUBSTITUTE($A697," ",""),"-",""),".",""),"/",""))</f>
        <v/>
      </c>
      <c r="C697" s="8">
        <f>IF($F697=1,$H697,"")</f>
        <v/>
      </c>
      <c r="D697" s="7">
        <f>IF($A697="","",IF($F697=0,"Biçim hatalı",IF(FIND(MID($B697,11,1),"0123456789")-1=$H697,"Geçerli","Kontrol hanesi hatalı (doğrusu: "&amp;$H697&amp;")")))</f>
        <v/>
      </c>
      <c r="F697">
        <f>IF($A697="","",IF(AND(LEN($B697)=11,SUMPRODUCT(--ISNUMBER(FIND(MID($B697,{1,2,3,4,5,6,7,8,9,10,11},1),"0123456789")))=11),1,0))</f>
        <v/>
      </c>
      <c r="G697">
        <f>IF($F697=1,VALUE(MID($B697,4,7)),"")</f>
        <v/>
      </c>
      <c r="H697">
        <f>IF($F697=1,MOD($G697,7),"")</f>
        <v/>
      </c>
    </row>
    <row r="698">
      <c r="A698" s="6" t="n"/>
      <c r="B698" s="7">
        <f>IF($A698="","",SUBSTITUTE(SUBSTITUTE(SUBSTITUTE(SUBSTITUTE($A698," ",""),"-",""),".",""),"/",""))</f>
        <v/>
      </c>
      <c r="C698" s="8">
        <f>IF($F698=1,$H698,"")</f>
        <v/>
      </c>
      <c r="D698" s="7">
        <f>IF($A698="","",IF($F698=0,"Biçim hatalı",IF(FIND(MID($B698,11,1),"0123456789")-1=$H698,"Geçerli","Kontrol hanesi hatalı (doğrusu: "&amp;$H698&amp;")")))</f>
        <v/>
      </c>
      <c r="F698">
        <f>IF($A698="","",IF(AND(LEN($B698)=11,SUMPRODUCT(--ISNUMBER(FIND(MID($B698,{1,2,3,4,5,6,7,8,9,10,11},1),"0123456789")))=11),1,0))</f>
        <v/>
      </c>
      <c r="G698">
        <f>IF($F698=1,VALUE(MID($B698,4,7)),"")</f>
        <v/>
      </c>
      <c r="H698">
        <f>IF($F698=1,MOD($G698,7),"")</f>
        <v/>
      </c>
    </row>
    <row r="699">
      <c r="A699" s="6" t="n"/>
      <c r="B699" s="7">
        <f>IF($A699="","",SUBSTITUTE(SUBSTITUTE(SUBSTITUTE(SUBSTITUTE($A699," ",""),"-",""),".",""),"/",""))</f>
        <v/>
      </c>
      <c r="C699" s="8">
        <f>IF($F699=1,$H699,"")</f>
        <v/>
      </c>
      <c r="D699" s="7">
        <f>IF($A699="","",IF($F699=0,"Biçim hatalı",IF(FIND(MID($B699,11,1),"0123456789")-1=$H699,"Geçerli","Kontrol hanesi hatalı (doğrusu: "&amp;$H699&amp;")")))</f>
        <v/>
      </c>
      <c r="F699">
        <f>IF($A699="","",IF(AND(LEN($B699)=11,SUMPRODUCT(--ISNUMBER(FIND(MID($B699,{1,2,3,4,5,6,7,8,9,10,11},1),"0123456789")))=11),1,0))</f>
        <v/>
      </c>
      <c r="G699">
        <f>IF($F699=1,VALUE(MID($B699,4,7)),"")</f>
        <v/>
      </c>
      <c r="H699">
        <f>IF($F699=1,MOD($G699,7),"")</f>
        <v/>
      </c>
    </row>
    <row r="700">
      <c r="A700" s="6" t="n"/>
      <c r="B700" s="7">
        <f>IF($A700="","",SUBSTITUTE(SUBSTITUTE(SUBSTITUTE(SUBSTITUTE($A700," ",""),"-",""),".",""),"/",""))</f>
        <v/>
      </c>
      <c r="C700" s="8">
        <f>IF($F700=1,$H700,"")</f>
        <v/>
      </c>
      <c r="D700" s="7">
        <f>IF($A700="","",IF($F700=0,"Biçim hatalı",IF(FIND(MID($B700,11,1),"0123456789")-1=$H700,"Geçerli","Kontrol hanesi hatalı (doğrusu: "&amp;$H700&amp;")")))</f>
        <v/>
      </c>
      <c r="F700">
        <f>IF($A700="","",IF(AND(LEN($B700)=11,SUMPRODUCT(--ISNUMBER(FIND(MID($B700,{1,2,3,4,5,6,7,8,9,10,11},1),"0123456789")))=11),1,0))</f>
        <v/>
      </c>
      <c r="G700">
        <f>IF($F700=1,VALUE(MID($B700,4,7)),"")</f>
        <v/>
      </c>
      <c r="H700">
        <f>IF($F700=1,MOD($G700,7),"")</f>
        <v/>
      </c>
    </row>
    <row r="701">
      <c r="A701" s="6" t="n"/>
      <c r="B701" s="7">
        <f>IF($A701="","",SUBSTITUTE(SUBSTITUTE(SUBSTITUTE(SUBSTITUTE($A701," ",""),"-",""),".",""),"/",""))</f>
        <v/>
      </c>
      <c r="C701" s="8">
        <f>IF($F701=1,$H701,"")</f>
        <v/>
      </c>
      <c r="D701" s="7">
        <f>IF($A701="","",IF($F701=0,"Biçim hatalı",IF(FIND(MID($B701,11,1),"0123456789")-1=$H701,"Geçerli","Kontrol hanesi hatalı (doğrusu: "&amp;$H701&amp;")")))</f>
        <v/>
      </c>
      <c r="F701">
        <f>IF($A701="","",IF(AND(LEN($B701)=11,SUMPRODUCT(--ISNUMBER(FIND(MID($B701,{1,2,3,4,5,6,7,8,9,10,11},1),"0123456789")))=11),1,0))</f>
        <v/>
      </c>
      <c r="G701">
        <f>IF($F701=1,VALUE(MID($B701,4,7)),"")</f>
        <v/>
      </c>
      <c r="H701">
        <f>IF($F701=1,MOD($G701,7),"")</f>
        <v/>
      </c>
    </row>
    <row r="702">
      <c r="A702" s="6" t="n"/>
      <c r="B702" s="7">
        <f>IF($A702="","",SUBSTITUTE(SUBSTITUTE(SUBSTITUTE(SUBSTITUTE($A702," ",""),"-",""),".",""),"/",""))</f>
        <v/>
      </c>
      <c r="C702" s="8">
        <f>IF($F702=1,$H702,"")</f>
        <v/>
      </c>
      <c r="D702" s="7">
        <f>IF($A702="","",IF($F702=0,"Biçim hatalı",IF(FIND(MID($B702,11,1),"0123456789")-1=$H702,"Geçerli","Kontrol hanesi hatalı (doğrusu: "&amp;$H702&amp;")")))</f>
        <v/>
      </c>
      <c r="F702">
        <f>IF($A702="","",IF(AND(LEN($B702)=11,SUMPRODUCT(--ISNUMBER(FIND(MID($B702,{1,2,3,4,5,6,7,8,9,10,11},1),"0123456789")))=11),1,0))</f>
        <v/>
      </c>
      <c r="G702">
        <f>IF($F702=1,VALUE(MID($B702,4,7)),"")</f>
        <v/>
      </c>
      <c r="H702">
        <f>IF($F702=1,MOD($G702,7),"")</f>
        <v/>
      </c>
    </row>
    <row r="703">
      <c r="A703" s="6" t="n"/>
      <c r="B703" s="7">
        <f>IF($A703="","",SUBSTITUTE(SUBSTITUTE(SUBSTITUTE(SUBSTITUTE($A703," ",""),"-",""),".",""),"/",""))</f>
        <v/>
      </c>
      <c r="C703" s="8">
        <f>IF($F703=1,$H703,"")</f>
        <v/>
      </c>
      <c r="D703" s="7">
        <f>IF($A703="","",IF($F703=0,"Biçim hatalı",IF(FIND(MID($B703,11,1),"0123456789")-1=$H703,"Geçerli","Kontrol hanesi hatalı (doğrusu: "&amp;$H703&amp;")")))</f>
        <v/>
      </c>
      <c r="F703">
        <f>IF($A703="","",IF(AND(LEN($B703)=11,SUMPRODUCT(--ISNUMBER(FIND(MID($B703,{1,2,3,4,5,6,7,8,9,10,11},1),"0123456789")))=11),1,0))</f>
        <v/>
      </c>
      <c r="G703">
        <f>IF($F703=1,VALUE(MID($B703,4,7)),"")</f>
        <v/>
      </c>
      <c r="H703">
        <f>IF($F703=1,MOD($G703,7),"")</f>
        <v/>
      </c>
    </row>
    <row r="704">
      <c r="A704" s="6" t="n"/>
      <c r="B704" s="7">
        <f>IF($A704="","",SUBSTITUTE(SUBSTITUTE(SUBSTITUTE(SUBSTITUTE($A704," ",""),"-",""),".",""),"/",""))</f>
        <v/>
      </c>
      <c r="C704" s="8">
        <f>IF($F704=1,$H704,"")</f>
        <v/>
      </c>
      <c r="D704" s="7">
        <f>IF($A704="","",IF($F704=0,"Biçim hatalı",IF(FIND(MID($B704,11,1),"0123456789")-1=$H704,"Geçerli","Kontrol hanesi hatalı (doğrusu: "&amp;$H704&amp;")")))</f>
        <v/>
      </c>
      <c r="F704">
        <f>IF($A704="","",IF(AND(LEN($B704)=11,SUMPRODUCT(--ISNUMBER(FIND(MID($B704,{1,2,3,4,5,6,7,8,9,10,11},1),"0123456789")))=11),1,0))</f>
        <v/>
      </c>
      <c r="G704">
        <f>IF($F704=1,VALUE(MID($B704,4,7)),"")</f>
        <v/>
      </c>
      <c r="H704">
        <f>IF($F704=1,MOD($G704,7),"")</f>
        <v/>
      </c>
    </row>
    <row r="705">
      <c r="A705" s="6" t="n"/>
      <c r="B705" s="7">
        <f>IF($A705="","",SUBSTITUTE(SUBSTITUTE(SUBSTITUTE(SUBSTITUTE($A705," ",""),"-",""),".",""),"/",""))</f>
        <v/>
      </c>
      <c r="C705" s="8">
        <f>IF($F705=1,$H705,"")</f>
        <v/>
      </c>
      <c r="D705" s="7">
        <f>IF($A705="","",IF($F705=0,"Biçim hatalı",IF(FIND(MID($B705,11,1),"0123456789")-1=$H705,"Geçerli","Kontrol hanesi hatalı (doğrusu: "&amp;$H705&amp;")")))</f>
        <v/>
      </c>
      <c r="F705">
        <f>IF($A705="","",IF(AND(LEN($B705)=11,SUMPRODUCT(--ISNUMBER(FIND(MID($B705,{1,2,3,4,5,6,7,8,9,10,11},1),"0123456789")))=11),1,0))</f>
        <v/>
      </c>
      <c r="G705">
        <f>IF($F705=1,VALUE(MID($B705,4,7)),"")</f>
        <v/>
      </c>
      <c r="H705">
        <f>IF($F705=1,MOD($G705,7),"")</f>
        <v/>
      </c>
    </row>
    <row r="706">
      <c r="A706" s="6" t="n"/>
      <c r="B706" s="7">
        <f>IF($A706="","",SUBSTITUTE(SUBSTITUTE(SUBSTITUTE(SUBSTITUTE($A706," ",""),"-",""),".",""),"/",""))</f>
        <v/>
      </c>
      <c r="C706" s="8">
        <f>IF($F706=1,$H706,"")</f>
        <v/>
      </c>
      <c r="D706" s="7">
        <f>IF($A706="","",IF($F706=0,"Biçim hatalı",IF(FIND(MID($B706,11,1),"0123456789")-1=$H706,"Geçerli","Kontrol hanesi hatalı (doğrusu: "&amp;$H706&amp;")")))</f>
        <v/>
      </c>
      <c r="F706">
        <f>IF($A706="","",IF(AND(LEN($B706)=11,SUMPRODUCT(--ISNUMBER(FIND(MID($B706,{1,2,3,4,5,6,7,8,9,10,11},1),"0123456789")))=11),1,0))</f>
        <v/>
      </c>
      <c r="G706">
        <f>IF($F706=1,VALUE(MID($B706,4,7)),"")</f>
        <v/>
      </c>
      <c r="H706">
        <f>IF($F706=1,MOD($G706,7),"")</f>
        <v/>
      </c>
    </row>
    <row r="707">
      <c r="A707" s="6" t="n"/>
      <c r="B707" s="7">
        <f>IF($A707="","",SUBSTITUTE(SUBSTITUTE(SUBSTITUTE(SUBSTITUTE($A707," ",""),"-",""),".",""),"/",""))</f>
        <v/>
      </c>
      <c r="C707" s="8">
        <f>IF($F707=1,$H707,"")</f>
        <v/>
      </c>
      <c r="D707" s="7">
        <f>IF($A707="","",IF($F707=0,"Biçim hatalı",IF(FIND(MID($B707,11,1),"0123456789")-1=$H707,"Geçerli","Kontrol hanesi hatalı (doğrusu: "&amp;$H707&amp;")")))</f>
        <v/>
      </c>
      <c r="F707">
        <f>IF($A707="","",IF(AND(LEN($B707)=11,SUMPRODUCT(--ISNUMBER(FIND(MID($B707,{1,2,3,4,5,6,7,8,9,10,11},1),"0123456789")))=11),1,0))</f>
        <v/>
      </c>
      <c r="G707">
        <f>IF($F707=1,VALUE(MID($B707,4,7)),"")</f>
        <v/>
      </c>
      <c r="H707">
        <f>IF($F707=1,MOD($G707,7),"")</f>
        <v/>
      </c>
    </row>
    <row r="708">
      <c r="A708" s="6" t="n"/>
      <c r="B708" s="7">
        <f>IF($A708="","",SUBSTITUTE(SUBSTITUTE(SUBSTITUTE(SUBSTITUTE($A708," ",""),"-",""),".",""),"/",""))</f>
        <v/>
      </c>
      <c r="C708" s="8">
        <f>IF($F708=1,$H708,"")</f>
        <v/>
      </c>
      <c r="D708" s="7">
        <f>IF($A708="","",IF($F708=0,"Biçim hatalı",IF(FIND(MID($B708,11,1),"0123456789")-1=$H708,"Geçerli","Kontrol hanesi hatalı (doğrusu: "&amp;$H708&amp;")")))</f>
        <v/>
      </c>
      <c r="F708">
        <f>IF($A708="","",IF(AND(LEN($B708)=11,SUMPRODUCT(--ISNUMBER(FIND(MID($B708,{1,2,3,4,5,6,7,8,9,10,11},1),"0123456789")))=11),1,0))</f>
        <v/>
      </c>
      <c r="G708">
        <f>IF($F708=1,VALUE(MID($B708,4,7)),"")</f>
        <v/>
      </c>
      <c r="H708">
        <f>IF($F708=1,MOD($G708,7),"")</f>
        <v/>
      </c>
    </row>
    <row r="709">
      <c r="A709" s="6" t="n"/>
      <c r="B709" s="7">
        <f>IF($A709="","",SUBSTITUTE(SUBSTITUTE(SUBSTITUTE(SUBSTITUTE($A709," ",""),"-",""),".",""),"/",""))</f>
        <v/>
      </c>
      <c r="C709" s="8">
        <f>IF($F709=1,$H709,"")</f>
        <v/>
      </c>
      <c r="D709" s="7">
        <f>IF($A709="","",IF($F709=0,"Biçim hatalı",IF(FIND(MID($B709,11,1),"0123456789")-1=$H709,"Geçerli","Kontrol hanesi hatalı (doğrusu: "&amp;$H709&amp;")")))</f>
        <v/>
      </c>
      <c r="F709">
        <f>IF($A709="","",IF(AND(LEN($B709)=11,SUMPRODUCT(--ISNUMBER(FIND(MID($B709,{1,2,3,4,5,6,7,8,9,10,11},1),"0123456789")))=11),1,0))</f>
        <v/>
      </c>
      <c r="G709">
        <f>IF($F709=1,VALUE(MID($B709,4,7)),"")</f>
        <v/>
      </c>
      <c r="H709">
        <f>IF($F709=1,MOD($G709,7),"")</f>
        <v/>
      </c>
    </row>
    <row r="710">
      <c r="A710" s="6" t="n"/>
      <c r="B710" s="7">
        <f>IF($A710="","",SUBSTITUTE(SUBSTITUTE(SUBSTITUTE(SUBSTITUTE($A710," ",""),"-",""),".",""),"/",""))</f>
        <v/>
      </c>
      <c r="C710" s="8">
        <f>IF($F710=1,$H710,"")</f>
        <v/>
      </c>
      <c r="D710" s="7">
        <f>IF($A710="","",IF($F710=0,"Biçim hatalı",IF(FIND(MID($B710,11,1),"0123456789")-1=$H710,"Geçerli","Kontrol hanesi hatalı (doğrusu: "&amp;$H710&amp;")")))</f>
        <v/>
      </c>
      <c r="F710">
        <f>IF($A710="","",IF(AND(LEN($B710)=11,SUMPRODUCT(--ISNUMBER(FIND(MID($B710,{1,2,3,4,5,6,7,8,9,10,11},1),"0123456789")))=11),1,0))</f>
        <v/>
      </c>
      <c r="G710">
        <f>IF($F710=1,VALUE(MID($B710,4,7)),"")</f>
        <v/>
      </c>
      <c r="H710">
        <f>IF($F710=1,MOD($G710,7),"")</f>
        <v/>
      </c>
    </row>
    <row r="711">
      <c r="A711" s="6" t="n"/>
      <c r="B711" s="7">
        <f>IF($A711="","",SUBSTITUTE(SUBSTITUTE(SUBSTITUTE(SUBSTITUTE($A711," ",""),"-",""),".",""),"/",""))</f>
        <v/>
      </c>
      <c r="C711" s="8">
        <f>IF($F711=1,$H711,"")</f>
        <v/>
      </c>
      <c r="D711" s="7">
        <f>IF($A711="","",IF($F711=0,"Biçim hatalı",IF(FIND(MID($B711,11,1),"0123456789")-1=$H711,"Geçerli","Kontrol hanesi hatalı (doğrusu: "&amp;$H711&amp;")")))</f>
        <v/>
      </c>
      <c r="F711">
        <f>IF($A711="","",IF(AND(LEN($B711)=11,SUMPRODUCT(--ISNUMBER(FIND(MID($B711,{1,2,3,4,5,6,7,8,9,10,11},1),"0123456789")))=11),1,0))</f>
        <v/>
      </c>
      <c r="G711">
        <f>IF($F711=1,VALUE(MID($B711,4,7)),"")</f>
        <v/>
      </c>
      <c r="H711">
        <f>IF($F711=1,MOD($G711,7),"")</f>
        <v/>
      </c>
    </row>
    <row r="712">
      <c r="A712" s="6" t="n"/>
      <c r="B712" s="7">
        <f>IF($A712="","",SUBSTITUTE(SUBSTITUTE(SUBSTITUTE(SUBSTITUTE($A712," ",""),"-",""),".",""),"/",""))</f>
        <v/>
      </c>
      <c r="C712" s="8">
        <f>IF($F712=1,$H712,"")</f>
        <v/>
      </c>
      <c r="D712" s="7">
        <f>IF($A712="","",IF($F712=0,"Biçim hatalı",IF(FIND(MID($B712,11,1),"0123456789")-1=$H712,"Geçerli","Kontrol hanesi hatalı (doğrusu: "&amp;$H712&amp;")")))</f>
        <v/>
      </c>
      <c r="F712">
        <f>IF($A712="","",IF(AND(LEN($B712)=11,SUMPRODUCT(--ISNUMBER(FIND(MID($B712,{1,2,3,4,5,6,7,8,9,10,11},1),"0123456789")))=11),1,0))</f>
        <v/>
      </c>
      <c r="G712">
        <f>IF($F712=1,VALUE(MID($B712,4,7)),"")</f>
        <v/>
      </c>
      <c r="H712">
        <f>IF($F712=1,MOD($G712,7),"")</f>
        <v/>
      </c>
    </row>
    <row r="713">
      <c r="A713" s="6" t="n"/>
      <c r="B713" s="7">
        <f>IF($A713="","",SUBSTITUTE(SUBSTITUTE(SUBSTITUTE(SUBSTITUTE($A713," ",""),"-",""),".",""),"/",""))</f>
        <v/>
      </c>
      <c r="C713" s="8">
        <f>IF($F713=1,$H713,"")</f>
        <v/>
      </c>
      <c r="D713" s="7">
        <f>IF($A713="","",IF($F713=0,"Biçim hatalı",IF(FIND(MID($B713,11,1),"0123456789")-1=$H713,"Geçerli","Kontrol hanesi hatalı (doğrusu: "&amp;$H713&amp;")")))</f>
        <v/>
      </c>
      <c r="F713">
        <f>IF($A713="","",IF(AND(LEN($B713)=11,SUMPRODUCT(--ISNUMBER(FIND(MID($B713,{1,2,3,4,5,6,7,8,9,10,11},1),"0123456789")))=11),1,0))</f>
        <v/>
      </c>
      <c r="G713">
        <f>IF($F713=1,VALUE(MID($B713,4,7)),"")</f>
        <v/>
      </c>
      <c r="H713">
        <f>IF($F713=1,MOD($G713,7),"")</f>
        <v/>
      </c>
    </row>
    <row r="714">
      <c r="A714" s="6" t="n"/>
      <c r="B714" s="7">
        <f>IF($A714="","",SUBSTITUTE(SUBSTITUTE(SUBSTITUTE(SUBSTITUTE($A714," ",""),"-",""),".",""),"/",""))</f>
        <v/>
      </c>
      <c r="C714" s="8">
        <f>IF($F714=1,$H714,"")</f>
        <v/>
      </c>
      <c r="D714" s="7">
        <f>IF($A714="","",IF($F714=0,"Biçim hatalı",IF(FIND(MID($B714,11,1),"0123456789")-1=$H714,"Geçerli","Kontrol hanesi hatalı (doğrusu: "&amp;$H714&amp;")")))</f>
        <v/>
      </c>
      <c r="F714">
        <f>IF($A714="","",IF(AND(LEN($B714)=11,SUMPRODUCT(--ISNUMBER(FIND(MID($B714,{1,2,3,4,5,6,7,8,9,10,11},1),"0123456789")))=11),1,0))</f>
        <v/>
      </c>
      <c r="G714">
        <f>IF($F714=1,VALUE(MID($B714,4,7)),"")</f>
        <v/>
      </c>
      <c r="H714">
        <f>IF($F714=1,MOD($G714,7),"")</f>
        <v/>
      </c>
    </row>
    <row r="715">
      <c r="A715" s="6" t="n"/>
      <c r="B715" s="7">
        <f>IF($A715="","",SUBSTITUTE(SUBSTITUTE(SUBSTITUTE(SUBSTITUTE($A715," ",""),"-",""),".",""),"/",""))</f>
        <v/>
      </c>
      <c r="C715" s="8">
        <f>IF($F715=1,$H715,"")</f>
        <v/>
      </c>
      <c r="D715" s="7">
        <f>IF($A715="","",IF($F715=0,"Biçim hatalı",IF(FIND(MID($B715,11,1),"0123456789")-1=$H715,"Geçerli","Kontrol hanesi hatalı (doğrusu: "&amp;$H715&amp;")")))</f>
        <v/>
      </c>
      <c r="F715">
        <f>IF($A715="","",IF(AND(LEN($B715)=11,SUMPRODUCT(--ISNUMBER(FIND(MID($B715,{1,2,3,4,5,6,7,8,9,10,11},1),"0123456789")))=11),1,0))</f>
        <v/>
      </c>
      <c r="G715">
        <f>IF($F715=1,VALUE(MID($B715,4,7)),"")</f>
        <v/>
      </c>
      <c r="H715">
        <f>IF($F715=1,MOD($G715,7),"")</f>
        <v/>
      </c>
    </row>
    <row r="716">
      <c r="A716" s="6" t="n"/>
      <c r="B716" s="7">
        <f>IF($A716="","",SUBSTITUTE(SUBSTITUTE(SUBSTITUTE(SUBSTITUTE($A716," ",""),"-",""),".",""),"/",""))</f>
        <v/>
      </c>
      <c r="C716" s="8">
        <f>IF($F716=1,$H716,"")</f>
        <v/>
      </c>
      <c r="D716" s="7">
        <f>IF($A716="","",IF($F716=0,"Biçim hatalı",IF(FIND(MID($B716,11,1),"0123456789")-1=$H716,"Geçerli","Kontrol hanesi hatalı (doğrusu: "&amp;$H716&amp;")")))</f>
        <v/>
      </c>
      <c r="F716">
        <f>IF($A716="","",IF(AND(LEN($B716)=11,SUMPRODUCT(--ISNUMBER(FIND(MID($B716,{1,2,3,4,5,6,7,8,9,10,11},1),"0123456789")))=11),1,0))</f>
        <v/>
      </c>
      <c r="G716">
        <f>IF($F716=1,VALUE(MID($B716,4,7)),"")</f>
        <v/>
      </c>
      <c r="H716">
        <f>IF($F716=1,MOD($G716,7),"")</f>
        <v/>
      </c>
    </row>
    <row r="717">
      <c r="A717" s="6" t="n"/>
      <c r="B717" s="7">
        <f>IF($A717="","",SUBSTITUTE(SUBSTITUTE(SUBSTITUTE(SUBSTITUTE($A717," ",""),"-",""),".",""),"/",""))</f>
        <v/>
      </c>
      <c r="C717" s="8">
        <f>IF($F717=1,$H717,"")</f>
        <v/>
      </c>
      <c r="D717" s="7">
        <f>IF($A717="","",IF($F717=0,"Biçim hatalı",IF(FIND(MID($B717,11,1),"0123456789")-1=$H717,"Geçerli","Kontrol hanesi hatalı (doğrusu: "&amp;$H717&amp;")")))</f>
        <v/>
      </c>
      <c r="F717">
        <f>IF($A717="","",IF(AND(LEN($B717)=11,SUMPRODUCT(--ISNUMBER(FIND(MID($B717,{1,2,3,4,5,6,7,8,9,10,11},1),"0123456789")))=11),1,0))</f>
        <v/>
      </c>
      <c r="G717">
        <f>IF($F717=1,VALUE(MID($B717,4,7)),"")</f>
        <v/>
      </c>
      <c r="H717">
        <f>IF($F717=1,MOD($G717,7),"")</f>
        <v/>
      </c>
    </row>
    <row r="718">
      <c r="A718" s="6" t="n"/>
      <c r="B718" s="7">
        <f>IF($A718="","",SUBSTITUTE(SUBSTITUTE(SUBSTITUTE(SUBSTITUTE($A718," ",""),"-",""),".",""),"/",""))</f>
        <v/>
      </c>
      <c r="C718" s="8">
        <f>IF($F718=1,$H718,"")</f>
        <v/>
      </c>
      <c r="D718" s="7">
        <f>IF($A718="","",IF($F718=0,"Biçim hatalı",IF(FIND(MID($B718,11,1),"0123456789")-1=$H718,"Geçerli","Kontrol hanesi hatalı (doğrusu: "&amp;$H718&amp;")")))</f>
        <v/>
      </c>
      <c r="F718">
        <f>IF($A718="","",IF(AND(LEN($B718)=11,SUMPRODUCT(--ISNUMBER(FIND(MID($B718,{1,2,3,4,5,6,7,8,9,10,11},1),"0123456789")))=11),1,0))</f>
        <v/>
      </c>
      <c r="G718">
        <f>IF($F718=1,VALUE(MID($B718,4,7)),"")</f>
        <v/>
      </c>
      <c r="H718">
        <f>IF($F718=1,MOD($G718,7),"")</f>
        <v/>
      </c>
    </row>
    <row r="719">
      <c r="A719" s="6" t="n"/>
      <c r="B719" s="7">
        <f>IF($A719="","",SUBSTITUTE(SUBSTITUTE(SUBSTITUTE(SUBSTITUTE($A719," ",""),"-",""),".",""),"/",""))</f>
        <v/>
      </c>
      <c r="C719" s="8">
        <f>IF($F719=1,$H719,"")</f>
        <v/>
      </c>
      <c r="D719" s="7">
        <f>IF($A719="","",IF($F719=0,"Biçim hatalı",IF(FIND(MID($B719,11,1),"0123456789")-1=$H719,"Geçerli","Kontrol hanesi hatalı (doğrusu: "&amp;$H719&amp;")")))</f>
        <v/>
      </c>
      <c r="F719">
        <f>IF($A719="","",IF(AND(LEN($B719)=11,SUMPRODUCT(--ISNUMBER(FIND(MID($B719,{1,2,3,4,5,6,7,8,9,10,11},1),"0123456789")))=11),1,0))</f>
        <v/>
      </c>
      <c r="G719">
        <f>IF($F719=1,VALUE(MID($B719,4,7)),"")</f>
        <v/>
      </c>
      <c r="H719">
        <f>IF($F719=1,MOD($G719,7),"")</f>
        <v/>
      </c>
    </row>
    <row r="720">
      <c r="A720" s="6" t="n"/>
      <c r="B720" s="7">
        <f>IF($A720="","",SUBSTITUTE(SUBSTITUTE(SUBSTITUTE(SUBSTITUTE($A720," ",""),"-",""),".",""),"/",""))</f>
        <v/>
      </c>
      <c r="C720" s="8">
        <f>IF($F720=1,$H720,"")</f>
        <v/>
      </c>
      <c r="D720" s="7">
        <f>IF($A720="","",IF($F720=0,"Biçim hatalı",IF(FIND(MID($B720,11,1),"0123456789")-1=$H720,"Geçerli","Kontrol hanesi hatalı (doğrusu: "&amp;$H720&amp;")")))</f>
        <v/>
      </c>
      <c r="F720">
        <f>IF($A720="","",IF(AND(LEN($B720)=11,SUMPRODUCT(--ISNUMBER(FIND(MID($B720,{1,2,3,4,5,6,7,8,9,10,11},1),"0123456789")))=11),1,0))</f>
        <v/>
      </c>
      <c r="G720">
        <f>IF($F720=1,VALUE(MID($B720,4,7)),"")</f>
        <v/>
      </c>
      <c r="H720">
        <f>IF($F720=1,MOD($G720,7),"")</f>
        <v/>
      </c>
    </row>
    <row r="721">
      <c r="A721" s="6" t="n"/>
      <c r="B721" s="7">
        <f>IF($A721="","",SUBSTITUTE(SUBSTITUTE(SUBSTITUTE(SUBSTITUTE($A721," ",""),"-",""),".",""),"/",""))</f>
        <v/>
      </c>
      <c r="C721" s="8">
        <f>IF($F721=1,$H721,"")</f>
        <v/>
      </c>
      <c r="D721" s="7">
        <f>IF($A721="","",IF($F721=0,"Biçim hatalı",IF(FIND(MID($B721,11,1),"0123456789")-1=$H721,"Geçerli","Kontrol hanesi hatalı (doğrusu: "&amp;$H721&amp;")")))</f>
        <v/>
      </c>
      <c r="F721">
        <f>IF($A721="","",IF(AND(LEN($B721)=11,SUMPRODUCT(--ISNUMBER(FIND(MID($B721,{1,2,3,4,5,6,7,8,9,10,11},1),"0123456789")))=11),1,0))</f>
        <v/>
      </c>
      <c r="G721">
        <f>IF($F721=1,VALUE(MID($B721,4,7)),"")</f>
        <v/>
      </c>
      <c r="H721">
        <f>IF($F721=1,MOD($G721,7),"")</f>
        <v/>
      </c>
    </row>
    <row r="722">
      <c r="A722" s="6" t="n"/>
      <c r="B722" s="7">
        <f>IF($A722="","",SUBSTITUTE(SUBSTITUTE(SUBSTITUTE(SUBSTITUTE($A722," ",""),"-",""),".",""),"/",""))</f>
        <v/>
      </c>
      <c r="C722" s="8">
        <f>IF($F722=1,$H722,"")</f>
        <v/>
      </c>
      <c r="D722" s="7">
        <f>IF($A722="","",IF($F722=0,"Biçim hatalı",IF(FIND(MID($B722,11,1),"0123456789")-1=$H722,"Geçerli","Kontrol hanesi hatalı (doğrusu: "&amp;$H722&amp;")")))</f>
        <v/>
      </c>
      <c r="F722">
        <f>IF($A722="","",IF(AND(LEN($B722)=11,SUMPRODUCT(--ISNUMBER(FIND(MID($B722,{1,2,3,4,5,6,7,8,9,10,11},1),"0123456789")))=11),1,0))</f>
        <v/>
      </c>
      <c r="G722">
        <f>IF($F722=1,VALUE(MID($B722,4,7)),"")</f>
        <v/>
      </c>
      <c r="H722">
        <f>IF($F722=1,MOD($G722,7),"")</f>
        <v/>
      </c>
    </row>
    <row r="723">
      <c r="A723" s="6" t="n"/>
      <c r="B723" s="7">
        <f>IF($A723="","",SUBSTITUTE(SUBSTITUTE(SUBSTITUTE(SUBSTITUTE($A723," ",""),"-",""),".",""),"/",""))</f>
        <v/>
      </c>
      <c r="C723" s="8">
        <f>IF($F723=1,$H723,"")</f>
        <v/>
      </c>
      <c r="D723" s="7">
        <f>IF($A723="","",IF($F723=0,"Biçim hatalı",IF(FIND(MID($B723,11,1),"0123456789")-1=$H723,"Geçerli","Kontrol hanesi hatalı (doğrusu: "&amp;$H723&amp;")")))</f>
        <v/>
      </c>
      <c r="F723">
        <f>IF($A723="","",IF(AND(LEN($B723)=11,SUMPRODUCT(--ISNUMBER(FIND(MID($B723,{1,2,3,4,5,6,7,8,9,10,11},1),"0123456789")))=11),1,0))</f>
        <v/>
      </c>
      <c r="G723">
        <f>IF($F723=1,VALUE(MID($B723,4,7)),"")</f>
        <v/>
      </c>
      <c r="H723">
        <f>IF($F723=1,MOD($G723,7),"")</f>
        <v/>
      </c>
    </row>
    <row r="724">
      <c r="A724" s="6" t="n"/>
      <c r="B724" s="7">
        <f>IF($A724="","",SUBSTITUTE(SUBSTITUTE(SUBSTITUTE(SUBSTITUTE($A724," ",""),"-",""),".",""),"/",""))</f>
        <v/>
      </c>
      <c r="C724" s="8">
        <f>IF($F724=1,$H724,"")</f>
        <v/>
      </c>
      <c r="D724" s="7">
        <f>IF($A724="","",IF($F724=0,"Biçim hatalı",IF(FIND(MID($B724,11,1),"0123456789")-1=$H724,"Geçerli","Kontrol hanesi hatalı (doğrusu: "&amp;$H724&amp;")")))</f>
        <v/>
      </c>
      <c r="F724">
        <f>IF($A724="","",IF(AND(LEN($B724)=11,SUMPRODUCT(--ISNUMBER(FIND(MID($B724,{1,2,3,4,5,6,7,8,9,10,11},1),"0123456789")))=11),1,0))</f>
        <v/>
      </c>
      <c r="G724">
        <f>IF($F724=1,VALUE(MID($B724,4,7)),"")</f>
        <v/>
      </c>
      <c r="H724">
        <f>IF($F724=1,MOD($G724,7),"")</f>
        <v/>
      </c>
    </row>
    <row r="725">
      <c r="A725" s="6" t="n"/>
      <c r="B725" s="7">
        <f>IF($A725="","",SUBSTITUTE(SUBSTITUTE(SUBSTITUTE(SUBSTITUTE($A725," ",""),"-",""),".",""),"/",""))</f>
        <v/>
      </c>
      <c r="C725" s="8">
        <f>IF($F725=1,$H725,"")</f>
        <v/>
      </c>
      <c r="D725" s="7">
        <f>IF($A725="","",IF($F725=0,"Biçim hatalı",IF(FIND(MID($B725,11,1),"0123456789")-1=$H725,"Geçerli","Kontrol hanesi hatalı (doğrusu: "&amp;$H725&amp;")")))</f>
        <v/>
      </c>
      <c r="F725">
        <f>IF($A725="","",IF(AND(LEN($B725)=11,SUMPRODUCT(--ISNUMBER(FIND(MID($B725,{1,2,3,4,5,6,7,8,9,10,11},1),"0123456789")))=11),1,0))</f>
        <v/>
      </c>
      <c r="G725">
        <f>IF($F725=1,VALUE(MID($B725,4,7)),"")</f>
        <v/>
      </c>
      <c r="H725">
        <f>IF($F725=1,MOD($G725,7),"")</f>
        <v/>
      </c>
    </row>
    <row r="726">
      <c r="A726" s="6" t="n"/>
      <c r="B726" s="7">
        <f>IF($A726="","",SUBSTITUTE(SUBSTITUTE(SUBSTITUTE(SUBSTITUTE($A726," ",""),"-",""),".",""),"/",""))</f>
        <v/>
      </c>
      <c r="C726" s="8">
        <f>IF($F726=1,$H726,"")</f>
        <v/>
      </c>
      <c r="D726" s="7">
        <f>IF($A726="","",IF($F726=0,"Biçim hatalı",IF(FIND(MID($B726,11,1),"0123456789")-1=$H726,"Geçerli","Kontrol hanesi hatalı (doğrusu: "&amp;$H726&amp;")")))</f>
        <v/>
      </c>
      <c r="F726">
        <f>IF($A726="","",IF(AND(LEN($B726)=11,SUMPRODUCT(--ISNUMBER(FIND(MID($B726,{1,2,3,4,5,6,7,8,9,10,11},1),"0123456789")))=11),1,0))</f>
        <v/>
      </c>
      <c r="G726">
        <f>IF($F726=1,VALUE(MID($B726,4,7)),"")</f>
        <v/>
      </c>
      <c r="H726">
        <f>IF($F726=1,MOD($G726,7),"")</f>
        <v/>
      </c>
    </row>
    <row r="727">
      <c r="A727" s="6" t="n"/>
      <c r="B727" s="7">
        <f>IF($A727="","",SUBSTITUTE(SUBSTITUTE(SUBSTITUTE(SUBSTITUTE($A727," ",""),"-",""),".",""),"/",""))</f>
        <v/>
      </c>
      <c r="C727" s="8">
        <f>IF($F727=1,$H727,"")</f>
        <v/>
      </c>
      <c r="D727" s="7">
        <f>IF($A727="","",IF($F727=0,"Biçim hatalı",IF(FIND(MID($B727,11,1),"0123456789")-1=$H727,"Geçerli","Kontrol hanesi hatalı (doğrusu: "&amp;$H727&amp;")")))</f>
        <v/>
      </c>
      <c r="F727">
        <f>IF($A727="","",IF(AND(LEN($B727)=11,SUMPRODUCT(--ISNUMBER(FIND(MID($B727,{1,2,3,4,5,6,7,8,9,10,11},1),"0123456789")))=11),1,0))</f>
        <v/>
      </c>
      <c r="G727">
        <f>IF($F727=1,VALUE(MID($B727,4,7)),"")</f>
        <v/>
      </c>
      <c r="H727">
        <f>IF($F727=1,MOD($G727,7),"")</f>
        <v/>
      </c>
    </row>
    <row r="728">
      <c r="A728" s="6" t="n"/>
      <c r="B728" s="7">
        <f>IF($A728="","",SUBSTITUTE(SUBSTITUTE(SUBSTITUTE(SUBSTITUTE($A728," ",""),"-",""),".",""),"/",""))</f>
        <v/>
      </c>
      <c r="C728" s="8">
        <f>IF($F728=1,$H728,"")</f>
        <v/>
      </c>
      <c r="D728" s="7">
        <f>IF($A728="","",IF($F728=0,"Biçim hatalı",IF(FIND(MID($B728,11,1),"0123456789")-1=$H728,"Geçerli","Kontrol hanesi hatalı (doğrusu: "&amp;$H728&amp;")")))</f>
        <v/>
      </c>
      <c r="F728">
        <f>IF($A728="","",IF(AND(LEN($B728)=11,SUMPRODUCT(--ISNUMBER(FIND(MID($B728,{1,2,3,4,5,6,7,8,9,10,11},1),"0123456789")))=11),1,0))</f>
        <v/>
      </c>
      <c r="G728">
        <f>IF($F728=1,VALUE(MID($B728,4,7)),"")</f>
        <v/>
      </c>
      <c r="H728">
        <f>IF($F728=1,MOD($G728,7),"")</f>
        <v/>
      </c>
    </row>
    <row r="729">
      <c r="A729" s="6" t="n"/>
      <c r="B729" s="7">
        <f>IF($A729="","",SUBSTITUTE(SUBSTITUTE(SUBSTITUTE(SUBSTITUTE($A729," ",""),"-",""),".",""),"/",""))</f>
        <v/>
      </c>
      <c r="C729" s="8">
        <f>IF($F729=1,$H729,"")</f>
        <v/>
      </c>
      <c r="D729" s="7">
        <f>IF($A729="","",IF($F729=0,"Biçim hatalı",IF(FIND(MID($B729,11,1),"0123456789")-1=$H729,"Geçerli","Kontrol hanesi hatalı (doğrusu: "&amp;$H729&amp;")")))</f>
        <v/>
      </c>
      <c r="F729">
        <f>IF($A729="","",IF(AND(LEN($B729)=11,SUMPRODUCT(--ISNUMBER(FIND(MID($B729,{1,2,3,4,5,6,7,8,9,10,11},1),"0123456789")))=11),1,0))</f>
        <v/>
      </c>
      <c r="G729">
        <f>IF($F729=1,VALUE(MID($B729,4,7)),"")</f>
        <v/>
      </c>
      <c r="H729">
        <f>IF($F729=1,MOD($G729,7),"")</f>
        <v/>
      </c>
    </row>
    <row r="730">
      <c r="A730" s="6" t="n"/>
      <c r="B730" s="7">
        <f>IF($A730="","",SUBSTITUTE(SUBSTITUTE(SUBSTITUTE(SUBSTITUTE($A730," ",""),"-",""),".",""),"/",""))</f>
        <v/>
      </c>
      <c r="C730" s="8">
        <f>IF($F730=1,$H730,"")</f>
        <v/>
      </c>
      <c r="D730" s="7">
        <f>IF($A730="","",IF($F730=0,"Biçim hatalı",IF(FIND(MID($B730,11,1),"0123456789")-1=$H730,"Geçerli","Kontrol hanesi hatalı (doğrusu: "&amp;$H730&amp;")")))</f>
        <v/>
      </c>
      <c r="F730">
        <f>IF($A730="","",IF(AND(LEN($B730)=11,SUMPRODUCT(--ISNUMBER(FIND(MID($B730,{1,2,3,4,5,6,7,8,9,10,11},1),"0123456789")))=11),1,0))</f>
        <v/>
      </c>
      <c r="G730">
        <f>IF($F730=1,VALUE(MID($B730,4,7)),"")</f>
        <v/>
      </c>
      <c r="H730">
        <f>IF($F730=1,MOD($G730,7),"")</f>
        <v/>
      </c>
    </row>
    <row r="731">
      <c r="A731" s="6" t="n"/>
      <c r="B731" s="7">
        <f>IF($A731="","",SUBSTITUTE(SUBSTITUTE(SUBSTITUTE(SUBSTITUTE($A731," ",""),"-",""),".",""),"/",""))</f>
        <v/>
      </c>
      <c r="C731" s="8">
        <f>IF($F731=1,$H731,"")</f>
        <v/>
      </c>
      <c r="D731" s="7">
        <f>IF($A731="","",IF($F731=0,"Biçim hatalı",IF(FIND(MID($B731,11,1),"0123456789")-1=$H731,"Geçerli","Kontrol hanesi hatalı (doğrusu: "&amp;$H731&amp;")")))</f>
        <v/>
      </c>
      <c r="F731">
        <f>IF($A731="","",IF(AND(LEN($B731)=11,SUMPRODUCT(--ISNUMBER(FIND(MID($B731,{1,2,3,4,5,6,7,8,9,10,11},1),"0123456789")))=11),1,0))</f>
        <v/>
      </c>
      <c r="G731">
        <f>IF($F731=1,VALUE(MID($B731,4,7)),"")</f>
        <v/>
      </c>
      <c r="H731">
        <f>IF($F731=1,MOD($G731,7),"")</f>
        <v/>
      </c>
    </row>
    <row r="732">
      <c r="A732" s="6" t="n"/>
      <c r="B732" s="7">
        <f>IF($A732="","",SUBSTITUTE(SUBSTITUTE(SUBSTITUTE(SUBSTITUTE($A732," ",""),"-",""),".",""),"/",""))</f>
        <v/>
      </c>
      <c r="C732" s="8">
        <f>IF($F732=1,$H732,"")</f>
        <v/>
      </c>
      <c r="D732" s="7">
        <f>IF($A732="","",IF($F732=0,"Biçim hatalı",IF(FIND(MID($B732,11,1),"0123456789")-1=$H732,"Geçerli","Kontrol hanesi hatalı (doğrusu: "&amp;$H732&amp;")")))</f>
        <v/>
      </c>
      <c r="F732">
        <f>IF($A732="","",IF(AND(LEN($B732)=11,SUMPRODUCT(--ISNUMBER(FIND(MID($B732,{1,2,3,4,5,6,7,8,9,10,11},1),"0123456789")))=11),1,0))</f>
        <v/>
      </c>
      <c r="G732">
        <f>IF($F732=1,VALUE(MID($B732,4,7)),"")</f>
        <v/>
      </c>
      <c r="H732">
        <f>IF($F732=1,MOD($G732,7),"")</f>
        <v/>
      </c>
    </row>
    <row r="733">
      <c r="A733" s="6" t="n"/>
      <c r="B733" s="7">
        <f>IF($A733="","",SUBSTITUTE(SUBSTITUTE(SUBSTITUTE(SUBSTITUTE($A733," ",""),"-",""),".",""),"/",""))</f>
        <v/>
      </c>
      <c r="C733" s="8">
        <f>IF($F733=1,$H733,"")</f>
        <v/>
      </c>
      <c r="D733" s="7">
        <f>IF($A733="","",IF($F733=0,"Biçim hatalı",IF(FIND(MID($B733,11,1),"0123456789")-1=$H733,"Geçerli","Kontrol hanesi hatalı (doğrusu: "&amp;$H733&amp;")")))</f>
        <v/>
      </c>
      <c r="F733">
        <f>IF($A733="","",IF(AND(LEN($B733)=11,SUMPRODUCT(--ISNUMBER(FIND(MID($B733,{1,2,3,4,5,6,7,8,9,10,11},1),"0123456789")))=11),1,0))</f>
        <v/>
      </c>
      <c r="G733">
        <f>IF($F733=1,VALUE(MID($B733,4,7)),"")</f>
        <v/>
      </c>
      <c r="H733">
        <f>IF($F733=1,MOD($G733,7),"")</f>
        <v/>
      </c>
    </row>
    <row r="734">
      <c r="A734" s="6" t="n"/>
      <c r="B734" s="7">
        <f>IF($A734="","",SUBSTITUTE(SUBSTITUTE(SUBSTITUTE(SUBSTITUTE($A734," ",""),"-",""),".",""),"/",""))</f>
        <v/>
      </c>
      <c r="C734" s="8">
        <f>IF($F734=1,$H734,"")</f>
        <v/>
      </c>
      <c r="D734" s="7">
        <f>IF($A734="","",IF($F734=0,"Biçim hatalı",IF(FIND(MID($B734,11,1),"0123456789")-1=$H734,"Geçerli","Kontrol hanesi hatalı (doğrusu: "&amp;$H734&amp;")")))</f>
        <v/>
      </c>
      <c r="F734">
        <f>IF($A734="","",IF(AND(LEN($B734)=11,SUMPRODUCT(--ISNUMBER(FIND(MID($B734,{1,2,3,4,5,6,7,8,9,10,11},1),"0123456789")))=11),1,0))</f>
        <v/>
      </c>
      <c r="G734">
        <f>IF($F734=1,VALUE(MID($B734,4,7)),"")</f>
        <v/>
      </c>
      <c r="H734">
        <f>IF($F734=1,MOD($G734,7),"")</f>
        <v/>
      </c>
    </row>
    <row r="735">
      <c r="A735" s="6" t="n"/>
      <c r="B735" s="7">
        <f>IF($A735="","",SUBSTITUTE(SUBSTITUTE(SUBSTITUTE(SUBSTITUTE($A735," ",""),"-",""),".",""),"/",""))</f>
        <v/>
      </c>
      <c r="C735" s="8">
        <f>IF($F735=1,$H735,"")</f>
        <v/>
      </c>
      <c r="D735" s="7">
        <f>IF($A735="","",IF($F735=0,"Biçim hatalı",IF(FIND(MID($B735,11,1),"0123456789")-1=$H735,"Geçerli","Kontrol hanesi hatalı (doğrusu: "&amp;$H735&amp;")")))</f>
        <v/>
      </c>
      <c r="F735">
        <f>IF($A735="","",IF(AND(LEN($B735)=11,SUMPRODUCT(--ISNUMBER(FIND(MID($B735,{1,2,3,4,5,6,7,8,9,10,11},1),"0123456789")))=11),1,0))</f>
        <v/>
      </c>
      <c r="G735">
        <f>IF($F735=1,VALUE(MID($B735,4,7)),"")</f>
        <v/>
      </c>
      <c r="H735">
        <f>IF($F735=1,MOD($G735,7),"")</f>
        <v/>
      </c>
    </row>
    <row r="736">
      <c r="A736" s="6" t="n"/>
      <c r="B736" s="7">
        <f>IF($A736="","",SUBSTITUTE(SUBSTITUTE(SUBSTITUTE(SUBSTITUTE($A736," ",""),"-",""),".",""),"/",""))</f>
        <v/>
      </c>
      <c r="C736" s="8">
        <f>IF($F736=1,$H736,"")</f>
        <v/>
      </c>
      <c r="D736" s="7">
        <f>IF($A736="","",IF($F736=0,"Biçim hatalı",IF(FIND(MID($B736,11,1),"0123456789")-1=$H736,"Geçerli","Kontrol hanesi hatalı (doğrusu: "&amp;$H736&amp;")")))</f>
        <v/>
      </c>
      <c r="F736">
        <f>IF($A736="","",IF(AND(LEN($B736)=11,SUMPRODUCT(--ISNUMBER(FIND(MID($B736,{1,2,3,4,5,6,7,8,9,10,11},1),"0123456789")))=11),1,0))</f>
        <v/>
      </c>
      <c r="G736">
        <f>IF($F736=1,VALUE(MID($B736,4,7)),"")</f>
        <v/>
      </c>
      <c r="H736">
        <f>IF($F736=1,MOD($G736,7),"")</f>
        <v/>
      </c>
    </row>
    <row r="737">
      <c r="A737" s="6" t="n"/>
      <c r="B737" s="7">
        <f>IF($A737="","",SUBSTITUTE(SUBSTITUTE(SUBSTITUTE(SUBSTITUTE($A737," ",""),"-",""),".",""),"/",""))</f>
        <v/>
      </c>
      <c r="C737" s="8">
        <f>IF($F737=1,$H737,"")</f>
        <v/>
      </c>
      <c r="D737" s="7">
        <f>IF($A737="","",IF($F737=0,"Biçim hatalı",IF(FIND(MID($B737,11,1),"0123456789")-1=$H737,"Geçerli","Kontrol hanesi hatalı (doğrusu: "&amp;$H737&amp;")")))</f>
        <v/>
      </c>
      <c r="F737">
        <f>IF($A737="","",IF(AND(LEN($B737)=11,SUMPRODUCT(--ISNUMBER(FIND(MID($B737,{1,2,3,4,5,6,7,8,9,10,11},1),"0123456789")))=11),1,0))</f>
        <v/>
      </c>
      <c r="G737">
        <f>IF($F737=1,VALUE(MID($B737,4,7)),"")</f>
        <v/>
      </c>
      <c r="H737">
        <f>IF($F737=1,MOD($G737,7),"")</f>
        <v/>
      </c>
    </row>
    <row r="738">
      <c r="A738" s="6" t="n"/>
      <c r="B738" s="7">
        <f>IF($A738="","",SUBSTITUTE(SUBSTITUTE(SUBSTITUTE(SUBSTITUTE($A738," ",""),"-",""),".",""),"/",""))</f>
        <v/>
      </c>
      <c r="C738" s="8">
        <f>IF($F738=1,$H738,"")</f>
        <v/>
      </c>
      <c r="D738" s="7">
        <f>IF($A738="","",IF($F738=0,"Biçim hatalı",IF(FIND(MID($B738,11,1),"0123456789")-1=$H738,"Geçerli","Kontrol hanesi hatalı (doğrusu: "&amp;$H738&amp;")")))</f>
        <v/>
      </c>
      <c r="F738">
        <f>IF($A738="","",IF(AND(LEN($B738)=11,SUMPRODUCT(--ISNUMBER(FIND(MID($B738,{1,2,3,4,5,6,7,8,9,10,11},1),"0123456789")))=11),1,0))</f>
        <v/>
      </c>
      <c r="G738">
        <f>IF($F738=1,VALUE(MID($B738,4,7)),"")</f>
        <v/>
      </c>
      <c r="H738">
        <f>IF($F738=1,MOD($G738,7),"")</f>
        <v/>
      </c>
    </row>
    <row r="739">
      <c r="A739" s="6" t="n"/>
      <c r="B739" s="7">
        <f>IF($A739="","",SUBSTITUTE(SUBSTITUTE(SUBSTITUTE(SUBSTITUTE($A739," ",""),"-",""),".",""),"/",""))</f>
        <v/>
      </c>
      <c r="C739" s="8">
        <f>IF($F739=1,$H739,"")</f>
        <v/>
      </c>
      <c r="D739" s="7">
        <f>IF($A739="","",IF($F739=0,"Biçim hatalı",IF(FIND(MID($B739,11,1),"0123456789")-1=$H739,"Geçerli","Kontrol hanesi hatalı (doğrusu: "&amp;$H739&amp;")")))</f>
        <v/>
      </c>
      <c r="F739">
        <f>IF($A739="","",IF(AND(LEN($B739)=11,SUMPRODUCT(--ISNUMBER(FIND(MID($B739,{1,2,3,4,5,6,7,8,9,10,11},1),"0123456789")))=11),1,0))</f>
        <v/>
      </c>
      <c r="G739">
        <f>IF($F739=1,VALUE(MID($B739,4,7)),"")</f>
        <v/>
      </c>
      <c r="H739">
        <f>IF($F739=1,MOD($G739,7),"")</f>
        <v/>
      </c>
    </row>
    <row r="740">
      <c r="A740" s="6" t="n"/>
      <c r="B740" s="7">
        <f>IF($A740="","",SUBSTITUTE(SUBSTITUTE(SUBSTITUTE(SUBSTITUTE($A740," ",""),"-",""),".",""),"/",""))</f>
        <v/>
      </c>
      <c r="C740" s="8">
        <f>IF($F740=1,$H740,"")</f>
        <v/>
      </c>
      <c r="D740" s="7">
        <f>IF($A740="","",IF($F740=0,"Biçim hatalı",IF(FIND(MID($B740,11,1),"0123456789")-1=$H740,"Geçerli","Kontrol hanesi hatalı (doğrusu: "&amp;$H740&amp;")")))</f>
        <v/>
      </c>
      <c r="F740">
        <f>IF($A740="","",IF(AND(LEN($B740)=11,SUMPRODUCT(--ISNUMBER(FIND(MID($B740,{1,2,3,4,5,6,7,8,9,10,11},1),"0123456789")))=11),1,0))</f>
        <v/>
      </c>
      <c r="G740">
        <f>IF($F740=1,VALUE(MID($B740,4,7)),"")</f>
        <v/>
      </c>
      <c r="H740">
        <f>IF($F740=1,MOD($G740,7),"")</f>
        <v/>
      </c>
    </row>
    <row r="741">
      <c r="A741" s="6" t="n"/>
      <c r="B741" s="7">
        <f>IF($A741="","",SUBSTITUTE(SUBSTITUTE(SUBSTITUTE(SUBSTITUTE($A741," ",""),"-",""),".",""),"/",""))</f>
        <v/>
      </c>
      <c r="C741" s="8">
        <f>IF($F741=1,$H741,"")</f>
        <v/>
      </c>
      <c r="D741" s="7">
        <f>IF($A741="","",IF($F741=0,"Biçim hatalı",IF(FIND(MID($B741,11,1),"0123456789")-1=$H741,"Geçerli","Kontrol hanesi hatalı (doğrusu: "&amp;$H741&amp;")")))</f>
        <v/>
      </c>
      <c r="F741">
        <f>IF($A741="","",IF(AND(LEN($B741)=11,SUMPRODUCT(--ISNUMBER(FIND(MID($B741,{1,2,3,4,5,6,7,8,9,10,11},1),"0123456789")))=11),1,0))</f>
        <v/>
      </c>
      <c r="G741">
        <f>IF($F741=1,VALUE(MID($B741,4,7)),"")</f>
        <v/>
      </c>
      <c r="H741">
        <f>IF($F741=1,MOD($G741,7),"")</f>
        <v/>
      </c>
    </row>
    <row r="742">
      <c r="A742" s="6" t="n"/>
      <c r="B742" s="7">
        <f>IF($A742="","",SUBSTITUTE(SUBSTITUTE(SUBSTITUTE(SUBSTITUTE($A742," ",""),"-",""),".",""),"/",""))</f>
        <v/>
      </c>
      <c r="C742" s="8">
        <f>IF($F742=1,$H742,"")</f>
        <v/>
      </c>
      <c r="D742" s="7">
        <f>IF($A742="","",IF($F742=0,"Biçim hatalı",IF(FIND(MID($B742,11,1),"0123456789")-1=$H742,"Geçerli","Kontrol hanesi hatalı (doğrusu: "&amp;$H742&amp;")")))</f>
        <v/>
      </c>
      <c r="F742">
        <f>IF($A742="","",IF(AND(LEN($B742)=11,SUMPRODUCT(--ISNUMBER(FIND(MID($B742,{1,2,3,4,5,6,7,8,9,10,11},1),"0123456789")))=11),1,0))</f>
        <v/>
      </c>
      <c r="G742">
        <f>IF($F742=1,VALUE(MID($B742,4,7)),"")</f>
        <v/>
      </c>
      <c r="H742">
        <f>IF($F742=1,MOD($G742,7),"")</f>
        <v/>
      </c>
    </row>
    <row r="743">
      <c r="A743" s="6" t="n"/>
      <c r="B743" s="7">
        <f>IF($A743="","",SUBSTITUTE(SUBSTITUTE(SUBSTITUTE(SUBSTITUTE($A743," ",""),"-",""),".",""),"/",""))</f>
        <v/>
      </c>
      <c r="C743" s="8">
        <f>IF($F743=1,$H743,"")</f>
        <v/>
      </c>
      <c r="D743" s="7">
        <f>IF($A743="","",IF($F743=0,"Biçim hatalı",IF(FIND(MID($B743,11,1),"0123456789")-1=$H743,"Geçerli","Kontrol hanesi hatalı (doğrusu: "&amp;$H743&amp;")")))</f>
        <v/>
      </c>
      <c r="F743">
        <f>IF($A743="","",IF(AND(LEN($B743)=11,SUMPRODUCT(--ISNUMBER(FIND(MID($B743,{1,2,3,4,5,6,7,8,9,10,11},1),"0123456789")))=11),1,0))</f>
        <v/>
      </c>
      <c r="G743">
        <f>IF($F743=1,VALUE(MID($B743,4,7)),"")</f>
        <v/>
      </c>
      <c r="H743">
        <f>IF($F743=1,MOD($G743,7),"")</f>
        <v/>
      </c>
    </row>
    <row r="744">
      <c r="A744" s="6" t="n"/>
      <c r="B744" s="7">
        <f>IF($A744="","",SUBSTITUTE(SUBSTITUTE(SUBSTITUTE(SUBSTITUTE($A744," ",""),"-",""),".",""),"/",""))</f>
        <v/>
      </c>
      <c r="C744" s="8">
        <f>IF($F744=1,$H744,"")</f>
        <v/>
      </c>
      <c r="D744" s="7">
        <f>IF($A744="","",IF($F744=0,"Biçim hatalı",IF(FIND(MID($B744,11,1),"0123456789")-1=$H744,"Geçerli","Kontrol hanesi hatalı (doğrusu: "&amp;$H744&amp;")")))</f>
        <v/>
      </c>
      <c r="F744">
        <f>IF($A744="","",IF(AND(LEN($B744)=11,SUMPRODUCT(--ISNUMBER(FIND(MID($B744,{1,2,3,4,5,6,7,8,9,10,11},1),"0123456789")))=11),1,0))</f>
        <v/>
      </c>
      <c r="G744">
        <f>IF($F744=1,VALUE(MID($B744,4,7)),"")</f>
        <v/>
      </c>
      <c r="H744">
        <f>IF($F744=1,MOD($G744,7),"")</f>
        <v/>
      </c>
    </row>
    <row r="745">
      <c r="A745" s="6" t="n"/>
      <c r="B745" s="7">
        <f>IF($A745="","",SUBSTITUTE(SUBSTITUTE(SUBSTITUTE(SUBSTITUTE($A745," ",""),"-",""),".",""),"/",""))</f>
        <v/>
      </c>
      <c r="C745" s="8">
        <f>IF($F745=1,$H745,"")</f>
        <v/>
      </c>
      <c r="D745" s="7">
        <f>IF($A745="","",IF($F745=0,"Biçim hatalı",IF(FIND(MID($B745,11,1),"0123456789")-1=$H745,"Geçerli","Kontrol hanesi hatalı (doğrusu: "&amp;$H745&amp;")")))</f>
        <v/>
      </c>
      <c r="F745">
        <f>IF($A745="","",IF(AND(LEN($B745)=11,SUMPRODUCT(--ISNUMBER(FIND(MID($B745,{1,2,3,4,5,6,7,8,9,10,11},1),"0123456789")))=11),1,0))</f>
        <v/>
      </c>
      <c r="G745">
        <f>IF($F745=1,VALUE(MID($B745,4,7)),"")</f>
        <v/>
      </c>
      <c r="H745">
        <f>IF($F745=1,MOD($G745,7),"")</f>
        <v/>
      </c>
    </row>
    <row r="746">
      <c r="A746" s="6" t="n"/>
      <c r="B746" s="7">
        <f>IF($A746="","",SUBSTITUTE(SUBSTITUTE(SUBSTITUTE(SUBSTITUTE($A746," ",""),"-",""),".",""),"/",""))</f>
        <v/>
      </c>
      <c r="C746" s="8">
        <f>IF($F746=1,$H746,"")</f>
        <v/>
      </c>
      <c r="D746" s="7">
        <f>IF($A746="","",IF($F746=0,"Biçim hatalı",IF(FIND(MID($B746,11,1),"0123456789")-1=$H746,"Geçerli","Kontrol hanesi hatalı (doğrusu: "&amp;$H746&amp;")")))</f>
        <v/>
      </c>
      <c r="F746">
        <f>IF($A746="","",IF(AND(LEN($B746)=11,SUMPRODUCT(--ISNUMBER(FIND(MID($B746,{1,2,3,4,5,6,7,8,9,10,11},1),"0123456789")))=11),1,0))</f>
        <v/>
      </c>
      <c r="G746">
        <f>IF($F746=1,VALUE(MID($B746,4,7)),"")</f>
        <v/>
      </c>
      <c r="H746">
        <f>IF($F746=1,MOD($G746,7),"")</f>
        <v/>
      </c>
    </row>
    <row r="747">
      <c r="A747" s="6" t="n"/>
      <c r="B747" s="7">
        <f>IF($A747="","",SUBSTITUTE(SUBSTITUTE(SUBSTITUTE(SUBSTITUTE($A747," ",""),"-",""),".",""),"/",""))</f>
        <v/>
      </c>
      <c r="C747" s="8">
        <f>IF($F747=1,$H747,"")</f>
        <v/>
      </c>
      <c r="D747" s="7">
        <f>IF($A747="","",IF($F747=0,"Biçim hatalı",IF(FIND(MID($B747,11,1),"0123456789")-1=$H747,"Geçerli","Kontrol hanesi hatalı (doğrusu: "&amp;$H747&amp;")")))</f>
        <v/>
      </c>
      <c r="F747">
        <f>IF($A747="","",IF(AND(LEN($B747)=11,SUMPRODUCT(--ISNUMBER(FIND(MID($B747,{1,2,3,4,5,6,7,8,9,10,11},1),"0123456789")))=11),1,0))</f>
        <v/>
      </c>
      <c r="G747">
        <f>IF($F747=1,VALUE(MID($B747,4,7)),"")</f>
        <v/>
      </c>
      <c r="H747">
        <f>IF($F747=1,MOD($G747,7),"")</f>
        <v/>
      </c>
    </row>
    <row r="748">
      <c r="A748" s="6" t="n"/>
      <c r="B748" s="7">
        <f>IF($A748="","",SUBSTITUTE(SUBSTITUTE(SUBSTITUTE(SUBSTITUTE($A748," ",""),"-",""),".",""),"/",""))</f>
        <v/>
      </c>
      <c r="C748" s="8">
        <f>IF($F748=1,$H748,"")</f>
        <v/>
      </c>
      <c r="D748" s="7">
        <f>IF($A748="","",IF($F748=0,"Biçim hatalı",IF(FIND(MID($B748,11,1),"0123456789")-1=$H748,"Geçerli","Kontrol hanesi hatalı (doğrusu: "&amp;$H748&amp;")")))</f>
        <v/>
      </c>
      <c r="F748">
        <f>IF($A748="","",IF(AND(LEN($B748)=11,SUMPRODUCT(--ISNUMBER(FIND(MID($B748,{1,2,3,4,5,6,7,8,9,10,11},1),"0123456789")))=11),1,0))</f>
        <v/>
      </c>
      <c r="G748">
        <f>IF($F748=1,VALUE(MID($B748,4,7)),"")</f>
        <v/>
      </c>
      <c r="H748">
        <f>IF($F748=1,MOD($G748,7),"")</f>
        <v/>
      </c>
    </row>
    <row r="749">
      <c r="A749" s="6" t="n"/>
      <c r="B749" s="7">
        <f>IF($A749="","",SUBSTITUTE(SUBSTITUTE(SUBSTITUTE(SUBSTITUTE($A749," ",""),"-",""),".",""),"/",""))</f>
        <v/>
      </c>
      <c r="C749" s="8">
        <f>IF($F749=1,$H749,"")</f>
        <v/>
      </c>
      <c r="D749" s="7">
        <f>IF($A749="","",IF($F749=0,"Biçim hatalı",IF(FIND(MID($B749,11,1),"0123456789")-1=$H749,"Geçerli","Kontrol hanesi hatalı (doğrusu: "&amp;$H749&amp;")")))</f>
        <v/>
      </c>
      <c r="F749">
        <f>IF($A749="","",IF(AND(LEN($B749)=11,SUMPRODUCT(--ISNUMBER(FIND(MID($B749,{1,2,3,4,5,6,7,8,9,10,11},1),"0123456789")))=11),1,0))</f>
        <v/>
      </c>
      <c r="G749">
        <f>IF($F749=1,VALUE(MID($B749,4,7)),"")</f>
        <v/>
      </c>
      <c r="H749">
        <f>IF($F749=1,MOD($G749,7),"")</f>
        <v/>
      </c>
    </row>
    <row r="750">
      <c r="A750" s="6" t="n"/>
      <c r="B750" s="7">
        <f>IF($A750="","",SUBSTITUTE(SUBSTITUTE(SUBSTITUTE(SUBSTITUTE($A750," ",""),"-",""),".",""),"/",""))</f>
        <v/>
      </c>
      <c r="C750" s="8">
        <f>IF($F750=1,$H750,"")</f>
        <v/>
      </c>
      <c r="D750" s="7">
        <f>IF($A750="","",IF($F750=0,"Biçim hatalı",IF(FIND(MID($B750,11,1),"0123456789")-1=$H750,"Geçerli","Kontrol hanesi hatalı (doğrusu: "&amp;$H750&amp;")")))</f>
        <v/>
      </c>
      <c r="F750">
        <f>IF($A750="","",IF(AND(LEN($B750)=11,SUMPRODUCT(--ISNUMBER(FIND(MID($B750,{1,2,3,4,5,6,7,8,9,10,11},1),"0123456789")))=11),1,0))</f>
        <v/>
      </c>
      <c r="G750">
        <f>IF($F750=1,VALUE(MID($B750,4,7)),"")</f>
        <v/>
      </c>
      <c r="H750">
        <f>IF($F750=1,MOD($G750,7),"")</f>
        <v/>
      </c>
    </row>
    <row r="751">
      <c r="A751" s="6" t="n"/>
      <c r="B751" s="7">
        <f>IF($A751="","",SUBSTITUTE(SUBSTITUTE(SUBSTITUTE(SUBSTITUTE($A751," ",""),"-",""),".",""),"/",""))</f>
        <v/>
      </c>
      <c r="C751" s="8">
        <f>IF($F751=1,$H751,"")</f>
        <v/>
      </c>
      <c r="D751" s="7">
        <f>IF($A751="","",IF($F751=0,"Biçim hatalı",IF(FIND(MID($B751,11,1),"0123456789")-1=$H751,"Geçerli","Kontrol hanesi hatalı (doğrusu: "&amp;$H751&amp;")")))</f>
        <v/>
      </c>
      <c r="F751">
        <f>IF($A751="","",IF(AND(LEN($B751)=11,SUMPRODUCT(--ISNUMBER(FIND(MID($B751,{1,2,3,4,5,6,7,8,9,10,11},1),"0123456789")))=11),1,0))</f>
        <v/>
      </c>
      <c r="G751">
        <f>IF($F751=1,VALUE(MID($B751,4,7)),"")</f>
        <v/>
      </c>
      <c r="H751">
        <f>IF($F751=1,MOD($G751,7),"")</f>
        <v/>
      </c>
    </row>
    <row r="752">
      <c r="A752" s="6" t="n"/>
      <c r="B752" s="7">
        <f>IF($A752="","",SUBSTITUTE(SUBSTITUTE(SUBSTITUTE(SUBSTITUTE($A752," ",""),"-",""),".",""),"/",""))</f>
        <v/>
      </c>
      <c r="C752" s="8">
        <f>IF($F752=1,$H752,"")</f>
        <v/>
      </c>
      <c r="D752" s="7">
        <f>IF($A752="","",IF($F752=0,"Biçim hatalı",IF(FIND(MID($B752,11,1),"0123456789")-1=$H752,"Geçerli","Kontrol hanesi hatalı (doğrusu: "&amp;$H752&amp;")")))</f>
        <v/>
      </c>
      <c r="F752">
        <f>IF($A752="","",IF(AND(LEN($B752)=11,SUMPRODUCT(--ISNUMBER(FIND(MID($B752,{1,2,3,4,5,6,7,8,9,10,11},1),"0123456789")))=11),1,0))</f>
        <v/>
      </c>
      <c r="G752">
        <f>IF($F752=1,VALUE(MID($B752,4,7)),"")</f>
        <v/>
      </c>
      <c r="H752">
        <f>IF($F752=1,MOD($G752,7),"")</f>
        <v/>
      </c>
    </row>
    <row r="753">
      <c r="A753" s="6" t="n"/>
      <c r="B753" s="7">
        <f>IF($A753="","",SUBSTITUTE(SUBSTITUTE(SUBSTITUTE(SUBSTITUTE($A753," ",""),"-",""),".",""),"/",""))</f>
        <v/>
      </c>
      <c r="C753" s="8">
        <f>IF($F753=1,$H753,"")</f>
        <v/>
      </c>
      <c r="D753" s="7">
        <f>IF($A753="","",IF($F753=0,"Biçim hatalı",IF(FIND(MID($B753,11,1),"0123456789")-1=$H753,"Geçerli","Kontrol hanesi hatalı (doğrusu: "&amp;$H753&amp;")")))</f>
        <v/>
      </c>
      <c r="F753">
        <f>IF($A753="","",IF(AND(LEN($B753)=11,SUMPRODUCT(--ISNUMBER(FIND(MID($B753,{1,2,3,4,5,6,7,8,9,10,11},1),"0123456789")))=11),1,0))</f>
        <v/>
      </c>
      <c r="G753">
        <f>IF($F753=1,VALUE(MID($B753,4,7)),"")</f>
        <v/>
      </c>
      <c r="H753">
        <f>IF($F753=1,MOD($G753,7),"")</f>
        <v/>
      </c>
    </row>
    <row r="754">
      <c r="A754" s="6" t="n"/>
      <c r="B754" s="7">
        <f>IF($A754="","",SUBSTITUTE(SUBSTITUTE(SUBSTITUTE(SUBSTITUTE($A754," ",""),"-",""),".",""),"/",""))</f>
        <v/>
      </c>
      <c r="C754" s="8">
        <f>IF($F754=1,$H754,"")</f>
        <v/>
      </c>
      <c r="D754" s="7">
        <f>IF($A754="","",IF($F754=0,"Biçim hatalı",IF(FIND(MID($B754,11,1),"0123456789")-1=$H754,"Geçerli","Kontrol hanesi hatalı (doğrusu: "&amp;$H754&amp;")")))</f>
        <v/>
      </c>
      <c r="F754">
        <f>IF($A754="","",IF(AND(LEN($B754)=11,SUMPRODUCT(--ISNUMBER(FIND(MID($B754,{1,2,3,4,5,6,7,8,9,10,11},1),"0123456789")))=11),1,0))</f>
        <v/>
      </c>
      <c r="G754">
        <f>IF($F754=1,VALUE(MID($B754,4,7)),"")</f>
        <v/>
      </c>
      <c r="H754">
        <f>IF($F754=1,MOD($G754,7),"")</f>
        <v/>
      </c>
    </row>
    <row r="755">
      <c r="A755" s="6" t="n"/>
      <c r="B755" s="7">
        <f>IF($A755="","",SUBSTITUTE(SUBSTITUTE(SUBSTITUTE(SUBSTITUTE($A755," ",""),"-",""),".",""),"/",""))</f>
        <v/>
      </c>
      <c r="C755" s="8">
        <f>IF($F755=1,$H755,"")</f>
        <v/>
      </c>
      <c r="D755" s="7">
        <f>IF($A755="","",IF($F755=0,"Biçim hatalı",IF(FIND(MID($B755,11,1),"0123456789")-1=$H755,"Geçerli","Kontrol hanesi hatalı (doğrusu: "&amp;$H755&amp;")")))</f>
        <v/>
      </c>
      <c r="F755">
        <f>IF($A755="","",IF(AND(LEN($B755)=11,SUMPRODUCT(--ISNUMBER(FIND(MID($B755,{1,2,3,4,5,6,7,8,9,10,11},1),"0123456789")))=11),1,0))</f>
        <v/>
      </c>
      <c r="G755">
        <f>IF($F755=1,VALUE(MID($B755,4,7)),"")</f>
        <v/>
      </c>
      <c r="H755">
        <f>IF($F755=1,MOD($G755,7),"")</f>
        <v/>
      </c>
    </row>
    <row r="756">
      <c r="A756" s="6" t="n"/>
      <c r="B756" s="7">
        <f>IF($A756="","",SUBSTITUTE(SUBSTITUTE(SUBSTITUTE(SUBSTITUTE($A756," ",""),"-",""),".",""),"/",""))</f>
        <v/>
      </c>
      <c r="C756" s="8">
        <f>IF($F756=1,$H756,"")</f>
        <v/>
      </c>
      <c r="D756" s="7">
        <f>IF($A756="","",IF($F756=0,"Biçim hatalı",IF(FIND(MID($B756,11,1),"0123456789")-1=$H756,"Geçerli","Kontrol hanesi hatalı (doğrusu: "&amp;$H756&amp;")")))</f>
        <v/>
      </c>
      <c r="F756">
        <f>IF($A756="","",IF(AND(LEN($B756)=11,SUMPRODUCT(--ISNUMBER(FIND(MID($B756,{1,2,3,4,5,6,7,8,9,10,11},1),"0123456789")))=11),1,0))</f>
        <v/>
      </c>
      <c r="G756">
        <f>IF($F756=1,VALUE(MID($B756,4,7)),"")</f>
        <v/>
      </c>
      <c r="H756">
        <f>IF($F756=1,MOD($G756,7),"")</f>
        <v/>
      </c>
    </row>
    <row r="757">
      <c r="A757" s="6" t="n"/>
      <c r="B757" s="7">
        <f>IF($A757="","",SUBSTITUTE(SUBSTITUTE(SUBSTITUTE(SUBSTITUTE($A757," ",""),"-",""),".",""),"/",""))</f>
        <v/>
      </c>
      <c r="C757" s="8">
        <f>IF($F757=1,$H757,"")</f>
        <v/>
      </c>
      <c r="D757" s="7">
        <f>IF($A757="","",IF($F757=0,"Biçim hatalı",IF(FIND(MID($B757,11,1),"0123456789")-1=$H757,"Geçerli","Kontrol hanesi hatalı (doğrusu: "&amp;$H757&amp;")")))</f>
        <v/>
      </c>
      <c r="F757">
        <f>IF($A757="","",IF(AND(LEN($B757)=11,SUMPRODUCT(--ISNUMBER(FIND(MID($B757,{1,2,3,4,5,6,7,8,9,10,11},1),"0123456789")))=11),1,0))</f>
        <v/>
      </c>
      <c r="G757">
        <f>IF($F757=1,VALUE(MID($B757,4,7)),"")</f>
        <v/>
      </c>
      <c r="H757">
        <f>IF($F757=1,MOD($G757,7),"")</f>
        <v/>
      </c>
    </row>
    <row r="758">
      <c r="A758" s="6" t="n"/>
      <c r="B758" s="7">
        <f>IF($A758="","",SUBSTITUTE(SUBSTITUTE(SUBSTITUTE(SUBSTITUTE($A758," ",""),"-",""),".",""),"/",""))</f>
        <v/>
      </c>
      <c r="C758" s="8">
        <f>IF($F758=1,$H758,"")</f>
        <v/>
      </c>
      <c r="D758" s="7">
        <f>IF($A758="","",IF($F758=0,"Biçim hatalı",IF(FIND(MID($B758,11,1),"0123456789")-1=$H758,"Geçerli","Kontrol hanesi hatalı (doğrusu: "&amp;$H758&amp;")")))</f>
        <v/>
      </c>
      <c r="F758">
        <f>IF($A758="","",IF(AND(LEN($B758)=11,SUMPRODUCT(--ISNUMBER(FIND(MID($B758,{1,2,3,4,5,6,7,8,9,10,11},1),"0123456789")))=11),1,0))</f>
        <v/>
      </c>
      <c r="G758">
        <f>IF($F758=1,VALUE(MID($B758,4,7)),"")</f>
        <v/>
      </c>
      <c r="H758">
        <f>IF($F758=1,MOD($G758,7),"")</f>
        <v/>
      </c>
    </row>
    <row r="759">
      <c r="A759" s="6" t="n"/>
      <c r="B759" s="7">
        <f>IF($A759="","",SUBSTITUTE(SUBSTITUTE(SUBSTITUTE(SUBSTITUTE($A759," ",""),"-",""),".",""),"/",""))</f>
        <v/>
      </c>
      <c r="C759" s="8">
        <f>IF($F759=1,$H759,"")</f>
        <v/>
      </c>
      <c r="D759" s="7">
        <f>IF($A759="","",IF($F759=0,"Biçim hatalı",IF(FIND(MID($B759,11,1),"0123456789")-1=$H759,"Geçerli","Kontrol hanesi hatalı (doğrusu: "&amp;$H759&amp;")")))</f>
        <v/>
      </c>
      <c r="F759">
        <f>IF($A759="","",IF(AND(LEN($B759)=11,SUMPRODUCT(--ISNUMBER(FIND(MID($B759,{1,2,3,4,5,6,7,8,9,10,11},1),"0123456789")))=11),1,0))</f>
        <v/>
      </c>
      <c r="G759">
        <f>IF($F759=1,VALUE(MID($B759,4,7)),"")</f>
        <v/>
      </c>
      <c r="H759">
        <f>IF($F759=1,MOD($G759,7),"")</f>
        <v/>
      </c>
    </row>
    <row r="760">
      <c r="A760" s="6" t="n"/>
      <c r="B760" s="7">
        <f>IF($A760="","",SUBSTITUTE(SUBSTITUTE(SUBSTITUTE(SUBSTITUTE($A760," ",""),"-",""),".",""),"/",""))</f>
        <v/>
      </c>
      <c r="C760" s="8">
        <f>IF($F760=1,$H760,"")</f>
        <v/>
      </c>
      <c r="D760" s="7">
        <f>IF($A760="","",IF($F760=0,"Biçim hatalı",IF(FIND(MID($B760,11,1),"0123456789")-1=$H760,"Geçerli","Kontrol hanesi hatalı (doğrusu: "&amp;$H760&amp;")")))</f>
        <v/>
      </c>
      <c r="F760">
        <f>IF($A760="","",IF(AND(LEN($B760)=11,SUMPRODUCT(--ISNUMBER(FIND(MID($B760,{1,2,3,4,5,6,7,8,9,10,11},1),"0123456789")))=11),1,0))</f>
        <v/>
      </c>
      <c r="G760">
        <f>IF($F760=1,VALUE(MID($B760,4,7)),"")</f>
        <v/>
      </c>
      <c r="H760">
        <f>IF($F760=1,MOD($G760,7),"")</f>
        <v/>
      </c>
    </row>
    <row r="761">
      <c r="A761" s="6" t="n"/>
      <c r="B761" s="7">
        <f>IF($A761="","",SUBSTITUTE(SUBSTITUTE(SUBSTITUTE(SUBSTITUTE($A761," ",""),"-",""),".",""),"/",""))</f>
        <v/>
      </c>
      <c r="C761" s="8">
        <f>IF($F761=1,$H761,"")</f>
        <v/>
      </c>
      <c r="D761" s="7">
        <f>IF($A761="","",IF($F761=0,"Biçim hatalı",IF(FIND(MID($B761,11,1),"0123456789")-1=$H761,"Geçerli","Kontrol hanesi hatalı (doğrusu: "&amp;$H761&amp;")")))</f>
        <v/>
      </c>
      <c r="F761">
        <f>IF($A761="","",IF(AND(LEN($B761)=11,SUMPRODUCT(--ISNUMBER(FIND(MID($B761,{1,2,3,4,5,6,7,8,9,10,11},1),"0123456789")))=11),1,0))</f>
        <v/>
      </c>
      <c r="G761">
        <f>IF($F761=1,VALUE(MID($B761,4,7)),"")</f>
        <v/>
      </c>
      <c r="H761">
        <f>IF($F761=1,MOD($G761,7),"")</f>
        <v/>
      </c>
    </row>
    <row r="762">
      <c r="A762" s="6" t="n"/>
      <c r="B762" s="7">
        <f>IF($A762="","",SUBSTITUTE(SUBSTITUTE(SUBSTITUTE(SUBSTITUTE($A762," ",""),"-",""),".",""),"/",""))</f>
        <v/>
      </c>
      <c r="C762" s="8">
        <f>IF($F762=1,$H762,"")</f>
        <v/>
      </c>
      <c r="D762" s="7">
        <f>IF($A762="","",IF($F762=0,"Biçim hatalı",IF(FIND(MID($B762,11,1),"0123456789")-1=$H762,"Geçerli","Kontrol hanesi hatalı (doğrusu: "&amp;$H762&amp;")")))</f>
        <v/>
      </c>
      <c r="F762">
        <f>IF($A762="","",IF(AND(LEN($B762)=11,SUMPRODUCT(--ISNUMBER(FIND(MID($B762,{1,2,3,4,5,6,7,8,9,10,11},1),"0123456789")))=11),1,0))</f>
        <v/>
      </c>
      <c r="G762">
        <f>IF($F762=1,VALUE(MID($B762,4,7)),"")</f>
        <v/>
      </c>
      <c r="H762">
        <f>IF($F762=1,MOD($G762,7),"")</f>
        <v/>
      </c>
    </row>
    <row r="763">
      <c r="A763" s="6" t="n"/>
      <c r="B763" s="7">
        <f>IF($A763="","",SUBSTITUTE(SUBSTITUTE(SUBSTITUTE(SUBSTITUTE($A763," ",""),"-",""),".",""),"/",""))</f>
        <v/>
      </c>
      <c r="C763" s="8">
        <f>IF($F763=1,$H763,"")</f>
        <v/>
      </c>
      <c r="D763" s="7">
        <f>IF($A763="","",IF($F763=0,"Biçim hatalı",IF(FIND(MID($B763,11,1),"0123456789")-1=$H763,"Geçerli","Kontrol hanesi hatalı (doğrusu: "&amp;$H763&amp;")")))</f>
        <v/>
      </c>
      <c r="F763">
        <f>IF($A763="","",IF(AND(LEN($B763)=11,SUMPRODUCT(--ISNUMBER(FIND(MID($B763,{1,2,3,4,5,6,7,8,9,10,11},1),"0123456789")))=11),1,0))</f>
        <v/>
      </c>
      <c r="G763">
        <f>IF($F763=1,VALUE(MID($B763,4,7)),"")</f>
        <v/>
      </c>
      <c r="H763">
        <f>IF($F763=1,MOD($G763,7),"")</f>
        <v/>
      </c>
    </row>
    <row r="764">
      <c r="A764" s="6" t="n"/>
      <c r="B764" s="7">
        <f>IF($A764="","",SUBSTITUTE(SUBSTITUTE(SUBSTITUTE(SUBSTITUTE($A764," ",""),"-",""),".",""),"/",""))</f>
        <v/>
      </c>
      <c r="C764" s="8">
        <f>IF($F764=1,$H764,"")</f>
        <v/>
      </c>
      <c r="D764" s="7">
        <f>IF($A764="","",IF($F764=0,"Biçim hatalı",IF(FIND(MID($B764,11,1),"0123456789")-1=$H764,"Geçerli","Kontrol hanesi hatalı (doğrusu: "&amp;$H764&amp;")")))</f>
        <v/>
      </c>
      <c r="F764">
        <f>IF($A764="","",IF(AND(LEN($B764)=11,SUMPRODUCT(--ISNUMBER(FIND(MID($B764,{1,2,3,4,5,6,7,8,9,10,11},1),"0123456789")))=11),1,0))</f>
        <v/>
      </c>
      <c r="G764">
        <f>IF($F764=1,VALUE(MID($B764,4,7)),"")</f>
        <v/>
      </c>
      <c r="H764">
        <f>IF($F764=1,MOD($G764,7),"")</f>
        <v/>
      </c>
    </row>
    <row r="765">
      <c r="A765" s="6" t="n"/>
      <c r="B765" s="7">
        <f>IF($A765="","",SUBSTITUTE(SUBSTITUTE(SUBSTITUTE(SUBSTITUTE($A765," ",""),"-",""),".",""),"/",""))</f>
        <v/>
      </c>
      <c r="C765" s="8">
        <f>IF($F765=1,$H765,"")</f>
        <v/>
      </c>
      <c r="D765" s="7">
        <f>IF($A765="","",IF($F765=0,"Biçim hatalı",IF(FIND(MID($B765,11,1),"0123456789")-1=$H765,"Geçerli","Kontrol hanesi hatalı (doğrusu: "&amp;$H765&amp;")")))</f>
        <v/>
      </c>
      <c r="F765">
        <f>IF($A765="","",IF(AND(LEN($B765)=11,SUMPRODUCT(--ISNUMBER(FIND(MID($B765,{1,2,3,4,5,6,7,8,9,10,11},1),"0123456789")))=11),1,0))</f>
        <v/>
      </c>
      <c r="G765">
        <f>IF($F765=1,VALUE(MID($B765,4,7)),"")</f>
        <v/>
      </c>
      <c r="H765">
        <f>IF($F765=1,MOD($G765,7),"")</f>
        <v/>
      </c>
    </row>
    <row r="766">
      <c r="A766" s="6" t="n"/>
      <c r="B766" s="7">
        <f>IF($A766="","",SUBSTITUTE(SUBSTITUTE(SUBSTITUTE(SUBSTITUTE($A766," ",""),"-",""),".",""),"/",""))</f>
        <v/>
      </c>
      <c r="C766" s="8">
        <f>IF($F766=1,$H766,"")</f>
        <v/>
      </c>
      <c r="D766" s="7">
        <f>IF($A766="","",IF($F766=0,"Biçim hatalı",IF(FIND(MID($B766,11,1),"0123456789")-1=$H766,"Geçerli","Kontrol hanesi hatalı (doğrusu: "&amp;$H766&amp;")")))</f>
        <v/>
      </c>
      <c r="F766">
        <f>IF($A766="","",IF(AND(LEN($B766)=11,SUMPRODUCT(--ISNUMBER(FIND(MID($B766,{1,2,3,4,5,6,7,8,9,10,11},1),"0123456789")))=11),1,0))</f>
        <v/>
      </c>
      <c r="G766">
        <f>IF($F766=1,VALUE(MID($B766,4,7)),"")</f>
        <v/>
      </c>
      <c r="H766">
        <f>IF($F766=1,MOD($G766,7),"")</f>
        <v/>
      </c>
    </row>
    <row r="767">
      <c r="A767" s="6" t="n"/>
      <c r="B767" s="7">
        <f>IF($A767="","",SUBSTITUTE(SUBSTITUTE(SUBSTITUTE(SUBSTITUTE($A767," ",""),"-",""),".",""),"/",""))</f>
        <v/>
      </c>
      <c r="C767" s="8">
        <f>IF($F767=1,$H767,"")</f>
        <v/>
      </c>
      <c r="D767" s="7">
        <f>IF($A767="","",IF($F767=0,"Biçim hatalı",IF(FIND(MID($B767,11,1),"0123456789")-1=$H767,"Geçerli","Kontrol hanesi hatalı (doğrusu: "&amp;$H767&amp;")")))</f>
        <v/>
      </c>
      <c r="F767">
        <f>IF($A767="","",IF(AND(LEN($B767)=11,SUMPRODUCT(--ISNUMBER(FIND(MID($B767,{1,2,3,4,5,6,7,8,9,10,11},1),"0123456789")))=11),1,0))</f>
        <v/>
      </c>
      <c r="G767">
        <f>IF($F767=1,VALUE(MID($B767,4,7)),"")</f>
        <v/>
      </c>
      <c r="H767">
        <f>IF($F767=1,MOD($G767,7),"")</f>
        <v/>
      </c>
    </row>
    <row r="768">
      <c r="A768" s="6" t="n"/>
      <c r="B768" s="7">
        <f>IF($A768="","",SUBSTITUTE(SUBSTITUTE(SUBSTITUTE(SUBSTITUTE($A768," ",""),"-",""),".",""),"/",""))</f>
        <v/>
      </c>
      <c r="C768" s="8">
        <f>IF($F768=1,$H768,"")</f>
        <v/>
      </c>
      <c r="D768" s="7">
        <f>IF($A768="","",IF($F768=0,"Biçim hatalı",IF(FIND(MID($B768,11,1),"0123456789")-1=$H768,"Geçerli","Kontrol hanesi hatalı (doğrusu: "&amp;$H768&amp;")")))</f>
        <v/>
      </c>
      <c r="F768">
        <f>IF($A768="","",IF(AND(LEN($B768)=11,SUMPRODUCT(--ISNUMBER(FIND(MID($B768,{1,2,3,4,5,6,7,8,9,10,11},1),"0123456789")))=11),1,0))</f>
        <v/>
      </c>
      <c r="G768">
        <f>IF($F768=1,VALUE(MID($B768,4,7)),"")</f>
        <v/>
      </c>
      <c r="H768">
        <f>IF($F768=1,MOD($G768,7),"")</f>
        <v/>
      </c>
    </row>
    <row r="769">
      <c r="A769" s="6" t="n"/>
      <c r="B769" s="7">
        <f>IF($A769="","",SUBSTITUTE(SUBSTITUTE(SUBSTITUTE(SUBSTITUTE($A769," ",""),"-",""),".",""),"/",""))</f>
        <v/>
      </c>
      <c r="C769" s="8">
        <f>IF($F769=1,$H769,"")</f>
        <v/>
      </c>
      <c r="D769" s="7">
        <f>IF($A769="","",IF($F769=0,"Biçim hatalı",IF(FIND(MID($B769,11,1),"0123456789")-1=$H769,"Geçerli","Kontrol hanesi hatalı (doğrusu: "&amp;$H769&amp;")")))</f>
        <v/>
      </c>
      <c r="F769">
        <f>IF($A769="","",IF(AND(LEN($B769)=11,SUMPRODUCT(--ISNUMBER(FIND(MID($B769,{1,2,3,4,5,6,7,8,9,10,11},1),"0123456789")))=11),1,0))</f>
        <v/>
      </c>
      <c r="G769">
        <f>IF($F769=1,VALUE(MID($B769,4,7)),"")</f>
        <v/>
      </c>
      <c r="H769">
        <f>IF($F769=1,MOD($G769,7),"")</f>
        <v/>
      </c>
    </row>
    <row r="770">
      <c r="A770" s="6" t="n"/>
      <c r="B770" s="7">
        <f>IF($A770="","",SUBSTITUTE(SUBSTITUTE(SUBSTITUTE(SUBSTITUTE($A770," ",""),"-",""),".",""),"/",""))</f>
        <v/>
      </c>
      <c r="C770" s="8">
        <f>IF($F770=1,$H770,"")</f>
        <v/>
      </c>
      <c r="D770" s="7">
        <f>IF($A770="","",IF($F770=0,"Biçim hatalı",IF(FIND(MID($B770,11,1),"0123456789")-1=$H770,"Geçerli","Kontrol hanesi hatalı (doğrusu: "&amp;$H770&amp;")")))</f>
        <v/>
      </c>
      <c r="F770">
        <f>IF($A770="","",IF(AND(LEN($B770)=11,SUMPRODUCT(--ISNUMBER(FIND(MID($B770,{1,2,3,4,5,6,7,8,9,10,11},1),"0123456789")))=11),1,0))</f>
        <v/>
      </c>
      <c r="G770">
        <f>IF($F770=1,VALUE(MID($B770,4,7)),"")</f>
        <v/>
      </c>
      <c r="H770">
        <f>IF($F770=1,MOD($G770,7),"")</f>
        <v/>
      </c>
    </row>
    <row r="771">
      <c r="A771" s="6" t="n"/>
      <c r="B771" s="7">
        <f>IF($A771="","",SUBSTITUTE(SUBSTITUTE(SUBSTITUTE(SUBSTITUTE($A771," ",""),"-",""),".",""),"/",""))</f>
        <v/>
      </c>
      <c r="C771" s="8">
        <f>IF($F771=1,$H771,"")</f>
        <v/>
      </c>
      <c r="D771" s="7">
        <f>IF($A771="","",IF($F771=0,"Biçim hatalı",IF(FIND(MID($B771,11,1),"0123456789")-1=$H771,"Geçerli","Kontrol hanesi hatalı (doğrusu: "&amp;$H771&amp;")")))</f>
        <v/>
      </c>
      <c r="F771">
        <f>IF($A771="","",IF(AND(LEN($B771)=11,SUMPRODUCT(--ISNUMBER(FIND(MID($B771,{1,2,3,4,5,6,7,8,9,10,11},1),"0123456789")))=11),1,0))</f>
        <v/>
      </c>
      <c r="G771">
        <f>IF($F771=1,VALUE(MID($B771,4,7)),"")</f>
        <v/>
      </c>
      <c r="H771">
        <f>IF($F771=1,MOD($G771,7),"")</f>
        <v/>
      </c>
    </row>
    <row r="772">
      <c r="A772" s="6" t="n"/>
      <c r="B772" s="7">
        <f>IF($A772="","",SUBSTITUTE(SUBSTITUTE(SUBSTITUTE(SUBSTITUTE($A772," ",""),"-",""),".",""),"/",""))</f>
        <v/>
      </c>
      <c r="C772" s="8">
        <f>IF($F772=1,$H772,"")</f>
        <v/>
      </c>
      <c r="D772" s="7">
        <f>IF($A772="","",IF($F772=0,"Biçim hatalı",IF(FIND(MID($B772,11,1),"0123456789")-1=$H772,"Geçerli","Kontrol hanesi hatalı (doğrusu: "&amp;$H772&amp;")")))</f>
        <v/>
      </c>
      <c r="F772">
        <f>IF($A772="","",IF(AND(LEN($B772)=11,SUMPRODUCT(--ISNUMBER(FIND(MID($B772,{1,2,3,4,5,6,7,8,9,10,11},1),"0123456789")))=11),1,0))</f>
        <v/>
      </c>
      <c r="G772">
        <f>IF($F772=1,VALUE(MID($B772,4,7)),"")</f>
        <v/>
      </c>
      <c r="H772">
        <f>IF($F772=1,MOD($G772,7),"")</f>
        <v/>
      </c>
    </row>
    <row r="773">
      <c r="A773" s="6" t="n"/>
      <c r="B773" s="7">
        <f>IF($A773="","",SUBSTITUTE(SUBSTITUTE(SUBSTITUTE(SUBSTITUTE($A773," ",""),"-",""),".",""),"/",""))</f>
        <v/>
      </c>
      <c r="C773" s="8">
        <f>IF($F773=1,$H773,"")</f>
        <v/>
      </c>
      <c r="D773" s="7">
        <f>IF($A773="","",IF($F773=0,"Biçim hatalı",IF(FIND(MID($B773,11,1),"0123456789")-1=$H773,"Geçerli","Kontrol hanesi hatalı (doğrusu: "&amp;$H773&amp;")")))</f>
        <v/>
      </c>
      <c r="F773">
        <f>IF($A773="","",IF(AND(LEN($B773)=11,SUMPRODUCT(--ISNUMBER(FIND(MID($B773,{1,2,3,4,5,6,7,8,9,10,11},1),"0123456789")))=11),1,0))</f>
        <v/>
      </c>
      <c r="G773">
        <f>IF($F773=1,VALUE(MID($B773,4,7)),"")</f>
        <v/>
      </c>
      <c r="H773">
        <f>IF($F773=1,MOD($G773,7),"")</f>
        <v/>
      </c>
    </row>
    <row r="774">
      <c r="A774" s="6" t="n"/>
      <c r="B774" s="7">
        <f>IF($A774="","",SUBSTITUTE(SUBSTITUTE(SUBSTITUTE(SUBSTITUTE($A774," ",""),"-",""),".",""),"/",""))</f>
        <v/>
      </c>
      <c r="C774" s="8">
        <f>IF($F774=1,$H774,"")</f>
        <v/>
      </c>
      <c r="D774" s="7">
        <f>IF($A774="","",IF($F774=0,"Biçim hatalı",IF(FIND(MID($B774,11,1),"0123456789")-1=$H774,"Geçerli","Kontrol hanesi hatalı (doğrusu: "&amp;$H774&amp;")")))</f>
        <v/>
      </c>
      <c r="F774">
        <f>IF($A774="","",IF(AND(LEN($B774)=11,SUMPRODUCT(--ISNUMBER(FIND(MID($B774,{1,2,3,4,5,6,7,8,9,10,11},1),"0123456789")))=11),1,0))</f>
        <v/>
      </c>
      <c r="G774">
        <f>IF($F774=1,VALUE(MID($B774,4,7)),"")</f>
        <v/>
      </c>
      <c r="H774">
        <f>IF($F774=1,MOD($G774,7),"")</f>
        <v/>
      </c>
    </row>
    <row r="775">
      <c r="A775" s="6" t="n"/>
      <c r="B775" s="7">
        <f>IF($A775="","",SUBSTITUTE(SUBSTITUTE(SUBSTITUTE(SUBSTITUTE($A775," ",""),"-",""),".",""),"/",""))</f>
        <v/>
      </c>
      <c r="C775" s="8">
        <f>IF($F775=1,$H775,"")</f>
        <v/>
      </c>
      <c r="D775" s="7">
        <f>IF($A775="","",IF($F775=0,"Biçim hatalı",IF(FIND(MID($B775,11,1),"0123456789")-1=$H775,"Geçerli","Kontrol hanesi hatalı (doğrusu: "&amp;$H775&amp;")")))</f>
        <v/>
      </c>
      <c r="F775">
        <f>IF($A775="","",IF(AND(LEN($B775)=11,SUMPRODUCT(--ISNUMBER(FIND(MID($B775,{1,2,3,4,5,6,7,8,9,10,11},1),"0123456789")))=11),1,0))</f>
        <v/>
      </c>
      <c r="G775">
        <f>IF($F775=1,VALUE(MID($B775,4,7)),"")</f>
        <v/>
      </c>
      <c r="H775">
        <f>IF($F775=1,MOD($G775,7),"")</f>
        <v/>
      </c>
    </row>
    <row r="776">
      <c r="A776" s="6" t="n"/>
      <c r="B776" s="7">
        <f>IF($A776="","",SUBSTITUTE(SUBSTITUTE(SUBSTITUTE(SUBSTITUTE($A776," ",""),"-",""),".",""),"/",""))</f>
        <v/>
      </c>
      <c r="C776" s="8">
        <f>IF($F776=1,$H776,"")</f>
        <v/>
      </c>
      <c r="D776" s="7">
        <f>IF($A776="","",IF($F776=0,"Biçim hatalı",IF(FIND(MID($B776,11,1),"0123456789")-1=$H776,"Geçerli","Kontrol hanesi hatalı (doğrusu: "&amp;$H776&amp;")")))</f>
        <v/>
      </c>
      <c r="F776">
        <f>IF($A776="","",IF(AND(LEN($B776)=11,SUMPRODUCT(--ISNUMBER(FIND(MID($B776,{1,2,3,4,5,6,7,8,9,10,11},1),"0123456789")))=11),1,0))</f>
        <v/>
      </c>
      <c r="G776">
        <f>IF($F776=1,VALUE(MID($B776,4,7)),"")</f>
        <v/>
      </c>
      <c r="H776">
        <f>IF($F776=1,MOD($G776,7),"")</f>
        <v/>
      </c>
    </row>
    <row r="777">
      <c r="A777" s="6" t="n"/>
      <c r="B777" s="7">
        <f>IF($A777="","",SUBSTITUTE(SUBSTITUTE(SUBSTITUTE(SUBSTITUTE($A777," ",""),"-",""),".",""),"/",""))</f>
        <v/>
      </c>
      <c r="C777" s="8">
        <f>IF($F777=1,$H777,"")</f>
        <v/>
      </c>
      <c r="D777" s="7">
        <f>IF($A777="","",IF($F777=0,"Biçim hatalı",IF(FIND(MID($B777,11,1),"0123456789")-1=$H777,"Geçerli","Kontrol hanesi hatalı (doğrusu: "&amp;$H777&amp;")")))</f>
        <v/>
      </c>
      <c r="F777">
        <f>IF($A777="","",IF(AND(LEN($B777)=11,SUMPRODUCT(--ISNUMBER(FIND(MID($B777,{1,2,3,4,5,6,7,8,9,10,11},1),"0123456789")))=11),1,0))</f>
        <v/>
      </c>
      <c r="G777">
        <f>IF($F777=1,VALUE(MID($B777,4,7)),"")</f>
        <v/>
      </c>
      <c r="H777">
        <f>IF($F777=1,MOD($G777,7),"")</f>
        <v/>
      </c>
    </row>
    <row r="778">
      <c r="A778" s="6" t="n"/>
      <c r="B778" s="7">
        <f>IF($A778="","",SUBSTITUTE(SUBSTITUTE(SUBSTITUTE(SUBSTITUTE($A778," ",""),"-",""),".",""),"/",""))</f>
        <v/>
      </c>
      <c r="C778" s="8">
        <f>IF($F778=1,$H778,"")</f>
        <v/>
      </c>
      <c r="D778" s="7">
        <f>IF($A778="","",IF($F778=0,"Biçim hatalı",IF(FIND(MID($B778,11,1),"0123456789")-1=$H778,"Geçerli","Kontrol hanesi hatalı (doğrusu: "&amp;$H778&amp;")")))</f>
        <v/>
      </c>
      <c r="F778">
        <f>IF($A778="","",IF(AND(LEN($B778)=11,SUMPRODUCT(--ISNUMBER(FIND(MID($B778,{1,2,3,4,5,6,7,8,9,10,11},1),"0123456789")))=11),1,0))</f>
        <v/>
      </c>
      <c r="G778">
        <f>IF($F778=1,VALUE(MID($B778,4,7)),"")</f>
        <v/>
      </c>
      <c r="H778">
        <f>IF($F778=1,MOD($G778,7),"")</f>
        <v/>
      </c>
    </row>
    <row r="779">
      <c r="A779" s="6" t="n"/>
      <c r="B779" s="7">
        <f>IF($A779="","",SUBSTITUTE(SUBSTITUTE(SUBSTITUTE(SUBSTITUTE($A779," ",""),"-",""),".",""),"/",""))</f>
        <v/>
      </c>
      <c r="C779" s="8">
        <f>IF($F779=1,$H779,"")</f>
        <v/>
      </c>
      <c r="D779" s="7">
        <f>IF($A779="","",IF($F779=0,"Biçim hatalı",IF(FIND(MID($B779,11,1),"0123456789")-1=$H779,"Geçerli","Kontrol hanesi hatalı (doğrusu: "&amp;$H779&amp;")")))</f>
        <v/>
      </c>
      <c r="F779">
        <f>IF($A779="","",IF(AND(LEN($B779)=11,SUMPRODUCT(--ISNUMBER(FIND(MID($B779,{1,2,3,4,5,6,7,8,9,10,11},1),"0123456789")))=11),1,0))</f>
        <v/>
      </c>
      <c r="G779">
        <f>IF($F779=1,VALUE(MID($B779,4,7)),"")</f>
        <v/>
      </c>
      <c r="H779">
        <f>IF($F779=1,MOD($G779,7),"")</f>
        <v/>
      </c>
    </row>
    <row r="780">
      <c r="A780" s="6" t="n"/>
      <c r="B780" s="7">
        <f>IF($A780="","",SUBSTITUTE(SUBSTITUTE(SUBSTITUTE(SUBSTITUTE($A780," ",""),"-",""),".",""),"/",""))</f>
        <v/>
      </c>
      <c r="C780" s="8">
        <f>IF($F780=1,$H780,"")</f>
        <v/>
      </c>
      <c r="D780" s="7">
        <f>IF($A780="","",IF($F780=0,"Biçim hatalı",IF(FIND(MID($B780,11,1),"0123456789")-1=$H780,"Geçerli","Kontrol hanesi hatalı (doğrusu: "&amp;$H780&amp;")")))</f>
        <v/>
      </c>
      <c r="F780">
        <f>IF($A780="","",IF(AND(LEN($B780)=11,SUMPRODUCT(--ISNUMBER(FIND(MID($B780,{1,2,3,4,5,6,7,8,9,10,11},1),"0123456789")))=11),1,0))</f>
        <v/>
      </c>
      <c r="G780">
        <f>IF($F780=1,VALUE(MID($B780,4,7)),"")</f>
        <v/>
      </c>
      <c r="H780">
        <f>IF($F780=1,MOD($G780,7),"")</f>
        <v/>
      </c>
    </row>
    <row r="781">
      <c r="A781" s="6" t="n"/>
      <c r="B781" s="7">
        <f>IF($A781="","",SUBSTITUTE(SUBSTITUTE(SUBSTITUTE(SUBSTITUTE($A781," ",""),"-",""),".",""),"/",""))</f>
        <v/>
      </c>
      <c r="C781" s="8">
        <f>IF($F781=1,$H781,"")</f>
        <v/>
      </c>
      <c r="D781" s="7">
        <f>IF($A781="","",IF($F781=0,"Biçim hatalı",IF(FIND(MID($B781,11,1),"0123456789")-1=$H781,"Geçerli","Kontrol hanesi hatalı (doğrusu: "&amp;$H781&amp;")")))</f>
        <v/>
      </c>
      <c r="F781">
        <f>IF($A781="","",IF(AND(LEN($B781)=11,SUMPRODUCT(--ISNUMBER(FIND(MID($B781,{1,2,3,4,5,6,7,8,9,10,11},1),"0123456789")))=11),1,0))</f>
        <v/>
      </c>
      <c r="G781">
        <f>IF($F781=1,VALUE(MID($B781,4,7)),"")</f>
        <v/>
      </c>
      <c r="H781">
        <f>IF($F781=1,MOD($G781,7),"")</f>
        <v/>
      </c>
    </row>
    <row r="782">
      <c r="A782" s="6" t="n"/>
      <c r="B782" s="7">
        <f>IF($A782="","",SUBSTITUTE(SUBSTITUTE(SUBSTITUTE(SUBSTITUTE($A782," ",""),"-",""),".",""),"/",""))</f>
        <v/>
      </c>
      <c r="C782" s="8">
        <f>IF($F782=1,$H782,"")</f>
        <v/>
      </c>
      <c r="D782" s="7">
        <f>IF($A782="","",IF($F782=0,"Biçim hatalı",IF(FIND(MID($B782,11,1),"0123456789")-1=$H782,"Geçerli","Kontrol hanesi hatalı (doğrusu: "&amp;$H782&amp;")")))</f>
        <v/>
      </c>
      <c r="F782">
        <f>IF($A782="","",IF(AND(LEN($B782)=11,SUMPRODUCT(--ISNUMBER(FIND(MID($B782,{1,2,3,4,5,6,7,8,9,10,11},1),"0123456789")))=11),1,0))</f>
        <v/>
      </c>
      <c r="G782">
        <f>IF($F782=1,VALUE(MID($B782,4,7)),"")</f>
        <v/>
      </c>
      <c r="H782">
        <f>IF($F782=1,MOD($G782,7),"")</f>
        <v/>
      </c>
    </row>
    <row r="783">
      <c r="A783" s="6" t="n"/>
      <c r="B783" s="7">
        <f>IF($A783="","",SUBSTITUTE(SUBSTITUTE(SUBSTITUTE(SUBSTITUTE($A783," ",""),"-",""),".",""),"/",""))</f>
        <v/>
      </c>
      <c r="C783" s="8">
        <f>IF($F783=1,$H783,"")</f>
        <v/>
      </c>
      <c r="D783" s="7">
        <f>IF($A783="","",IF($F783=0,"Biçim hatalı",IF(FIND(MID($B783,11,1),"0123456789")-1=$H783,"Geçerli","Kontrol hanesi hatalı (doğrusu: "&amp;$H783&amp;")")))</f>
        <v/>
      </c>
      <c r="F783">
        <f>IF($A783="","",IF(AND(LEN($B783)=11,SUMPRODUCT(--ISNUMBER(FIND(MID($B783,{1,2,3,4,5,6,7,8,9,10,11},1),"0123456789")))=11),1,0))</f>
        <v/>
      </c>
      <c r="G783">
        <f>IF($F783=1,VALUE(MID($B783,4,7)),"")</f>
        <v/>
      </c>
      <c r="H783">
        <f>IF($F783=1,MOD($G783,7),"")</f>
        <v/>
      </c>
    </row>
    <row r="784">
      <c r="A784" s="6" t="n"/>
      <c r="B784" s="7">
        <f>IF($A784="","",SUBSTITUTE(SUBSTITUTE(SUBSTITUTE(SUBSTITUTE($A784," ",""),"-",""),".",""),"/",""))</f>
        <v/>
      </c>
      <c r="C784" s="8">
        <f>IF($F784=1,$H784,"")</f>
        <v/>
      </c>
      <c r="D784" s="7">
        <f>IF($A784="","",IF($F784=0,"Biçim hatalı",IF(FIND(MID($B784,11,1),"0123456789")-1=$H784,"Geçerli","Kontrol hanesi hatalı (doğrusu: "&amp;$H784&amp;")")))</f>
        <v/>
      </c>
      <c r="F784">
        <f>IF($A784="","",IF(AND(LEN($B784)=11,SUMPRODUCT(--ISNUMBER(FIND(MID($B784,{1,2,3,4,5,6,7,8,9,10,11},1),"0123456789")))=11),1,0))</f>
        <v/>
      </c>
      <c r="G784">
        <f>IF($F784=1,VALUE(MID($B784,4,7)),"")</f>
        <v/>
      </c>
      <c r="H784">
        <f>IF($F784=1,MOD($G784,7),"")</f>
        <v/>
      </c>
    </row>
    <row r="785">
      <c r="A785" s="6" t="n"/>
      <c r="B785" s="7">
        <f>IF($A785="","",SUBSTITUTE(SUBSTITUTE(SUBSTITUTE(SUBSTITUTE($A785," ",""),"-",""),".",""),"/",""))</f>
        <v/>
      </c>
      <c r="C785" s="8">
        <f>IF($F785=1,$H785,"")</f>
        <v/>
      </c>
      <c r="D785" s="7">
        <f>IF($A785="","",IF($F785=0,"Biçim hatalı",IF(FIND(MID($B785,11,1),"0123456789")-1=$H785,"Geçerli","Kontrol hanesi hatalı (doğrusu: "&amp;$H785&amp;")")))</f>
        <v/>
      </c>
      <c r="F785">
        <f>IF($A785="","",IF(AND(LEN($B785)=11,SUMPRODUCT(--ISNUMBER(FIND(MID($B785,{1,2,3,4,5,6,7,8,9,10,11},1),"0123456789")))=11),1,0))</f>
        <v/>
      </c>
      <c r="G785">
        <f>IF($F785=1,VALUE(MID($B785,4,7)),"")</f>
        <v/>
      </c>
      <c r="H785">
        <f>IF($F785=1,MOD($G785,7),"")</f>
        <v/>
      </c>
    </row>
    <row r="786">
      <c r="A786" s="6" t="n"/>
      <c r="B786" s="7">
        <f>IF($A786="","",SUBSTITUTE(SUBSTITUTE(SUBSTITUTE(SUBSTITUTE($A786," ",""),"-",""),".",""),"/",""))</f>
        <v/>
      </c>
      <c r="C786" s="8">
        <f>IF($F786=1,$H786,"")</f>
        <v/>
      </c>
      <c r="D786" s="7">
        <f>IF($A786="","",IF($F786=0,"Biçim hatalı",IF(FIND(MID($B786,11,1),"0123456789")-1=$H786,"Geçerli","Kontrol hanesi hatalı (doğrusu: "&amp;$H786&amp;")")))</f>
        <v/>
      </c>
      <c r="F786">
        <f>IF($A786="","",IF(AND(LEN($B786)=11,SUMPRODUCT(--ISNUMBER(FIND(MID($B786,{1,2,3,4,5,6,7,8,9,10,11},1),"0123456789")))=11),1,0))</f>
        <v/>
      </c>
      <c r="G786">
        <f>IF($F786=1,VALUE(MID($B786,4,7)),"")</f>
        <v/>
      </c>
      <c r="H786">
        <f>IF($F786=1,MOD($G786,7),"")</f>
        <v/>
      </c>
    </row>
    <row r="787">
      <c r="A787" s="6" t="n"/>
      <c r="B787" s="7">
        <f>IF($A787="","",SUBSTITUTE(SUBSTITUTE(SUBSTITUTE(SUBSTITUTE($A787," ",""),"-",""),".",""),"/",""))</f>
        <v/>
      </c>
      <c r="C787" s="8">
        <f>IF($F787=1,$H787,"")</f>
        <v/>
      </c>
      <c r="D787" s="7">
        <f>IF($A787="","",IF($F787=0,"Biçim hatalı",IF(FIND(MID($B787,11,1),"0123456789")-1=$H787,"Geçerli","Kontrol hanesi hatalı (doğrusu: "&amp;$H787&amp;")")))</f>
        <v/>
      </c>
      <c r="F787">
        <f>IF($A787="","",IF(AND(LEN($B787)=11,SUMPRODUCT(--ISNUMBER(FIND(MID($B787,{1,2,3,4,5,6,7,8,9,10,11},1),"0123456789")))=11),1,0))</f>
        <v/>
      </c>
      <c r="G787">
        <f>IF($F787=1,VALUE(MID($B787,4,7)),"")</f>
        <v/>
      </c>
      <c r="H787">
        <f>IF($F787=1,MOD($G787,7),"")</f>
        <v/>
      </c>
    </row>
    <row r="788">
      <c r="A788" s="6" t="n"/>
      <c r="B788" s="7">
        <f>IF($A788="","",SUBSTITUTE(SUBSTITUTE(SUBSTITUTE(SUBSTITUTE($A788," ",""),"-",""),".",""),"/",""))</f>
        <v/>
      </c>
      <c r="C788" s="8">
        <f>IF($F788=1,$H788,"")</f>
        <v/>
      </c>
      <c r="D788" s="7">
        <f>IF($A788="","",IF($F788=0,"Biçim hatalı",IF(FIND(MID($B788,11,1),"0123456789")-1=$H788,"Geçerli","Kontrol hanesi hatalı (doğrusu: "&amp;$H788&amp;")")))</f>
        <v/>
      </c>
      <c r="F788">
        <f>IF($A788="","",IF(AND(LEN($B788)=11,SUMPRODUCT(--ISNUMBER(FIND(MID($B788,{1,2,3,4,5,6,7,8,9,10,11},1),"0123456789")))=11),1,0))</f>
        <v/>
      </c>
      <c r="G788">
        <f>IF($F788=1,VALUE(MID($B788,4,7)),"")</f>
        <v/>
      </c>
      <c r="H788">
        <f>IF($F788=1,MOD($G788,7),"")</f>
        <v/>
      </c>
    </row>
    <row r="789">
      <c r="A789" s="6" t="n"/>
      <c r="B789" s="7">
        <f>IF($A789="","",SUBSTITUTE(SUBSTITUTE(SUBSTITUTE(SUBSTITUTE($A789," ",""),"-",""),".",""),"/",""))</f>
        <v/>
      </c>
      <c r="C789" s="8">
        <f>IF($F789=1,$H789,"")</f>
        <v/>
      </c>
      <c r="D789" s="7">
        <f>IF($A789="","",IF($F789=0,"Biçim hatalı",IF(FIND(MID($B789,11,1),"0123456789")-1=$H789,"Geçerli","Kontrol hanesi hatalı (doğrusu: "&amp;$H789&amp;")")))</f>
        <v/>
      </c>
      <c r="F789">
        <f>IF($A789="","",IF(AND(LEN($B789)=11,SUMPRODUCT(--ISNUMBER(FIND(MID($B789,{1,2,3,4,5,6,7,8,9,10,11},1),"0123456789")))=11),1,0))</f>
        <v/>
      </c>
      <c r="G789">
        <f>IF($F789=1,VALUE(MID($B789,4,7)),"")</f>
        <v/>
      </c>
      <c r="H789">
        <f>IF($F789=1,MOD($G789,7),"")</f>
        <v/>
      </c>
    </row>
    <row r="790">
      <c r="A790" s="6" t="n"/>
      <c r="B790" s="7">
        <f>IF($A790="","",SUBSTITUTE(SUBSTITUTE(SUBSTITUTE(SUBSTITUTE($A790," ",""),"-",""),".",""),"/",""))</f>
        <v/>
      </c>
      <c r="C790" s="8">
        <f>IF($F790=1,$H790,"")</f>
        <v/>
      </c>
      <c r="D790" s="7">
        <f>IF($A790="","",IF($F790=0,"Biçim hatalı",IF(FIND(MID($B790,11,1),"0123456789")-1=$H790,"Geçerli","Kontrol hanesi hatalı (doğrusu: "&amp;$H790&amp;")")))</f>
        <v/>
      </c>
      <c r="F790">
        <f>IF($A790="","",IF(AND(LEN($B790)=11,SUMPRODUCT(--ISNUMBER(FIND(MID($B790,{1,2,3,4,5,6,7,8,9,10,11},1),"0123456789")))=11),1,0))</f>
        <v/>
      </c>
      <c r="G790">
        <f>IF($F790=1,VALUE(MID($B790,4,7)),"")</f>
        <v/>
      </c>
      <c r="H790">
        <f>IF($F790=1,MOD($G790,7),"")</f>
        <v/>
      </c>
    </row>
    <row r="791">
      <c r="A791" s="6" t="n"/>
      <c r="B791" s="7">
        <f>IF($A791="","",SUBSTITUTE(SUBSTITUTE(SUBSTITUTE(SUBSTITUTE($A791," ",""),"-",""),".",""),"/",""))</f>
        <v/>
      </c>
      <c r="C791" s="8">
        <f>IF($F791=1,$H791,"")</f>
        <v/>
      </c>
      <c r="D791" s="7">
        <f>IF($A791="","",IF($F791=0,"Biçim hatalı",IF(FIND(MID($B791,11,1),"0123456789")-1=$H791,"Geçerli","Kontrol hanesi hatalı (doğrusu: "&amp;$H791&amp;")")))</f>
        <v/>
      </c>
      <c r="F791">
        <f>IF($A791="","",IF(AND(LEN($B791)=11,SUMPRODUCT(--ISNUMBER(FIND(MID($B791,{1,2,3,4,5,6,7,8,9,10,11},1),"0123456789")))=11),1,0))</f>
        <v/>
      </c>
      <c r="G791">
        <f>IF($F791=1,VALUE(MID($B791,4,7)),"")</f>
        <v/>
      </c>
      <c r="H791">
        <f>IF($F791=1,MOD($G791,7),"")</f>
        <v/>
      </c>
    </row>
    <row r="792">
      <c r="A792" s="6" t="n"/>
      <c r="B792" s="7">
        <f>IF($A792="","",SUBSTITUTE(SUBSTITUTE(SUBSTITUTE(SUBSTITUTE($A792," ",""),"-",""),".",""),"/",""))</f>
        <v/>
      </c>
      <c r="C792" s="8">
        <f>IF($F792=1,$H792,"")</f>
        <v/>
      </c>
      <c r="D792" s="7">
        <f>IF($A792="","",IF($F792=0,"Biçim hatalı",IF(FIND(MID($B792,11,1),"0123456789")-1=$H792,"Geçerli","Kontrol hanesi hatalı (doğrusu: "&amp;$H792&amp;")")))</f>
        <v/>
      </c>
      <c r="F792">
        <f>IF($A792="","",IF(AND(LEN($B792)=11,SUMPRODUCT(--ISNUMBER(FIND(MID($B792,{1,2,3,4,5,6,7,8,9,10,11},1),"0123456789")))=11),1,0))</f>
        <v/>
      </c>
      <c r="G792">
        <f>IF($F792=1,VALUE(MID($B792,4,7)),"")</f>
        <v/>
      </c>
      <c r="H792">
        <f>IF($F792=1,MOD($G792,7),"")</f>
        <v/>
      </c>
    </row>
    <row r="793">
      <c r="A793" s="6" t="n"/>
      <c r="B793" s="7">
        <f>IF($A793="","",SUBSTITUTE(SUBSTITUTE(SUBSTITUTE(SUBSTITUTE($A793," ",""),"-",""),".",""),"/",""))</f>
        <v/>
      </c>
      <c r="C793" s="8">
        <f>IF($F793=1,$H793,"")</f>
        <v/>
      </c>
      <c r="D793" s="7">
        <f>IF($A793="","",IF($F793=0,"Biçim hatalı",IF(FIND(MID($B793,11,1),"0123456789")-1=$H793,"Geçerli","Kontrol hanesi hatalı (doğrusu: "&amp;$H793&amp;")")))</f>
        <v/>
      </c>
      <c r="F793">
        <f>IF($A793="","",IF(AND(LEN($B793)=11,SUMPRODUCT(--ISNUMBER(FIND(MID($B793,{1,2,3,4,5,6,7,8,9,10,11},1),"0123456789")))=11),1,0))</f>
        <v/>
      </c>
      <c r="G793">
        <f>IF($F793=1,VALUE(MID($B793,4,7)),"")</f>
        <v/>
      </c>
      <c r="H793">
        <f>IF($F793=1,MOD($G793,7),"")</f>
        <v/>
      </c>
    </row>
    <row r="794">
      <c r="A794" s="6" t="n"/>
      <c r="B794" s="7">
        <f>IF($A794="","",SUBSTITUTE(SUBSTITUTE(SUBSTITUTE(SUBSTITUTE($A794," ",""),"-",""),".",""),"/",""))</f>
        <v/>
      </c>
      <c r="C794" s="8">
        <f>IF($F794=1,$H794,"")</f>
        <v/>
      </c>
      <c r="D794" s="7">
        <f>IF($A794="","",IF($F794=0,"Biçim hatalı",IF(FIND(MID($B794,11,1),"0123456789")-1=$H794,"Geçerli","Kontrol hanesi hatalı (doğrusu: "&amp;$H794&amp;")")))</f>
        <v/>
      </c>
      <c r="F794">
        <f>IF($A794="","",IF(AND(LEN($B794)=11,SUMPRODUCT(--ISNUMBER(FIND(MID($B794,{1,2,3,4,5,6,7,8,9,10,11},1),"0123456789")))=11),1,0))</f>
        <v/>
      </c>
      <c r="G794">
        <f>IF($F794=1,VALUE(MID($B794,4,7)),"")</f>
        <v/>
      </c>
      <c r="H794">
        <f>IF($F794=1,MOD($G794,7),"")</f>
        <v/>
      </c>
    </row>
    <row r="795">
      <c r="A795" s="6" t="n"/>
      <c r="B795" s="7">
        <f>IF($A795="","",SUBSTITUTE(SUBSTITUTE(SUBSTITUTE(SUBSTITUTE($A795," ",""),"-",""),".",""),"/",""))</f>
        <v/>
      </c>
      <c r="C795" s="8">
        <f>IF($F795=1,$H795,"")</f>
        <v/>
      </c>
      <c r="D795" s="7">
        <f>IF($A795="","",IF($F795=0,"Biçim hatalı",IF(FIND(MID($B795,11,1),"0123456789")-1=$H795,"Geçerli","Kontrol hanesi hatalı (doğrusu: "&amp;$H795&amp;")")))</f>
        <v/>
      </c>
      <c r="F795">
        <f>IF($A795="","",IF(AND(LEN($B795)=11,SUMPRODUCT(--ISNUMBER(FIND(MID($B795,{1,2,3,4,5,6,7,8,9,10,11},1),"0123456789")))=11),1,0))</f>
        <v/>
      </c>
      <c r="G795">
        <f>IF($F795=1,VALUE(MID($B795,4,7)),"")</f>
        <v/>
      </c>
      <c r="H795">
        <f>IF($F795=1,MOD($G795,7),"")</f>
        <v/>
      </c>
    </row>
    <row r="796">
      <c r="A796" s="6" t="n"/>
      <c r="B796" s="7">
        <f>IF($A796="","",SUBSTITUTE(SUBSTITUTE(SUBSTITUTE(SUBSTITUTE($A796," ",""),"-",""),".",""),"/",""))</f>
        <v/>
      </c>
      <c r="C796" s="8">
        <f>IF($F796=1,$H796,"")</f>
        <v/>
      </c>
      <c r="D796" s="7">
        <f>IF($A796="","",IF($F796=0,"Biçim hatalı",IF(FIND(MID($B796,11,1),"0123456789")-1=$H796,"Geçerli","Kontrol hanesi hatalı (doğrusu: "&amp;$H796&amp;")")))</f>
        <v/>
      </c>
      <c r="F796">
        <f>IF($A796="","",IF(AND(LEN($B796)=11,SUMPRODUCT(--ISNUMBER(FIND(MID($B796,{1,2,3,4,5,6,7,8,9,10,11},1),"0123456789")))=11),1,0))</f>
        <v/>
      </c>
      <c r="G796">
        <f>IF($F796=1,VALUE(MID($B796,4,7)),"")</f>
        <v/>
      </c>
      <c r="H796">
        <f>IF($F796=1,MOD($G796,7),"")</f>
        <v/>
      </c>
    </row>
    <row r="797">
      <c r="A797" s="6" t="n"/>
      <c r="B797" s="7">
        <f>IF($A797="","",SUBSTITUTE(SUBSTITUTE(SUBSTITUTE(SUBSTITUTE($A797," ",""),"-",""),".",""),"/",""))</f>
        <v/>
      </c>
      <c r="C797" s="8">
        <f>IF($F797=1,$H797,"")</f>
        <v/>
      </c>
      <c r="D797" s="7">
        <f>IF($A797="","",IF($F797=0,"Biçim hatalı",IF(FIND(MID($B797,11,1),"0123456789")-1=$H797,"Geçerli","Kontrol hanesi hatalı (doğrusu: "&amp;$H797&amp;")")))</f>
        <v/>
      </c>
      <c r="F797">
        <f>IF($A797="","",IF(AND(LEN($B797)=11,SUMPRODUCT(--ISNUMBER(FIND(MID($B797,{1,2,3,4,5,6,7,8,9,10,11},1),"0123456789")))=11),1,0))</f>
        <v/>
      </c>
      <c r="G797">
        <f>IF($F797=1,VALUE(MID($B797,4,7)),"")</f>
        <v/>
      </c>
      <c r="H797">
        <f>IF($F797=1,MOD($G797,7),"")</f>
        <v/>
      </c>
    </row>
    <row r="798">
      <c r="A798" s="6" t="n"/>
      <c r="B798" s="7">
        <f>IF($A798="","",SUBSTITUTE(SUBSTITUTE(SUBSTITUTE(SUBSTITUTE($A798," ",""),"-",""),".",""),"/",""))</f>
        <v/>
      </c>
      <c r="C798" s="8">
        <f>IF($F798=1,$H798,"")</f>
        <v/>
      </c>
      <c r="D798" s="7">
        <f>IF($A798="","",IF($F798=0,"Biçim hatalı",IF(FIND(MID($B798,11,1),"0123456789")-1=$H798,"Geçerli","Kontrol hanesi hatalı (doğrusu: "&amp;$H798&amp;")")))</f>
        <v/>
      </c>
      <c r="F798">
        <f>IF($A798="","",IF(AND(LEN($B798)=11,SUMPRODUCT(--ISNUMBER(FIND(MID($B798,{1,2,3,4,5,6,7,8,9,10,11},1),"0123456789")))=11),1,0))</f>
        <v/>
      </c>
      <c r="G798">
        <f>IF($F798=1,VALUE(MID($B798,4,7)),"")</f>
        <v/>
      </c>
      <c r="H798">
        <f>IF($F798=1,MOD($G798,7),"")</f>
        <v/>
      </c>
    </row>
    <row r="799">
      <c r="A799" s="6" t="n"/>
      <c r="B799" s="7">
        <f>IF($A799="","",SUBSTITUTE(SUBSTITUTE(SUBSTITUTE(SUBSTITUTE($A799," ",""),"-",""),".",""),"/",""))</f>
        <v/>
      </c>
      <c r="C799" s="8">
        <f>IF($F799=1,$H799,"")</f>
        <v/>
      </c>
      <c r="D799" s="7">
        <f>IF($A799="","",IF($F799=0,"Biçim hatalı",IF(FIND(MID($B799,11,1),"0123456789")-1=$H799,"Geçerli","Kontrol hanesi hatalı (doğrusu: "&amp;$H799&amp;")")))</f>
        <v/>
      </c>
      <c r="F799">
        <f>IF($A799="","",IF(AND(LEN($B799)=11,SUMPRODUCT(--ISNUMBER(FIND(MID($B799,{1,2,3,4,5,6,7,8,9,10,11},1),"0123456789")))=11),1,0))</f>
        <v/>
      </c>
      <c r="G799">
        <f>IF($F799=1,VALUE(MID($B799,4,7)),"")</f>
        <v/>
      </c>
      <c r="H799">
        <f>IF($F799=1,MOD($G799,7),"")</f>
        <v/>
      </c>
    </row>
    <row r="800">
      <c r="A800" s="6" t="n"/>
      <c r="B800" s="7">
        <f>IF($A800="","",SUBSTITUTE(SUBSTITUTE(SUBSTITUTE(SUBSTITUTE($A800," ",""),"-",""),".",""),"/",""))</f>
        <v/>
      </c>
      <c r="C800" s="8">
        <f>IF($F800=1,$H800,"")</f>
        <v/>
      </c>
      <c r="D800" s="7">
        <f>IF($A800="","",IF($F800=0,"Biçim hatalı",IF(FIND(MID($B800,11,1),"0123456789")-1=$H800,"Geçerli","Kontrol hanesi hatalı (doğrusu: "&amp;$H800&amp;")")))</f>
        <v/>
      </c>
      <c r="F800">
        <f>IF($A800="","",IF(AND(LEN($B800)=11,SUMPRODUCT(--ISNUMBER(FIND(MID($B800,{1,2,3,4,5,6,7,8,9,10,11},1),"0123456789")))=11),1,0))</f>
        <v/>
      </c>
      <c r="G800">
        <f>IF($F800=1,VALUE(MID($B800,4,7)),"")</f>
        <v/>
      </c>
      <c r="H800">
        <f>IF($F800=1,MOD($G800,7),"")</f>
        <v/>
      </c>
    </row>
    <row r="801">
      <c r="A801" s="6" t="n"/>
      <c r="B801" s="7">
        <f>IF($A801="","",SUBSTITUTE(SUBSTITUTE(SUBSTITUTE(SUBSTITUTE($A801," ",""),"-",""),".",""),"/",""))</f>
        <v/>
      </c>
      <c r="C801" s="8">
        <f>IF($F801=1,$H801,"")</f>
        <v/>
      </c>
      <c r="D801" s="7">
        <f>IF($A801="","",IF($F801=0,"Biçim hatalı",IF(FIND(MID($B801,11,1),"0123456789")-1=$H801,"Geçerli","Kontrol hanesi hatalı (doğrusu: "&amp;$H801&amp;")")))</f>
        <v/>
      </c>
      <c r="F801">
        <f>IF($A801="","",IF(AND(LEN($B801)=11,SUMPRODUCT(--ISNUMBER(FIND(MID($B801,{1,2,3,4,5,6,7,8,9,10,11},1),"0123456789")))=11),1,0))</f>
        <v/>
      </c>
      <c r="G801">
        <f>IF($F801=1,VALUE(MID($B801,4,7)),"")</f>
        <v/>
      </c>
      <c r="H801">
        <f>IF($F801=1,MOD($G801,7),"")</f>
        <v/>
      </c>
    </row>
    <row r="802">
      <c r="A802" s="6" t="n"/>
      <c r="B802" s="7">
        <f>IF($A802="","",SUBSTITUTE(SUBSTITUTE(SUBSTITUTE(SUBSTITUTE($A802," ",""),"-",""),".",""),"/",""))</f>
        <v/>
      </c>
      <c r="C802" s="8">
        <f>IF($F802=1,$H802,"")</f>
        <v/>
      </c>
      <c r="D802" s="7">
        <f>IF($A802="","",IF($F802=0,"Biçim hatalı",IF(FIND(MID($B802,11,1),"0123456789")-1=$H802,"Geçerli","Kontrol hanesi hatalı (doğrusu: "&amp;$H802&amp;")")))</f>
        <v/>
      </c>
      <c r="F802">
        <f>IF($A802="","",IF(AND(LEN($B802)=11,SUMPRODUCT(--ISNUMBER(FIND(MID($B802,{1,2,3,4,5,6,7,8,9,10,11},1),"0123456789")))=11),1,0))</f>
        <v/>
      </c>
      <c r="G802">
        <f>IF($F802=1,VALUE(MID($B802,4,7)),"")</f>
        <v/>
      </c>
      <c r="H802">
        <f>IF($F802=1,MOD($G802,7),"")</f>
        <v/>
      </c>
    </row>
    <row r="803">
      <c r="A803" s="6" t="n"/>
      <c r="B803" s="7">
        <f>IF($A803="","",SUBSTITUTE(SUBSTITUTE(SUBSTITUTE(SUBSTITUTE($A803," ",""),"-",""),".",""),"/",""))</f>
        <v/>
      </c>
      <c r="C803" s="8">
        <f>IF($F803=1,$H803,"")</f>
        <v/>
      </c>
      <c r="D803" s="7">
        <f>IF($A803="","",IF($F803=0,"Biçim hatalı",IF(FIND(MID($B803,11,1),"0123456789")-1=$H803,"Geçerli","Kontrol hanesi hatalı (doğrusu: "&amp;$H803&amp;")")))</f>
        <v/>
      </c>
      <c r="F803">
        <f>IF($A803="","",IF(AND(LEN($B803)=11,SUMPRODUCT(--ISNUMBER(FIND(MID($B803,{1,2,3,4,5,6,7,8,9,10,11},1),"0123456789")))=11),1,0))</f>
        <v/>
      </c>
      <c r="G803">
        <f>IF($F803=1,VALUE(MID($B803,4,7)),"")</f>
        <v/>
      </c>
      <c r="H803">
        <f>IF($F803=1,MOD($G803,7),"")</f>
        <v/>
      </c>
    </row>
    <row r="804">
      <c r="A804" s="6" t="n"/>
      <c r="B804" s="7">
        <f>IF($A804="","",SUBSTITUTE(SUBSTITUTE(SUBSTITUTE(SUBSTITUTE($A804," ",""),"-",""),".",""),"/",""))</f>
        <v/>
      </c>
      <c r="C804" s="8">
        <f>IF($F804=1,$H804,"")</f>
        <v/>
      </c>
      <c r="D804" s="7">
        <f>IF($A804="","",IF($F804=0,"Biçim hatalı",IF(FIND(MID($B804,11,1),"0123456789")-1=$H804,"Geçerli","Kontrol hanesi hatalı (doğrusu: "&amp;$H804&amp;")")))</f>
        <v/>
      </c>
      <c r="F804">
        <f>IF($A804="","",IF(AND(LEN($B804)=11,SUMPRODUCT(--ISNUMBER(FIND(MID($B804,{1,2,3,4,5,6,7,8,9,10,11},1),"0123456789")))=11),1,0))</f>
        <v/>
      </c>
      <c r="G804">
        <f>IF($F804=1,VALUE(MID($B804,4,7)),"")</f>
        <v/>
      </c>
      <c r="H804">
        <f>IF($F804=1,MOD($G804,7),"")</f>
        <v/>
      </c>
    </row>
    <row r="805">
      <c r="A805" s="6" t="n"/>
      <c r="B805" s="7">
        <f>IF($A805="","",SUBSTITUTE(SUBSTITUTE(SUBSTITUTE(SUBSTITUTE($A805," ",""),"-",""),".",""),"/",""))</f>
        <v/>
      </c>
      <c r="C805" s="8">
        <f>IF($F805=1,$H805,"")</f>
        <v/>
      </c>
      <c r="D805" s="7">
        <f>IF($A805="","",IF($F805=0,"Biçim hatalı",IF(FIND(MID($B805,11,1),"0123456789")-1=$H805,"Geçerli","Kontrol hanesi hatalı (doğrusu: "&amp;$H805&amp;")")))</f>
        <v/>
      </c>
      <c r="F805">
        <f>IF($A805="","",IF(AND(LEN($B805)=11,SUMPRODUCT(--ISNUMBER(FIND(MID($B805,{1,2,3,4,5,6,7,8,9,10,11},1),"0123456789")))=11),1,0))</f>
        <v/>
      </c>
      <c r="G805">
        <f>IF($F805=1,VALUE(MID($B805,4,7)),"")</f>
        <v/>
      </c>
      <c r="H805">
        <f>IF($F805=1,MOD($G805,7),"")</f>
        <v/>
      </c>
    </row>
    <row r="806">
      <c r="A806" s="6" t="n"/>
      <c r="B806" s="7">
        <f>IF($A806="","",SUBSTITUTE(SUBSTITUTE(SUBSTITUTE(SUBSTITUTE($A806," ",""),"-",""),".",""),"/",""))</f>
        <v/>
      </c>
      <c r="C806" s="8">
        <f>IF($F806=1,$H806,"")</f>
        <v/>
      </c>
      <c r="D806" s="7">
        <f>IF($A806="","",IF($F806=0,"Biçim hatalı",IF(FIND(MID($B806,11,1),"0123456789")-1=$H806,"Geçerli","Kontrol hanesi hatalı (doğrusu: "&amp;$H806&amp;")")))</f>
        <v/>
      </c>
      <c r="F806">
        <f>IF($A806="","",IF(AND(LEN($B806)=11,SUMPRODUCT(--ISNUMBER(FIND(MID($B806,{1,2,3,4,5,6,7,8,9,10,11},1),"0123456789")))=11),1,0))</f>
        <v/>
      </c>
      <c r="G806">
        <f>IF($F806=1,VALUE(MID($B806,4,7)),"")</f>
        <v/>
      </c>
      <c r="H806">
        <f>IF($F806=1,MOD($G806,7),"")</f>
        <v/>
      </c>
    </row>
    <row r="807">
      <c r="A807" s="6" t="n"/>
      <c r="B807" s="7">
        <f>IF($A807="","",SUBSTITUTE(SUBSTITUTE(SUBSTITUTE(SUBSTITUTE($A807," ",""),"-",""),".",""),"/",""))</f>
        <v/>
      </c>
      <c r="C807" s="8">
        <f>IF($F807=1,$H807,"")</f>
        <v/>
      </c>
      <c r="D807" s="7">
        <f>IF($A807="","",IF($F807=0,"Biçim hatalı",IF(FIND(MID($B807,11,1),"0123456789")-1=$H807,"Geçerli","Kontrol hanesi hatalı (doğrusu: "&amp;$H807&amp;")")))</f>
        <v/>
      </c>
      <c r="F807">
        <f>IF($A807="","",IF(AND(LEN($B807)=11,SUMPRODUCT(--ISNUMBER(FIND(MID($B807,{1,2,3,4,5,6,7,8,9,10,11},1),"0123456789")))=11),1,0))</f>
        <v/>
      </c>
      <c r="G807">
        <f>IF($F807=1,VALUE(MID($B807,4,7)),"")</f>
        <v/>
      </c>
      <c r="H807">
        <f>IF($F807=1,MOD($G807,7),"")</f>
        <v/>
      </c>
    </row>
    <row r="808">
      <c r="A808" s="6" t="n"/>
      <c r="B808" s="7">
        <f>IF($A808="","",SUBSTITUTE(SUBSTITUTE(SUBSTITUTE(SUBSTITUTE($A808," ",""),"-",""),".",""),"/",""))</f>
        <v/>
      </c>
      <c r="C808" s="8">
        <f>IF($F808=1,$H808,"")</f>
        <v/>
      </c>
      <c r="D808" s="7">
        <f>IF($A808="","",IF($F808=0,"Biçim hatalı",IF(FIND(MID($B808,11,1),"0123456789")-1=$H808,"Geçerli","Kontrol hanesi hatalı (doğrusu: "&amp;$H808&amp;")")))</f>
        <v/>
      </c>
      <c r="F808">
        <f>IF($A808="","",IF(AND(LEN($B808)=11,SUMPRODUCT(--ISNUMBER(FIND(MID($B808,{1,2,3,4,5,6,7,8,9,10,11},1),"0123456789")))=11),1,0))</f>
        <v/>
      </c>
      <c r="G808">
        <f>IF($F808=1,VALUE(MID($B808,4,7)),"")</f>
        <v/>
      </c>
      <c r="H808">
        <f>IF($F808=1,MOD($G808,7),"")</f>
        <v/>
      </c>
    </row>
    <row r="809">
      <c r="A809" s="6" t="n"/>
      <c r="B809" s="7">
        <f>IF($A809="","",SUBSTITUTE(SUBSTITUTE(SUBSTITUTE(SUBSTITUTE($A809," ",""),"-",""),".",""),"/",""))</f>
        <v/>
      </c>
      <c r="C809" s="8">
        <f>IF($F809=1,$H809,"")</f>
        <v/>
      </c>
      <c r="D809" s="7">
        <f>IF($A809="","",IF($F809=0,"Biçim hatalı",IF(FIND(MID($B809,11,1),"0123456789")-1=$H809,"Geçerli","Kontrol hanesi hatalı (doğrusu: "&amp;$H809&amp;")")))</f>
        <v/>
      </c>
      <c r="F809">
        <f>IF($A809="","",IF(AND(LEN($B809)=11,SUMPRODUCT(--ISNUMBER(FIND(MID($B809,{1,2,3,4,5,6,7,8,9,10,11},1),"0123456789")))=11),1,0))</f>
        <v/>
      </c>
      <c r="G809">
        <f>IF($F809=1,VALUE(MID($B809,4,7)),"")</f>
        <v/>
      </c>
      <c r="H809">
        <f>IF($F809=1,MOD($G809,7),"")</f>
        <v/>
      </c>
    </row>
    <row r="810">
      <c r="A810" s="6" t="n"/>
      <c r="B810" s="7">
        <f>IF($A810="","",SUBSTITUTE(SUBSTITUTE(SUBSTITUTE(SUBSTITUTE($A810," ",""),"-",""),".",""),"/",""))</f>
        <v/>
      </c>
      <c r="C810" s="8">
        <f>IF($F810=1,$H810,"")</f>
        <v/>
      </c>
      <c r="D810" s="7">
        <f>IF($A810="","",IF($F810=0,"Biçim hatalı",IF(FIND(MID($B810,11,1),"0123456789")-1=$H810,"Geçerli","Kontrol hanesi hatalı (doğrusu: "&amp;$H810&amp;")")))</f>
        <v/>
      </c>
      <c r="F810">
        <f>IF($A810="","",IF(AND(LEN($B810)=11,SUMPRODUCT(--ISNUMBER(FIND(MID($B810,{1,2,3,4,5,6,7,8,9,10,11},1),"0123456789")))=11),1,0))</f>
        <v/>
      </c>
      <c r="G810">
        <f>IF($F810=1,VALUE(MID($B810,4,7)),"")</f>
        <v/>
      </c>
      <c r="H810">
        <f>IF($F810=1,MOD($G810,7),"")</f>
        <v/>
      </c>
    </row>
    <row r="811">
      <c r="A811" s="6" t="n"/>
      <c r="B811" s="7">
        <f>IF($A811="","",SUBSTITUTE(SUBSTITUTE(SUBSTITUTE(SUBSTITUTE($A811," ",""),"-",""),".",""),"/",""))</f>
        <v/>
      </c>
      <c r="C811" s="8">
        <f>IF($F811=1,$H811,"")</f>
        <v/>
      </c>
      <c r="D811" s="7">
        <f>IF($A811="","",IF($F811=0,"Biçim hatalı",IF(FIND(MID($B811,11,1),"0123456789")-1=$H811,"Geçerli","Kontrol hanesi hatalı (doğrusu: "&amp;$H811&amp;")")))</f>
        <v/>
      </c>
      <c r="F811">
        <f>IF($A811="","",IF(AND(LEN($B811)=11,SUMPRODUCT(--ISNUMBER(FIND(MID($B811,{1,2,3,4,5,6,7,8,9,10,11},1),"0123456789")))=11),1,0))</f>
        <v/>
      </c>
      <c r="G811">
        <f>IF($F811=1,VALUE(MID($B811,4,7)),"")</f>
        <v/>
      </c>
      <c r="H811">
        <f>IF($F811=1,MOD($G811,7),"")</f>
        <v/>
      </c>
    </row>
    <row r="812">
      <c r="A812" s="6" t="n"/>
      <c r="B812" s="7">
        <f>IF($A812="","",SUBSTITUTE(SUBSTITUTE(SUBSTITUTE(SUBSTITUTE($A812," ",""),"-",""),".",""),"/",""))</f>
        <v/>
      </c>
      <c r="C812" s="8">
        <f>IF($F812=1,$H812,"")</f>
        <v/>
      </c>
      <c r="D812" s="7">
        <f>IF($A812="","",IF($F812=0,"Biçim hatalı",IF(FIND(MID($B812,11,1),"0123456789")-1=$H812,"Geçerli","Kontrol hanesi hatalı (doğrusu: "&amp;$H812&amp;")")))</f>
        <v/>
      </c>
      <c r="F812">
        <f>IF($A812="","",IF(AND(LEN($B812)=11,SUMPRODUCT(--ISNUMBER(FIND(MID($B812,{1,2,3,4,5,6,7,8,9,10,11},1),"0123456789")))=11),1,0))</f>
        <v/>
      </c>
      <c r="G812">
        <f>IF($F812=1,VALUE(MID($B812,4,7)),"")</f>
        <v/>
      </c>
      <c r="H812">
        <f>IF($F812=1,MOD($G812,7),"")</f>
        <v/>
      </c>
    </row>
    <row r="813">
      <c r="A813" s="6" t="n"/>
      <c r="B813" s="7">
        <f>IF($A813="","",SUBSTITUTE(SUBSTITUTE(SUBSTITUTE(SUBSTITUTE($A813," ",""),"-",""),".",""),"/",""))</f>
        <v/>
      </c>
      <c r="C813" s="8">
        <f>IF($F813=1,$H813,"")</f>
        <v/>
      </c>
      <c r="D813" s="7">
        <f>IF($A813="","",IF($F813=0,"Biçim hatalı",IF(FIND(MID($B813,11,1),"0123456789")-1=$H813,"Geçerli","Kontrol hanesi hatalı (doğrusu: "&amp;$H813&amp;")")))</f>
        <v/>
      </c>
      <c r="F813">
        <f>IF($A813="","",IF(AND(LEN($B813)=11,SUMPRODUCT(--ISNUMBER(FIND(MID($B813,{1,2,3,4,5,6,7,8,9,10,11},1),"0123456789")))=11),1,0))</f>
        <v/>
      </c>
      <c r="G813">
        <f>IF($F813=1,VALUE(MID($B813,4,7)),"")</f>
        <v/>
      </c>
      <c r="H813">
        <f>IF($F813=1,MOD($G813,7),"")</f>
        <v/>
      </c>
    </row>
    <row r="814">
      <c r="A814" s="6" t="n"/>
      <c r="B814" s="7">
        <f>IF($A814="","",SUBSTITUTE(SUBSTITUTE(SUBSTITUTE(SUBSTITUTE($A814," ",""),"-",""),".",""),"/",""))</f>
        <v/>
      </c>
      <c r="C814" s="8">
        <f>IF($F814=1,$H814,"")</f>
        <v/>
      </c>
      <c r="D814" s="7">
        <f>IF($A814="","",IF($F814=0,"Biçim hatalı",IF(FIND(MID($B814,11,1),"0123456789")-1=$H814,"Geçerli","Kontrol hanesi hatalı (doğrusu: "&amp;$H814&amp;")")))</f>
        <v/>
      </c>
      <c r="F814">
        <f>IF($A814="","",IF(AND(LEN($B814)=11,SUMPRODUCT(--ISNUMBER(FIND(MID($B814,{1,2,3,4,5,6,7,8,9,10,11},1),"0123456789")))=11),1,0))</f>
        <v/>
      </c>
      <c r="G814">
        <f>IF($F814=1,VALUE(MID($B814,4,7)),"")</f>
        <v/>
      </c>
      <c r="H814">
        <f>IF($F814=1,MOD($G814,7),"")</f>
        <v/>
      </c>
    </row>
    <row r="815">
      <c r="A815" s="6" t="n"/>
      <c r="B815" s="7">
        <f>IF($A815="","",SUBSTITUTE(SUBSTITUTE(SUBSTITUTE(SUBSTITUTE($A815," ",""),"-",""),".",""),"/",""))</f>
        <v/>
      </c>
      <c r="C815" s="8">
        <f>IF($F815=1,$H815,"")</f>
        <v/>
      </c>
      <c r="D815" s="7">
        <f>IF($A815="","",IF($F815=0,"Biçim hatalı",IF(FIND(MID($B815,11,1),"0123456789")-1=$H815,"Geçerli","Kontrol hanesi hatalı (doğrusu: "&amp;$H815&amp;")")))</f>
        <v/>
      </c>
      <c r="F815">
        <f>IF($A815="","",IF(AND(LEN($B815)=11,SUMPRODUCT(--ISNUMBER(FIND(MID($B815,{1,2,3,4,5,6,7,8,9,10,11},1),"0123456789")))=11),1,0))</f>
        <v/>
      </c>
      <c r="G815">
        <f>IF($F815=1,VALUE(MID($B815,4,7)),"")</f>
        <v/>
      </c>
      <c r="H815">
        <f>IF($F815=1,MOD($G815,7),"")</f>
        <v/>
      </c>
    </row>
    <row r="816">
      <c r="A816" s="6" t="n"/>
      <c r="B816" s="7">
        <f>IF($A816="","",SUBSTITUTE(SUBSTITUTE(SUBSTITUTE(SUBSTITUTE($A816," ",""),"-",""),".",""),"/",""))</f>
        <v/>
      </c>
      <c r="C816" s="8">
        <f>IF($F816=1,$H816,"")</f>
        <v/>
      </c>
      <c r="D816" s="7">
        <f>IF($A816="","",IF($F816=0,"Biçim hatalı",IF(FIND(MID($B816,11,1),"0123456789")-1=$H816,"Geçerli","Kontrol hanesi hatalı (doğrusu: "&amp;$H816&amp;")")))</f>
        <v/>
      </c>
      <c r="F816">
        <f>IF($A816="","",IF(AND(LEN($B816)=11,SUMPRODUCT(--ISNUMBER(FIND(MID($B816,{1,2,3,4,5,6,7,8,9,10,11},1),"0123456789")))=11),1,0))</f>
        <v/>
      </c>
      <c r="G816">
        <f>IF($F816=1,VALUE(MID($B816,4,7)),"")</f>
        <v/>
      </c>
      <c r="H816">
        <f>IF($F816=1,MOD($G816,7),"")</f>
        <v/>
      </c>
    </row>
    <row r="817">
      <c r="A817" s="6" t="n"/>
      <c r="B817" s="7">
        <f>IF($A817="","",SUBSTITUTE(SUBSTITUTE(SUBSTITUTE(SUBSTITUTE($A817," ",""),"-",""),".",""),"/",""))</f>
        <v/>
      </c>
      <c r="C817" s="8">
        <f>IF($F817=1,$H817,"")</f>
        <v/>
      </c>
      <c r="D817" s="7">
        <f>IF($A817="","",IF($F817=0,"Biçim hatalı",IF(FIND(MID($B817,11,1),"0123456789")-1=$H817,"Geçerli","Kontrol hanesi hatalı (doğrusu: "&amp;$H817&amp;")")))</f>
        <v/>
      </c>
      <c r="F817">
        <f>IF($A817="","",IF(AND(LEN($B817)=11,SUMPRODUCT(--ISNUMBER(FIND(MID($B817,{1,2,3,4,5,6,7,8,9,10,11},1),"0123456789")))=11),1,0))</f>
        <v/>
      </c>
      <c r="G817">
        <f>IF($F817=1,VALUE(MID($B817,4,7)),"")</f>
        <v/>
      </c>
      <c r="H817">
        <f>IF($F817=1,MOD($G817,7),"")</f>
        <v/>
      </c>
    </row>
    <row r="818">
      <c r="A818" s="6" t="n"/>
      <c r="B818" s="7">
        <f>IF($A818="","",SUBSTITUTE(SUBSTITUTE(SUBSTITUTE(SUBSTITUTE($A818," ",""),"-",""),".",""),"/",""))</f>
        <v/>
      </c>
      <c r="C818" s="8">
        <f>IF($F818=1,$H818,"")</f>
        <v/>
      </c>
      <c r="D818" s="7">
        <f>IF($A818="","",IF($F818=0,"Biçim hatalı",IF(FIND(MID($B818,11,1),"0123456789")-1=$H818,"Geçerli","Kontrol hanesi hatalı (doğrusu: "&amp;$H818&amp;")")))</f>
        <v/>
      </c>
      <c r="F818">
        <f>IF($A818="","",IF(AND(LEN($B818)=11,SUMPRODUCT(--ISNUMBER(FIND(MID($B818,{1,2,3,4,5,6,7,8,9,10,11},1),"0123456789")))=11),1,0))</f>
        <v/>
      </c>
      <c r="G818">
        <f>IF($F818=1,VALUE(MID($B818,4,7)),"")</f>
        <v/>
      </c>
      <c r="H818">
        <f>IF($F818=1,MOD($G818,7),"")</f>
        <v/>
      </c>
    </row>
    <row r="819">
      <c r="A819" s="6" t="n"/>
      <c r="B819" s="7">
        <f>IF($A819="","",SUBSTITUTE(SUBSTITUTE(SUBSTITUTE(SUBSTITUTE($A819," ",""),"-",""),".",""),"/",""))</f>
        <v/>
      </c>
      <c r="C819" s="8">
        <f>IF($F819=1,$H819,"")</f>
        <v/>
      </c>
      <c r="D819" s="7">
        <f>IF($A819="","",IF($F819=0,"Biçim hatalı",IF(FIND(MID($B819,11,1),"0123456789")-1=$H819,"Geçerli","Kontrol hanesi hatalı (doğrusu: "&amp;$H819&amp;")")))</f>
        <v/>
      </c>
      <c r="F819">
        <f>IF($A819="","",IF(AND(LEN($B819)=11,SUMPRODUCT(--ISNUMBER(FIND(MID($B819,{1,2,3,4,5,6,7,8,9,10,11},1),"0123456789")))=11),1,0))</f>
        <v/>
      </c>
      <c r="G819">
        <f>IF($F819=1,VALUE(MID($B819,4,7)),"")</f>
        <v/>
      </c>
      <c r="H819">
        <f>IF($F819=1,MOD($G819,7),"")</f>
        <v/>
      </c>
    </row>
    <row r="820">
      <c r="A820" s="6" t="n"/>
      <c r="B820" s="7">
        <f>IF($A820="","",SUBSTITUTE(SUBSTITUTE(SUBSTITUTE(SUBSTITUTE($A820," ",""),"-",""),".",""),"/",""))</f>
        <v/>
      </c>
      <c r="C820" s="8">
        <f>IF($F820=1,$H820,"")</f>
        <v/>
      </c>
      <c r="D820" s="7">
        <f>IF($A820="","",IF($F820=0,"Biçim hatalı",IF(FIND(MID($B820,11,1),"0123456789")-1=$H820,"Geçerli","Kontrol hanesi hatalı (doğrusu: "&amp;$H820&amp;")")))</f>
        <v/>
      </c>
      <c r="F820">
        <f>IF($A820="","",IF(AND(LEN($B820)=11,SUMPRODUCT(--ISNUMBER(FIND(MID($B820,{1,2,3,4,5,6,7,8,9,10,11},1),"0123456789")))=11),1,0))</f>
        <v/>
      </c>
      <c r="G820">
        <f>IF($F820=1,VALUE(MID($B820,4,7)),"")</f>
        <v/>
      </c>
      <c r="H820">
        <f>IF($F820=1,MOD($G820,7),"")</f>
        <v/>
      </c>
    </row>
    <row r="821">
      <c r="A821" s="6" t="n"/>
      <c r="B821" s="7">
        <f>IF($A821="","",SUBSTITUTE(SUBSTITUTE(SUBSTITUTE(SUBSTITUTE($A821," ",""),"-",""),".",""),"/",""))</f>
        <v/>
      </c>
      <c r="C821" s="8">
        <f>IF($F821=1,$H821,"")</f>
        <v/>
      </c>
      <c r="D821" s="7">
        <f>IF($A821="","",IF($F821=0,"Biçim hatalı",IF(FIND(MID($B821,11,1),"0123456789")-1=$H821,"Geçerli","Kontrol hanesi hatalı (doğrusu: "&amp;$H821&amp;")")))</f>
        <v/>
      </c>
      <c r="F821">
        <f>IF($A821="","",IF(AND(LEN($B821)=11,SUMPRODUCT(--ISNUMBER(FIND(MID($B821,{1,2,3,4,5,6,7,8,9,10,11},1),"0123456789")))=11),1,0))</f>
        <v/>
      </c>
      <c r="G821">
        <f>IF($F821=1,VALUE(MID($B821,4,7)),"")</f>
        <v/>
      </c>
      <c r="H821">
        <f>IF($F821=1,MOD($G821,7),"")</f>
        <v/>
      </c>
    </row>
    <row r="822">
      <c r="A822" s="6" t="n"/>
      <c r="B822" s="7">
        <f>IF($A822="","",SUBSTITUTE(SUBSTITUTE(SUBSTITUTE(SUBSTITUTE($A822," ",""),"-",""),".",""),"/",""))</f>
        <v/>
      </c>
      <c r="C822" s="8">
        <f>IF($F822=1,$H822,"")</f>
        <v/>
      </c>
      <c r="D822" s="7">
        <f>IF($A822="","",IF($F822=0,"Biçim hatalı",IF(FIND(MID($B822,11,1),"0123456789")-1=$H822,"Geçerli","Kontrol hanesi hatalı (doğrusu: "&amp;$H822&amp;")")))</f>
        <v/>
      </c>
      <c r="F822">
        <f>IF($A822="","",IF(AND(LEN($B822)=11,SUMPRODUCT(--ISNUMBER(FIND(MID($B822,{1,2,3,4,5,6,7,8,9,10,11},1),"0123456789")))=11),1,0))</f>
        <v/>
      </c>
      <c r="G822">
        <f>IF($F822=1,VALUE(MID($B822,4,7)),"")</f>
        <v/>
      </c>
      <c r="H822">
        <f>IF($F822=1,MOD($G822,7),"")</f>
        <v/>
      </c>
    </row>
    <row r="823">
      <c r="A823" s="6" t="n"/>
      <c r="B823" s="7">
        <f>IF($A823="","",SUBSTITUTE(SUBSTITUTE(SUBSTITUTE(SUBSTITUTE($A823," ",""),"-",""),".",""),"/",""))</f>
        <v/>
      </c>
      <c r="C823" s="8">
        <f>IF($F823=1,$H823,"")</f>
        <v/>
      </c>
      <c r="D823" s="7">
        <f>IF($A823="","",IF($F823=0,"Biçim hatalı",IF(FIND(MID($B823,11,1),"0123456789")-1=$H823,"Geçerli","Kontrol hanesi hatalı (doğrusu: "&amp;$H823&amp;")")))</f>
        <v/>
      </c>
      <c r="F823">
        <f>IF($A823="","",IF(AND(LEN($B823)=11,SUMPRODUCT(--ISNUMBER(FIND(MID($B823,{1,2,3,4,5,6,7,8,9,10,11},1),"0123456789")))=11),1,0))</f>
        <v/>
      </c>
      <c r="G823">
        <f>IF($F823=1,VALUE(MID($B823,4,7)),"")</f>
        <v/>
      </c>
      <c r="H823">
        <f>IF($F823=1,MOD($G823,7),"")</f>
        <v/>
      </c>
    </row>
    <row r="824">
      <c r="A824" s="6" t="n"/>
      <c r="B824" s="7">
        <f>IF($A824="","",SUBSTITUTE(SUBSTITUTE(SUBSTITUTE(SUBSTITUTE($A824," ",""),"-",""),".",""),"/",""))</f>
        <v/>
      </c>
      <c r="C824" s="8">
        <f>IF($F824=1,$H824,"")</f>
        <v/>
      </c>
      <c r="D824" s="7">
        <f>IF($A824="","",IF($F824=0,"Biçim hatalı",IF(FIND(MID($B824,11,1),"0123456789")-1=$H824,"Geçerli","Kontrol hanesi hatalı (doğrusu: "&amp;$H824&amp;")")))</f>
        <v/>
      </c>
      <c r="F824">
        <f>IF($A824="","",IF(AND(LEN($B824)=11,SUMPRODUCT(--ISNUMBER(FIND(MID($B824,{1,2,3,4,5,6,7,8,9,10,11},1),"0123456789")))=11),1,0))</f>
        <v/>
      </c>
      <c r="G824">
        <f>IF($F824=1,VALUE(MID($B824,4,7)),"")</f>
        <v/>
      </c>
      <c r="H824">
        <f>IF($F824=1,MOD($G824,7),"")</f>
        <v/>
      </c>
    </row>
    <row r="825">
      <c r="A825" s="6" t="n"/>
      <c r="B825" s="7">
        <f>IF($A825="","",SUBSTITUTE(SUBSTITUTE(SUBSTITUTE(SUBSTITUTE($A825," ",""),"-",""),".",""),"/",""))</f>
        <v/>
      </c>
      <c r="C825" s="8">
        <f>IF($F825=1,$H825,"")</f>
        <v/>
      </c>
      <c r="D825" s="7">
        <f>IF($A825="","",IF($F825=0,"Biçim hatalı",IF(FIND(MID($B825,11,1),"0123456789")-1=$H825,"Geçerli","Kontrol hanesi hatalı (doğrusu: "&amp;$H825&amp;")")))</f>
        <v/>
      </c>
      <c r="F825">
        <f>IF($A825="","",IF(AND(LEN($B825)=11,SUMPRODUCT(--ISNUMBER(FIND(MID($B825,{1,2,3,4,5,6,7,8,9,10,11},1),"0123456789")))=11),1,0))</f>
        <v/>
      </c>
      <c r="G825">
        <f>IF($F825=1,VALUE(MID($B825,4,7)),"")</f>
        <v/>
      </c>
      <c r="H825">
        <f>IF($F825=1,MOD($G825,7),"")</f>
        <v/>
      </c>
    </row>
    <row r="826">
      <c r="A826" s="6" t="n"/>
      <c r="B826" s="7">
        <f>IF($A826="","",SUBSTITUTE(SUBSTITUTE(SUBSTITUTE(SUBSTITUTE($A826," ",""),"-",""),".",""),"/",""))</f>
        <v/>
      </c>
      <c r="C826" s="8">
        <f>IF($F826=1,$H826,"")</f>
        <v/>
      </c>
      <c r="D826" s="7">
        <f>IF($A826="","",IF($F826=0,"Biçim hatalı",IF(FIND(MID($B826,11,1),"0123456789")-1=$H826,"Geçerli","Kontrol hanesi hatalı (doğrusu: "&amp;$H826&amp;")")))</f>
        <v/>
      </c>
      <c r="F826">
        <f>IF($A826="","",IF(AND(LEN($B826)=11,SUMPRODUCT(--ISNUMBER(FIND(MID($B826,{1,2,3,4,5,6,7,8,9,10,11},1),"0123456789")))=11),1,0))</f>
        <v/>
      </c>
      <c r="G826">
        <f>IF($F826=1,VALUE(MID($B826,4,7)),"")</f>
        <v/>
      </c>
      <c r="H826">
        <f>IF($F826=1,MOD($G826,7),"")</f>
        <v/>
      </c>
    </row>
    <row r="827">
      <c r="A827" s="6" t="n"/>
      <c r="B827" s="7">
        <f>IF($A827="","",SUBSTITUTE(SUBSTITUTE(SUBSTITUTE(SUBSTITUTE($A827," ",""),"-",""),".",""),"/",""))</f>
        <v/>
      </c>
      <c r="C827" s="8">
        <f>IF($F827=1,$H827,"")</f>
        <v/>
      </c>
      <c r="D827" s="7">
        <f>IF($A827="","",IF($F827=0,"Biçim hatalı",IF(FIND(MID($B827,11,1),"0123456789")-1=$H827,"Geçerli","Kontrol hanesi hatalı (doğrusu: "&amp;$H827&amp;")")))</f>
        <v/>
      </c>
      <c r="F827">
        <f>IF($A827="","",IF(AND(LEN($B827)=11,SUMPRODUCT(--ISNUMBER(FIND(MID($B827,{1,2,3,4,5,6,7,8,9,10,11},1),"0123456789")))=11),1,0))</f>
        <v/>
      </c>
      <c r="G827">
        <f>IF($F827=1,VALUE(MID($B827,4,7)),"")</f>
        <v/>
      </c>
      <c r="H827">
        <f>IF($F827=1,MOD($G827,7),"")</f>
        <v/>
      </c>
    </row>
    <row r="828">
      <c r="A828" s="6" t="n"/>
      <c r="B828" s="7">
        <f>IF($A828="","",SUBSTITUTE(SUBSTITUTE(SUBSTITUTE(SUBSTITUTE($A828," ",""),"-",""),".",""),"/",""))</f>
        <v/>
      </c>
      <c r="C828" s="8">
        <f>IF($F828=1,$H828,"")</f>
        <v/>
      </c>
      <c r="D828" s="7">
        <f>IF($A828="","",IF($F828=0,"Biçim hatalı",IF(FIND(MID($B828,11,1),"0123456789")-1=$H828,"Geçerli","Kontrol hanesi hatalı (doğrusu: "&amp;$H828&amp;")")))</f>
        <v/>
      </c>
      <c r="F828">
        <f>IF($A828="","",IF(AND(LEN($B828)=11,SUMPRODUCT(--ISNUMBER(FIND(MID($B828,{1,2,3,4,5,6,7,8,9,10,11},1),"0123456789")))=11),1,0))</f>
        <v/>
      </c>
      <c r="G828">
        <f>IF($F828=1,VALUE(MID($B828,4,7)),"")</f>
        <v/>
      </c>
      <c r="H828">
        <f>IF($F828=1,MOD($G828,7),"")</f>
        <v/>
      </c>
    </row>
    <row r="829">
      <c r="A829" s="6" t="n"/>
      <c r="B829" s="7">
        <f>IF($A829="","",SUBSTITUTE(SUBSTITUTE(SUBSTITUTE(SUBSTITUTE($A829," ",""),"-",""),".",""),"/",""))</f>
        <v/>
      </c>
      <c r="C829" s="8">
        <f>IF($F829=1,$H829,"")</f>
        <v/>
      </c>
      <c r="D829" s="7">
        <f>IF($A829="","",IF($F829=0,"Biçim hatalı",IF(FIND(MID($B829,11,1),"0123456789")-1=$H829,"Geçerli","Kontrol hanesi hatalı (doğrusu: "&amp;$H829&amp;")")))</f>
        <v/>
      </c>
      <c r="F829">
        <f>IF($A829="","",IF(AND(LEN($B829)=11,SUMPRODUCT(--ISNUMBER(FIND(MID($B829,{1,2,3,4,5,6,7,8,9,10,11},1),"0123456789")))=11),1,0))</f>
        <v/>
      </c>
      <c r="G829">
        <f>IF($F829=1,VALUE(MID($B829,4,7)),"")</f>
        <v/>
      </c>
      <c r="H829">
        <f>IF($F829=1,MOD($G829,7),"")</f>
        <v/>
      </c>
    </row>
    <row r="830">
      <c r="A830" s="6" t="n"/>
      <c r="B830" s="7">
        <f>IF($A830="","",SUBSTITUTE(SUBSTITUTE(SUBSTITUTE(SUBSTITUTE($A830," ",""),"-",""),".",""),"/",""))</f>
        <v/>
      </c>
      <c r="C830" s="8">
        <f>IF($F830=1,$H830,"")</f>
        <v/>
      </c>
      <c r="D830" s="7">
        <f>IF($A830="","",IF($F830=0,"Biçim hatalı",IF(FIND(MID($B830,11,1),"0123456789")-1=$H830,"Geçerli","Kontrol hanesi hatalı (doğrusu: "&amp;$H830&amp;")")))</f>
        <v/>
      </c>
      <c r="F830">
        <f>IF($A830="","",IF(AND(LEN($B830)=11,SUMPRODUCT(--ISNUMBER(FIND(MID($B830,{1,2,3,4,5,6,7,8,9,10,11},1),"0123456789")))=11),1,0))</f>
        <v/>
      </c>
      <c r="G830">
        <f>IF($F830=1,VALUE(MID($B830,4,7)),"")</f>
        <v/>
      </c>
      <c r="H830">
        <f>IF($F830=1,MOD($G830,7),"")</f>
        <v/>
      </c>
    </row>
    <row r="831">
      <c r="A831" s="6" t="n"/>
      <c r="B831" s="7">
        <f>IF($A831="","",SUBSTITUTE(SUBSTITUTE(SUBSTITUTE(SUBSTITUTE($A831," ",""),"-",""),".",""),"/",""))</f>
        <v/>
      </c>
      <c r="C831" s="8">
        <f>IF($F831=1,$H831,"")</f>
        <v/>
      </c>
      <c r="D831" s="7">
        <f>IF($A831="","",IF($F831=0,"Biçim hatalı",IF(FIND(MID($B831,11,1),"0123456789")-1=$H831,"Geçerli","Kontrol hanesi hatalı (doğrusu: "&amp;$H831&amp;")")))</f>
        <v/>
      </c>
      <c r="F831">
        <f>IF($A831="","",IF(AND(LEN($B831)=11,SUMPRODUCT(--ISNUMBER(FIND(MID($B831,{1,2,3,4,5,6,7,8,9,10,11},1),"0123456789")))=11),1,0))</f>
        <v/>
      </c>
      <c r="G831">
        <f>IF($F831=1,VALUE(MID($B831,4,7)),"")</f>
        <v/>
      </c>
      <c r="H831">
        <f>IF($F831=1,MOD($G831,7),"")</f>
        <v/>
      </c>
    </row>
    <row r="832">
      <c r="A832" s="6" t="n"/>
      <c r="B832" s="7">
        <f>IF($A832="","",SUBSTITUTE(SUBSTITUTE(SUBSTITUTE(SUBSTITUTE($A832," ",""),"-",""),".",""),"/",""))</f>
        <v/>
      </c>
      <c r="C832" s="8">
        <f>IF($F832=1,$H832,"")</f>
        <v/>
      </c>
      <c r="D832" s="7">
        <f>IF($A832="","",IF($F832=0,"Biçim hatalı",IF(FIND(MID($B832,11,1),"0123456789")-1=$H832,"Geçerli","Kontrol hanesi hatalı (doğrusu: "&amp;$H832&amp;")")))</f>
        <v/>
      </c>
      <c r="F832">
        <f>IF($A832="","",IF(AND(LEN($B832)=11,SUMPRODUCT(--ISNUMBER(FIND(MID($B832,{1,2,3,4,5,6,7,8,9,10,11},1),"0123456789")))=11),1,0))</f>
        <v/>
      </c>
      <c r="G832">
        <f>IF($F832=1,VALUE(MID($B832,4,7)),"")</f>
        <v/>
      </c>
      <c r="H832">
        <f>IF($F832=1,MOD($G832,7),"")</f>
        <v/>
      </c>
    </row>
    <row r="833">
      <c r="A833" s="6" t="n"/>
      <c r="B833" s="7">
        <f>IF($A833="","",SUBSTITUTE(SUBSTITUTE(SUBSTITUTE(SUBSTITUTE($A833," ",""),"-",""),".",""),"/",""))</f>
        <v/>
      </c>
      <c r="C833" s="8">
        <f>IF($F833=1,$H833,"")</f>
        <v/>
      </c>
      <c r="D833" s="7">
        <f>IF($A833="","",IF($F833=0,"Biçim hatalı",IF(FIND(MID($B833,11,1),"0123456789")-1=$H833,"Geçerli","Kontrol hanesi hatalı (doğrusu: "&amp;$H833&amp;")")))</f>
        <v/>
      </c>
      <c r="F833">
        <f>IF($A833="","",IF(AND(LEN($B833)=11,SUMPRODUCT(--ISNUMBER(FIND(MID($B833,{1,2,3,4,5,6,7,8,9,10,11},1),"0123456789")))=11),1,0))</f>
        <v/>
      </c>
      <c r="G833">
        <f>IF($F833=1,VALUE(MID($B833,4,7)),"")</f>
        <v/>
      </c>
      <c r="H833">
        <f>IF($F833=1,MOD($G833,7),"")</f>
        <v/>
      </c>
    </row>
    <row r="834">
      <c r="A834" s="6" t="n"/>
      <c r="B834" s="7">
        <f>IF($A834="","",SUBSTITUTE(SUBSTITUTE(SUBSTITUTE(SUBSTITUTE($A834," ",""),"-",""),".",""),"/",""))</f>
        <v/>
      </c>
      <c r="C834" s="8">
        <f>IF($F834=1,$H834,"")</f>
        <v/>
      </c>
      <c r="D834" s="7">
        <f>IF($A834="","",IF($F834=0,"Biçim hatalı",IF(FIND(MID($B834,11,1),"0123456789")-1=$H834,"Geçerli","Kontrol hanesi hatalı (doğrusu: "&amp;$H834&amp;")")))</f>
        <v/>
      </c>
      <c r="F834">
        <f>IF($A834="","",IF(AND(LEN($B834)=11,SUMPRODUCT(--ISNUMBER(FIND(MID($B834,{1,2,3,4,5,6,7,8,9,10,11},1),"0123456789")))=11),1,0))</f>
        <v/>
      </c>
      <c r="G834">
        <f>IF($F834=1,VALUE(MID($B834,4,7)),"")</f>
        <v/>
      </c>
      <c r="H834">
        <f>IF($F834=1,MOD($G834,7),"")</f>
        <v/>
      </c>
    </row>
    <row r="835">
      <c r="A835" s="6" t="n"/>
      <c r="B835" s="7">
        <f>IF($A835="","",SUBSTITUTE(SUBSTITUTE(SUBSTITUTE(SUBSTITUTE($A835," ",""),"-",""),".",""),"/",""))</f>
        <v/>
      </c>
      <c r="C835" s="8">
        <f>IF($F835=1,$H835,"")</f>
        <v/>
      </c>
      <c r="D835" s="7">
        <f>IF($A835="","",IF($F835=0,"Biçim hatalı",IF(FIND(MID($B835,11,1),"0123456789")-1=$H835,"Geçerli","Kontrol hanesi hatalı (doğrusu: "&amp;$H835&amp;")")))</f>
        <v/>
      </c>
      <c r="F835">
        <f>IF($A835="","",IF(AND(LEN($B835)=11,SUMPRODUCT(--ISNUMBER(FIND(MID($B835,{1,2,3,4,5,6,7,8,9,10,11},1),"0123456789")))=11),1,0))</f>
        <v/>
      </c>
      <c r="G835">
        <f>IF($F835=1,VALUE(MID($B835,4,7)),"")</f>
        <v/>
      </c>
      <c r="H835">
        <f>IF($F835=1,MOD($G835,7),"")</f>
        <v/>
      </c>
    </row>
    <row r="836">
      <c r="A836" s="6" t="n"/>
      <c r="B836" s="7">
        <f>IF($A836="","",SUBSTITUTE(SUBSTITUTE(SUBSTITUTE(SUBSTITUTE($A836," ",""),"-",""),".",""),"/",""))</f>
        <v/>
      </c>
      <c r="C836" s="8">
        <f>IF($F836=1,$H836,"")</f>
        <v/>
      </c>
      <c r="D836" s="7">
        <f>IF($A836="","",IF($F836=0,"Biçim hatalı",IF(FIND(MID($B836,11,1),"0123456789")-1=$H836,"Geçerli","Kontrol hanesi hatalı (doğrusu: "&amp;$H836&amp;")")))</f>
        <v/>
      </c>
      <c r="F836">
        <f>IF($A836="","",IF(AND(LEN($B836)=11,SUMPRODUCT(--ISNUMBER(FIND(MID($B836,{1,2,3,4,5,6,7,8,9,10,11},1),"0123456789")))=11),1,0))</f>
        <v/>
      </c>
      <c r="G836">
        <f>IF($F836=1,VALUE(MID($B836,4,7)),"")</f>
        <v/>
      </c>
      <c r="H836">
        <f>IF($F836=1,MOD($G836,7),"")</f>
        <v/>
      </c>
    </row>
    <row r="837">
      <c r="A837" s="6" t="n"/>
      <c r="B837" s="7">
        <f>IF($A837="","",SUBSTITUTE(SUBSTITUTE(SUBSTITUTE(SUBSTITUTE($A837," ",""),"-",""),".",""),"/",""))</f>
        <v/>
      </c>
      <c r="C837" s="8">
        <f>IF($F837=1,$H837,"")</f>
        <v/>
      </c>
      <c r="D837" s="7">
        <f>IF($A837="","",IF($F837=0,"Biçim hatalı",IF(FIND(MID($B837,11,1),"0123456789")-1=$H837,"Geçerli","Kontrol hanesi hatalı (doğrusu: "&amp;$H837&amp;")")))</f>
        <v/>
      </c>
      <c r="F837">
        <f>IF($A837="","",IF(AND(LEN($B837)=11,SUMPRODUCT(--ISNUMBER(FIND(MID($B837,{1,2,3,4,5,6,7,8,9,10,11},1),"0123456789")))=11),1,0))</f>
        <v/>
      </c>
      <c r="G837">
        <f>IF($F837=1,VALUE(MID($B837,4,7)),"")</f>
        <v/>
      </c>
      <c r="H837">
        <f>IF($F837=1,MOD($G837,7),"")</f>
        <v/>
      </c>
    </row>
    <row r="838">
      <c r="A838" s="6" t="n"/>
      <c r="B838" s="7">
        <f>IF($A838="","",SUBSTITUTE(SUBSTITUTE(SUBSTITUTE(SUBSTITUTE($A838," ",""),"-",""),".",""),"/",""))</f>
        <v/>
      </c>
      <c r="C838" s="8">
        <f>IF($F838=1,$H838,"")</f>
        <v/>
      </c>
      <c r="D838" s="7">
        <f>IF($A838="","",IF($F838=0,"Biçim hatalı",IF(FIND(MID($B838,11,1),"0123456789")-1=$H838,"Geçerli","Kontrol hanesi hatalı (doğrusu: "&amp;$H838&amp;")")))</f>
        <v/>
      </c>
      <c r="F838">
        <f>IF($A838="","",IF(AND(LEN($B838)=11,SUMPRODUCT(--ISNUMBER(FIND(MID($B838,{1,2,3,4,5,6,7,8,9,10,11},1),"0123456789")))=11),1,0))</f>
        <v/>
      </c>
      <c r="G838">
        <f>IF($F838=1,VALUE(MID($B838,4,7)),"")</f>
        <v/>
      </c>
      <c r="H838">
        <f>IF($F838=1,MOD($G838,7),"")</f>
        <v/>
      </c>
    </row>
    <row r="839">
      <c r="A839" s="6" t="n"/>
      <c r="B839" s="7">
        <f>IF($A839="","",SUBSTITUTE(SUBSTITUTE(SUBSTITUTE(SUBSTITUTE($A839," ",""),"-",""),".",""),"/",""))</f>
        <v/>
      </c>
      <c r="C839" s="8">
        <f>IF($F839=1,$H839,"")</f>
        <v/>
      </c>
      <c r="D839" s="7">
        <f>IF($A839="","",IF($F839=0,"Biçim hatalı",IF(FIND(MID($B839,11,1),"0123456789")-1=$H839,"Geçerli","Kontrol hanesi hatalı (doğrusu: "&amp;$H839&amp;")")))</f>
        <v/>
      </c>
      <c r="F839">
        <f>IF($A839="","",IF(AND(LEN($B839)=11,SUMPRODUCT(--ISNUMBER(FIND(MID($B839,{1,2,3,4,5,6,7,8,9,10,11},1),"0123456789")))=11),1,0))</f>
        <v/>
      </c>
      <c r="G839">
        <f>IF($F839=1,VALUE(MID($B839,4,7)),"")</f>
        <v/>
      </c>
      <c r="H839">
        <f>IF($F839=1,MOD($G839,7),"")</f>
        <v/>
      </c>
    </row>
    <row r="840">
      <c r="A840" s="6" t="n"/>
      <c r="B840" s="7">
        <f>IF($A840="","",SUBSTITUTE(SUBSTITUTE(SUBSTITUTE(SUBSTITUTE($A840," ",""),"-",""),".",""),"/",""))</f>
        <v/>
      </c>
      <c r="C840" s="8">
        <f>IF($F840=1,$H840,"")</f>
        <v/>
      </c>
      <c r="D840" s="7">
        <f>IF($A840="","",IF($F840=0,"Biçim hatalı",IF(FIND(MID($B840,11,1),"0123456789")-1=$H840,"Geçerli","Kontrol hanesi hatalı (doğrusu: "&amp;$H840&amp;")")))</f>
        <v/>
      </c>
      <c r="F840">
        <f>IF($A840="","",IF(AND(LEN($B840)=11,SUMPRODUCT(--ISNUMBER(FIND(MID($B840,{1,2,3,4,5,6,7,8,9,10,11},1),"0123456789")))=11),1,0))</f>
        <v/>
      </c>
      <c r="G840">
        <f>IF($F840=1,VALUE(MID($B840,4,7)),"")</f>
        <v/>
      </c>
      <c r="H840">
        <f>IF($F840=1,MOD($G840,7),"")</f>
        <v/>
      </c>
    </row>
    <row r="841">
      <c r="A841" s="6" t="n"/>
      <c r="B841" s="7">
        <f>IF($A841="","",SUBSTITUTE(SUBSTITUTE(SUBSTITUTE(SUBSTITUTE($A841," ",""),"-",""),".",""),"/",""))</f>
        <v/>
      </c>
      <c r="C841" s="8">
        <f>IF($F841=1,$H841,"")</f>
        <v/>
      </c>
      <c r="D841" s="7">
        <f>IF($A841="","",IF($F841=0,"Biçim hatalı",IF(FIND(MID($B841,11,1),"0123456789")-1=$H841,"Geçerli","Kontrol hanesi hatalı (doğrusu: "&amp;$H841&amp;")")))</f>
        <v/>
      </c>
      <c r="F841">
        <f>IF($A841="","",IF(AND(LEN($B841)=11,SUMPRODUCT(--ISNUMBER(FIND(MID($B841,{1,2,3,4,5,6,7,8,9,10,11},1),"0123456789")))=11),1,0))</f>
        <v/>
      </c>
      <c r="G841">
        <f>IF($F841=1,VALUE(MID($B841,4,7)),"")</f>
        <v/>
      </c>
      <c r="H841">
        <f>IF($F841=1,MOD($G841,7),"")</f>
        <v/>
      </c>
    </row>
    <row r="842">
      <c r="A842" s="6" t="n"/>
      <c r="B842" s="7">
        <f>IF($A842="","",SUBSTITUTE(SUBSTITUTE(SUBSTITUTE(SUBSTITUTE($A842," ",""),"-",""),".",""),"/",""))</f>
        <v/>
      </c>
      <c r="C842" s="8">
        <f>IF($F842=1,$H842,"")</f>
        <v/>
      </c>
      <c r="D842" s="7">
        <f>IF($A842="","",IF($F842=0,"Biçim hatalı",IF(FIND(MID($B842,11,1),"0123456789")-1=$H842,"Geçerli","Kontrol hanesi hatalı (doğrusu: "&amp;$H842&amp;")")))</f>
        <v/>
      </c>
      <c r="F842">
        <f>IF($A842="","",IF(AND(LEN($B842)=11,SUMPRODUCT(--ISNUMBER(FIND(MID($B842,{1,2,3,4,5,6,7,8,9,10,11},1),"0123456789")))=11),1,0))</f>
        <v/>
      </c>
      <c r="G842">
        <f>IF($F842=1,VALUE(MID($B842,4,7)),"")</f>
        <v/>
      </c>
      <c r="H842">
        <f>IF($F842=1,MOD($G842,7),"")</f>
        <v/>
      </c>
    </row>
    <row r="843">
      <c r="A843" s="6" t="n"/>
      <c r="B843" s="7">
        <f>IF($A843="","",SUBSTITUTE(SUBSTITUTE(SUBSTITUTE(SUBSTITUTE($A843," ",""),"-",""),".",""),"/",""))</f>
        <v/>
      </c>
      <c r="C843" s="8">
        <f>IF($F843=1,$H843,"")</f>
        <v/>
      </c>
      <c r="D843" s="7">
        <f>IF($A843="","",IF($F843=0,"Biçim hatalı",IF(FIND(MID($B843,11,1),"0123456789")-1=$H843,"Geçerli","Kontrol hanesi hatalı (doğrusu: "&amp;$H843&amp;")")))</f>
        <v/>
      </c>
      <c r="F843">
        <f>IF($A843="","",IF(AND(LEN($B843)=11,SUMPRODUCT(--ISNUMBER(FIND(MID($B843,{1,2,3,4,5,6,7,8,9,10,11},1),"0123456789")))=11),1,0))</f>
        <v/>
      </c>
      <c r="G843">
        <f>IF($F843=1,VALUE(MID($B843,4,7)),"")</f>
        <v/>
      </c>
      <c r="H843">
        <f>IF($F843=1,MOD($G843,7),"")</f>
        <v/>
      </c>
    </row>
    <row r="844">
      <c r="A844" s="6" t="n"/>
      <c r="B844" s="7">
        <f>IF($A844="","",SUBSTITUTE(SUBSTITUTE(SUBSTITUTE(SUBSTITUTE($A844," ",""),"-",""),".",""),"/",""))</f>
        <v/>
      </c>
      <c r="C844" s="8">
        <f>IF($F844=1,$H844,"")</f>
        <v/>
      </c>
      <c r="D844" s="7">
        <f>IF($A844="","",IF($F844=0,"Biçim hatalı",IF(FIND(MID($B844,11,1),"0123456789")-1=$H844,"Geçerli","Kontrol hanesi hatalı (doğrusu: "&amp;$H844&amp;")")))</f>
        <v/>
      </c>
      <c r="F844">
        <f>IF($A844="","",IF(AND(LEN($B844)=11,SUMPRODUCT(--ISNUMBER(FIND(MID($B844,{1,2,3,4,5,6,7,8,9,10,11},1),"0123456789")))=11),1,0))</f>
        <v/>
      </c>
      <c r="G844">
        <f>IF($F844=1,VALUE(MID($B844,4,7)),"")</f>
        <v/>
      </c>
      <c r="H844">
        <f>IF($F844=1,MOD($G844,7),"")</f>
        <v/>
      </c>
    </row>
    <row r="845">
      <c r="A845" s="6" t="n"/>
      <c r="B845" s="7">
        <f>IF($A845="","",SUBSTITUTE(SUBSTITUTE(SUBSTITUTE(SUBSTITUTE($A845," ",""),"-",""),".",""),"/",""))</f>
        <v/>
      </c>
      <c r="C845" s="8">
        <f>IF($F845=1,$H845,"")</f>
        <v/>
      </c>
      <c r="D845" s="7">
        <f>IF($A845="","",IF($F845=0,"Biçim hatalı",IF(FIND(MID($B845,11,1),"0123456789")-1=$H845,"Geçerli","Kontrol hanesi hatalı (doğrusu: "&amp;$H845&amp;")")))</f>
        <v/>
      </c>
      <c r="F845">
        <f>IF($A845="","",IF(AND(LEN($B845)=11,SUMPRODUCT(--ISNUMBER(FIND(MID($B845,{1,2,3,4,5,6,7,8,9,10,11},1),"0123456789")))=11),1,0))</f>
        <v/>
      </c>
      <c r="G845">
        <f>IF($F845=1,VALUE(MID($B845,4,7)),"")</f>
        <v/>
      </c>
      <c r="H845">
        <f>IF($F845=1,MOD($G845,7),"")</f>
        <v/>
      </c>
    </row>
    <row r="846">
      <c r="A846" s="6" t="n"/>
      <c r="B846" s="7">
        <f>IF($A846="","",SUBSTITUTE(SUBSTITUTE(SUBSTITUTE(SUBSTITUTE($A846," ",""),"-",""),".",""),"/",""))</f>
        <v/>
      </c>
      <c r="C846" s="8">
        <f>IF($F846=1,$H846,"")</f>
        <v/>
      </c>
      <c r="D846" s="7">
        <f>IF($A846="","",IF($F846=0,"Biçim hatalı",IF(FIND(MID($B846,11,1),"0123456789")-1=$H846,"Geçerli","Kontrol hanesi hatalı (doğrusu: "&amp;$H846&amp;")")))</f>
        <v/>
      </c>
      <c r="F846">
        <f>IF($A846="","",IF(AND(LEN($B846)=11,SUMPRODUCT(--ISNUMBER(FIND(MID($B846,{1,2,3,4,5,6,7,8,9,10,11},1),"0123456789")))=11),1,0))</f>
        <v/>
      </c>
      <c r="G846">
        <f>IF($F846=1,VALUE(MID($B846,4,7)),"")</f>
        <v/>
      </c>
      <c r="H846">
        <f>IF($F846=1,MOD($G846,7),"")</f>
        <v/>
      </c>
    </row>
    <row r="847">
      <c r="A847" s="6" t="n"/>
      <c r="B847" s="7">
        <f>IF($A847="","",SUBSTITUTE(SUBSTITUTE(SUBSTITUTE(SUBSTITUTE($A847," ",""),"-",""),".",""),"/",""))</f>
        <v/>
      </c>
      <c r="C847" s="8">
        <f>IF($F847=1,$H847,"")</f>
        <v/>
      </c>
      <c r="D847" s="7">
        <f>IF($A847="","",IF($F847=0,"Biçim hatalı",IF(FIND(MID($B847,11,1),"0123456789")-1=$H847,"Geçerli","Kontrol hanesi hatalı (doğrusu: "&amp;$H847&amp;")")))</f>
        <v/>
      </c>
      <c r="F847">
        <f>IF($A847="","",IF(AND(LEN($B847)=11,SUMPRODUCT(--ISNUMBER(FIND(MID($B847,{1,2,3,4,5,6,7,8,9,10,11},1),"0123456789")))=11),1,0))</f>
        <v/>
      </c>
      <c r="G847">
        <f>IF($F847=1,VALUE(MID($B847,4,7)),"")</f>
        <v/>
      </c>
      <c r="H847">
        <f>IF($F847=1,MOD($G847,7),"")</f>
        <v/>
      </c>
    </row>
    <row r="848">
      <c r="A848" s="6" t="n"/>
      <c r="B848" s="7">
        <f>IF($A848="","",SUBSTITUTE(SUBSTITUTE(SUBSTITUTE(SUBSTITUTE($A848," ",""),"-",""),".",""),"/",""))</f>
        <v/>
      </c>
      <c r="C848" s="8">
        <f>IF($F848=1,$H848,"")</f>
        <v/>
      </c>
      <c r="D848" s="7">
        <f>IF($A848="","",IF($F848=0,"Biçim hatalı",IF(FIND(MID($B848,11,1),"0123456789")-1=$H848,"Geçerli","Kontrol hanesi hatalı (doğrusu: "&amp;$H848&amp;")")))</f>
        <v/>
      </c>
      <c r="F848">
        <f>IF($A848="","",IF(AND(LEN($B848)=11,SUMPRODUCT(--ISNUMBER(FIND(MID($B848,{1,2,3,4,5,6,7,8,9,10,11},1),"0123456789")))=11),1,0))</f>
        <v/>
      </c>
      <c r="G848">
        <f>IF($F848=1,VALUE(MID($B848,4,7)),"")</f>
        <v/>
      </c>
      <c r="H848">
        <f>IF($F848=1,MOD($G848,7),"")</f>
        <v/>
      </c>
    </row>
    <row r="849">
      <c r="A849" s="6" t="n"/>
      <c r="B849" s="7">
        <f>IF($A849="","",SUBSTITUTE(SUBSTITUTE(SUBSTITUTE(SUBSTITUTE($A849," ",""),"-",""),".",""),"/",""))</f>
        <v/>
      </c>
      <c r="C849" s="8">
        <f>IF($F849=1,$H849,"")</f>
        <v/>
      </c>
      <c r="D849" s="7">
        <f>IF($A849="","",IF($F849=0,"Biçim hatalı",IF(FIND(MID($B849,11,1),"0123456789")-1=$H849,"Geçerli","Kontrol hanesi hatalı (doğrusu: "&amp;$H849&amp;")")))</f>
        <v/>
      </c>
      <c r="F849">
        <f>IF($A849="","",IF(AND(LEN($B849)=11,SUMPRODUCT(--ISNUMBER(FIND(MID($B849,{1,2,3,4,5,6,7,8,9,10,11},1),"0123456789")))=11),1,0))</f>
        <v/>
      </c>
      <c r="G849">
        <f>IF($F849=1,VALUE(MID($B849,4,7)),"")</f>
        <v/>
      </c>
      <c r="H849">
        <f>IF($F849=1,MOD($G849,7),"")</f>
        <v/>
      </c>
    </row>
    <row r="850">
      <c r="A850" s="6" t="n"/>
      <c r="B850" s="7">
        <f>IF($A850="","",SUBSTITUTE(SUBSTITUTE(SUBSTITUTE(SUBSTITUTE($A850," ",""),"-",""),".",""),"/",""))</f>
        <v/>
      </c>
      <c r="C850" s="8">
        <f>IF($F850=1,$H850,"")</f>
        <v/>
      </c>
      <c r="D850" s="7">
        <f>IF($A850="","",IF($F850=0,"Biçim hatalı",IF(FIND(MID($B850,11,1),"0123456789")-1=$H850,"Geçerli","Kontrol hanesi hatalı (doğrusu: "&amp;$H850&amp;")")))</f>
        <v/>
      </c>
      <c r="F850">
        <f>IF($A850="","",IF(AND(LEN($B850)=11,SUMPRODUCT(--ISNUMBER(FIND(MID($B850,{1,2,3,4,5,6,7,8,9,10,11},1),"0123456789")))=11),1,0))</f>
        <v/>
      </c>
      <c r="G850">
        <f>IF($F850=1,VALUE(MID($B850,4,7)),"")</f>
        <v/>
      </c>
      <c r="H850">
        <f>IF($F850=1,MOD($G850,7),"")</f>
        <v/>
      </c>
    </row>
    <row r="851">
      <c r="A851" s="6" t="n"/>
      <c r="B851" s="7">
        <f>IF($A851="","",SUBSTITUTE(SUBSTITUTE(SUBSTITUTE(SUBSTITUTE($A851," ",""),"-",""),".",""),"/",""))</f>
        <v/>
      </c>
      <c r="C851" s="8">
        <f>IF($F851=1,$H851,"")</f>
        <v/>
      </c>
      <c r="D851" s="7">
        <f>IF($A851="","",IF($F851=0,"Biçim hatalı",IF(FIND(MID($B851,11,1),"0123456789")-1=$H851,"Geçerli","Kontrol hanesi hatalı (doğrusu: "&amp;$H851&amp;")")))</f>
        <v/>
      </c>
      <c r="F851">
        <f>IF($A851="","",IF(AND(LEN($B851)=11,SUMPRODUCT(--ISNUMBER(FIND(MID($B851,{1,2,3,4,5,6,7,8,9,10,11},1),"0123456789")))=11),1,0))</f>
        <v/>
      </c>
      <c r="G851">
        <f>IF($F851=1,VALUE(MID($B851,4,7)),"")</f>
        <v/>
      </c>
      <c r="H851">
        <f>IF($F851=1,MOD($G851,7),"")</f>
        <v/>
      </c>
    </row>
    <row r="852">
      <c r="A852" s="6" t="n"/>
      <c r="B852" s="7">
        <f>IF($A852="","",SUBSTITUTE(SUBSTITUTE(SUBSTITUTE(SUBSTITUTE($A852," ",""),"-",""),".",""),"/",""))</f>
        <v/>
      </c>
      <c r="C852" s="8">
        <f>IF($F852=1,$H852,"")</f>
        <v/>
      </c>
      <c r="D852" s="7">
        <f>IF($A852="","",IF($F852=0,"Biçim hatalı",IF(FIND(MID($B852,11,1),"0123456789")-1=$H852,"Geçerli","Kontrol hanesi hatalı (doğrusu: "&amp;$H852&amp;")")))</f>
        <v/>
      </c>
      <c r="F852">
        <f>IF($A852="","",IF(AND(LEN($B852)=11,SUMPRODUCT(--ISNUMBER(FIND(MID($B852,{1,2,3,4,5,6,7,8,9,10,11},1),"0123456789")))=11),1,0))</f>
        <v/>
      </c>
      <c r="G852">
        <f>IF($F852=1,VALUE(MID($B852,4,7)),"")</f>
        <v/>
      </c>
      <c r="H852">
        <f>IF($F852=1,MOD($G852,7),"")</f>
        <v/>
      </c>
    </row>
    <row r="853">
      <c r="A853" s="6" t="n"/>
      <c r="B853" s="7">
        <f>IF($A853="","",SUBSTITUTE(SUBSTITUTE(SUBSTITUTE(SUBSTITUTE($A853," ",""),"-",""),".",""),"/",""))</f>
        <v/>
      </c>
      <c r="C853" s="8">
        <f>IF($F853=1,$H853,"")</f>
        <v/>
      </c>
      <c r="D853" s="7">
        <f>IF($A853="","",IF($F853=0,"Biçim hatalı",IF(FIND(MID($B853,11,1),"0123456789")-1=$H853,"Geçerli","Kontrol hanesi hatalı (doğrusu: "&amp;$H853&amp;")")))</f>
        <v/>
      </c>
      <c r="F853">
        <f>IF($A853="","",IF(AND(LEN($B853)=11,SUMPRODUCT(--ISNUMBER(FIND(MID($B853,{1,2,3,4,5,6,7,8,9,10,11},1),"0123456789")))=11),1,0))</f>
        <v/>
      </c>
      <c r="G853">
        <f>IF($F853=1,VALUE(MID($B853,4,7)),"")</f>
        <v/>
      </c>
      <c r="H853">
        <f>IF($F853=1,MOD($G853,7),"")</f>
        <v/>
      </c>
    </row>
    <row r="854">
      <c r="A854" s="6" t="n"/>
      <c r="B854" s="7">
        <f>IF($A854="","",SUBSTITUTE(SUBSTITUTE(SUBSTITUTE(SUBSTITUTE($A854," ",""),"-",""),".",""),"/",""))</f>
        <v/>
      </c>
      <c r="C854" s="8">
        <f>IF($F854=1,$H854,"")</f>
        <v/>
      </c>
      <c r="D854" s="7">
        <f>IF($A854="","",IF($F854=0,"Biçim hatalı",IF(FIND(MID($B854,11,1),"0123456789")-1=$H854,"Geçerli","Kontrol hanesi hatalı (doğrusu: "&amp;$H854&amp;")")))</f>
        <v/>
      </c>
      <c r="F854">
        <f>IF($A854="","",IF(AND(LEN($B854)=11,SUMPRODUCT(--ISNUMBER(FIND(MID($B854,{1,2,3,4,5,6,7,8,9,10,11},1),"0123456789")))=11),1,0))</f>
        <v/>
      </c>
      <c r="G854">
        <f>IF($F854=1,VALUE(MID($B854,4,7)),"")</f>
        <v/>
      </c>
      <c r="H854">
        <f>IF($F854=1,MOD($G854,7),"")</f>
        <v/>
      </c>
    </row>
    <row r="855">
      <c r="A855" s="6" t="n"/>
      <c r="B855" s="7">
        <f>IF($A855="","",SUBSTITUTE(SUBSTITUTE(SUBSTITUTE(SUBSTITUTE($A855," ",""),"-",""),".",""),"/",""))</f>
        <v/>
      </c>
      <c r="C855" s="8">
        <f>IF($F855=1,$H855,"")</f>
        <v/>
      </c>
      <c r="D855" s="7">
        <f>IF($A855="","",IF($F855=0,"Biçim hatalı",IF(FIND(MID($B855,11,1),"0123456789")-1=$H855,"Geçerli","Kontrol hanesi hatalı (doğrusu: "&amp;$H855&amp;")")))</f>
        <v/>
      </c>
      <c r="F855">
        <f>IF($A855="","",IF(AND(LEN($B855)=11,SUMPRODUCT(--ISNUMBER(FIND(MID($B855,{1,2,3,4,5,6,7,8,9,10,11},1),"0123456789")))=11),1,0))</f>
        <v/>
      </c>
      <c r="G855">
        <f>IF($F855=1,VALUE(MID($B855,4,7)),"")</f>
        <v/>
      </c>
      <c r="H855">
        <f>IF($F855=1,MOD($G855,7),"")</f>
        <v/>
      </c>
    </row>
    <row r="856">
      <c r="A856" s="6" t="n"/>
      <c r="B856" s="7">
        <f>IF($A856="","",SUBSTITUTE(SUBSTITUTE(SUBSTITUTE(SUBSTITUTE($A856," ",""),"-",""),".",""),"/",""))</f>
        <v/>
      </c>
      <c r="C856" s="8">
        <f>IF($F856=1,$H856,"")</f>
        <v/>
      </c>
      <c r="D856" s="7">
        <f>IF($A856="","",IF($F856=0,"Biçim hatalı",IF(FIND(MID($B856,11,1),"0123456789")-1=$H856,"Geçerli","Kontrol hanesi hatalı (doğrusu: "&amp;$H856&amp;")")))</f>
        <v/>
      </c>
      <c r="F856">
        <f>IF($A856="","",IF(AND(LEN($B856)=11,SUMPRODUCT(--ISNUMBER(FIND(MID($B856,{1,2,3,4,5,6,7,8,9,10,11},1),"0123456789")))=11),1,0))</f>
        <v/>
      </c>
      <c r="G856">
        <f>IF($F856=1,VALUE(MID($B856,4,7)),"")</f>
        <v/>
      </c>
      <c r="H856">
        <f>IF($F856=1,MOD($G856,7),"")</f>
        <v/>
      </c>
    </row>
    <row r="857">
      <c r="A857" s="6" t="n"/>
      <c r="B857" s="7">
        <f>IF($A857="","",SUBSTITUTE(SUBSTITUTE(SUBSTITUTE(SUBSTITUTE($A857," ",""),"-",""),".",""),"/",""))</f>
        <v/>
      </c>
      <c r="C857" s="8">
        <f>IF($F857=1,$H857,"")</f>
        <v/>
      </c>
      <c r="D857" s="7">
        <f>IF($A857="","",IF($F857=0,"Biçim hatalı",IF(FIND(MID($B857,11,1),"0123456789")-1=$H857,"Geçerli","Kontrol hanesi hatalı (doğrusu: "&amp;$H857&amp;")")))</f>
        <v/>
      </c>
      <c r="F857">
        <f>IF($A857="","",IF(AND(LEN($B857)=11,SUMPRODUCT(--ISNUMBER(FIND(MID($B857,{1,2,3,4,5,6,7,8,9,10,11},1),"0123456789")))=11),1,0))</f>
        <v/>
      </c>
      <c r="G857">
        <f>IF($F857=1,VALUE(MID($B857,4,7)),"")</f>
        <v/>
      </c>
      <c r="H857">
        <f>IF($F857=1,MOD($G857,7),"")</f>
        <v/>
      </c>
    </row>
    <row r="858">
      <c r="A858" s="6" t="n"/>
      <c r="B858" s="7">
        <f>IF($A858="","",SUBSTITUTE(SUBSTITUTE(SUBSTITUTE(SUBSTITUTE($A858," ",""),"-",""),".",""),"/",""))</f>
        <v/>
      </c>
      <c r="C858" s="8">
        <f>IF($F858=1,$H858,"")</f>
        <v/>
      </c>
      <c r="D858" s="7">
        <f>IF($A858="","",IF($F858=0,"Biçim hatalı",IF(FIND(MID($B858,11,1),"0123456789")-1=$H858,"Geçerli","Kontrol hanesi hatalı (doğrusu: "&amp;$H858&amp;")")))</f>
        <v/>
      </c>
      <c r="F858">
        <f>IF($A858="","",IF(AND(LEN($B858)=11,SUMPRODUCT(--ISNUMBER(FIND(MID($B858,{1,2,3,4,5,6,7,8,9,10,11},1),"0123456789")))=11),1,0))</f>
        <v/>
      </c>
      <c r="G858">
        <f>IF($F858=1,VALUE(MID($B858,4,7)),"")</f>
        <v/>
      </c>
      <c r="H858">
        <f>IF($F858=1,MOD($G858,7),"")</f>
        <v/>
      </c>
    </row>
    <row r="859">
      <c r="A859" s="6" t="n"/>
      <c r="B859" s="7">
        <f>IF($A859="","",SUBSTITUTE(SUBSTITUTE(SUBSTITUTE(SUBSTITUTE($A859," ",""),"-",""),".",""),"/",""))</f>
        <v/>
      </c>
      <c r="C859" s="8">
        <f>IF($F859=1,$H859,"")</f>
        <v/>
      </c>
      <c r="D859" s="7">
        <f>IF($A859="","",IF($F859=0,"Biçim hatalı",IF(FIND(MID($B859,11,1),"0123456789")-1=$H859,"Geçerli","Kontrol hanesi hatalı (doğrusu: "&amp;$H859&amp;")")))</f>
        <v/>
      </c>
      <c r="F859">
        <f>IF($A859="","",IF(AND(LEN($B859)=11,SUMPRODUCT(--ISNUMBER(FIND(MID($B859,{1,2,3,4,5,6,7,8,9,10,11},1),"0123456789")))=11),1,0))</f>
        <v/>
      </c>
      <c r="G859">
        <f>IF($F859=1,VALUE(MID($B859,4,7)),"")</f>
        <v/>
      </c>
      <c r="H859">
        <f>IF($F859=1,MOD($G859,7),"")</f>
        <v/>
      </c>
    </row>
    <row r="860">
      <c r="A860" s="6" t="n"/>
      <c r="B860" s="7">
        <f>IF($A860="","",SUBSTITUTE(SUBSTITUTE(SUBSTITUTE(SUBSTITUTE($A860," ",""),"-",""),".",""),"/",""))</f>
        <v/>
      </c>
      <c r="C860" s="8">
        <f>IF($F860=1,$H860,"")</f>
        <v/>
      </c>
      <c r="D860" s="7">
        <f>IF($A860="","",IF($F860=0,"Biçim hatalı",IF(FIND(MID($B860,11,1),"0123456789")-1=$H860,"Geçerli","Kontrol hanesi hatalı (doğrusu: "&amp;$H860&amp;")")))</f>
        <v/>
      </c>
      <c r="F860">
        <f>IF($A860="","",IF(AND(LEN($B860)=11,SUMPRODUCT(--ISNUMBER(FIND(MID($B860,{1,2,3,4,5,6,7,8,9,10,11},1),"0123456789")))=11),1,0))</f>
        <v/>
      </c>
      <c r="G860">
        <f>IF($F860=1,VALUE(MID($B860,4,7)),"")</f>
        <v/>
      </c>
      <c r="H860">
        <f>IF($F860=1,MOD($G860,7),"")</f>
        <v/>
      </c>
    </row>
    <row r="861">
      <c r="A861" s="6" t="n"/>
      <c r="B861" s="7">
        <f>IF($A861="","",SUBSTITUTE(SUBSTITUTE(SUBSTITUTE(SUBSTITUTE($A861," ",""),"-",""),".",""),"/",""))</f>
        <v/>
      </c>
      <c r="C861" s="8">
        <f>IF($F861=1,$H861,"")</f>
        <v/>
      </c>
      <c r="D861" s="7">
        <f>IF($A861="","",IF($F861=0,"Biçim hatalı",IF(FIND(MID($B861,11,1),"0123456789")-1=$H861,"Geçerli","Kontrol hanesi hatalı (doğrusu: "&amp;$H861&amp;")")))</f>
        <v/>
      </c>
      <c r="F861">
        <f>IF($A861="","",IF(AND(LEN($B861)=11,SUMPRODUCT(--ISNUMBER(FIND(MID($B861,{1,2,3,4,5,6,7,8,9,10,11},1),"0123456789")))=11),1,0))</f>
        <v/>
      </c>
      <c r="G861">
        <f>IF($F861=1,VALUE(MID($B861,4,7)),"")</f>
        <v/>
      </c>
      <c r="H861">
        <f>IF($F861=1,MOD($G861,7),"")</f>
        <v/>
      </c>
    </row>
    <row r="862">
      <c r="A862" s="6" t="n"/>
      <c r="B862" s="7">
        <f>IF($A862="","",SUBSTITUTE(SUBSTITUTE(SUBSTITUTE(SUBSTITUTE($A862," ",""),"-",""),".",""),"/",""))</f>
        <v/>
      </c>
      <c r="C862" s="8">
        <f>IF($F862=1,$H862,"")</f>
        <v/>
      </c>
      <c r="D862" s="7">
        <f>IF($A862="","",IF($F862=0,"Biçim hatalı",IF(FIND(MID($B862,11,1),"0123456789")-1=$H862,"Geçerli","Kontrol hanesi hatalı (doğrusu: "&amp;$H862&amp;")")))</f>
        <v/>
      </c>
      <c r="F862">
        <f>IF($A862="","",IF(AND(LEN($B862)=11,SUMPRODUCT(--ISNUMBER(FIND(MID($B862,{1,2,3,4,5,6,7,8,9,10,11},1),"0123456789")))=11),1,0))</f>
        <v/>
      </c>
      <c r="G862">
        <f>IF($F862=1,VALUE(MID($B862,4,7)),"")</f>
        <v/>
      </c>
      <c r="H862">
        <f>IF($F862=1,MOD($G862,7),"")</f>
        <v/>
      </c>
    </row>
    <row r="863">
      <c r="A863" s="6" t="n"/>
      <c r="B863" s="7">
        <f>IF($A863="","",SUBSTITUTE(SUBSTITUTE(SUBSTITUTE(SUBSTITUTE($A863," ",""),"-",""),".",""),"/",""))</f>
        <v/>
      </c>
      <c r="C863" s="8">
        <f>IF($F863=1,$H863,"")</f>
        <v/>
      </c>
      <c r="D863" s="7">
        <f>IF($A863="","",IF($F863=0,"Biçim hatalı",IF(FIND(MID($B863,11,1),"0123456789")-1=$H863,"Geçerli","Kontrol hanesi hatalı (doğrusu: "&amp;$H863&amp;")")))</f>
        <v/>
      </c>
      <c r="F863">
        <f>IF($A863="","",IF(AND(LEN($B863)=11,SUMPRODUCT(--ISNUMBER(FIND(MID($B863,{1,2,3,4,5,6,7,8,9,10,11},1),"0123456789")))=11),1,0))</f>
        <v/>
      </c>
      <c r="G863">
        <f>IF($F863=1,VALUE(MID($B863,4,7)),"")</f>
        <v/>
      </c>
      <c r="H863">
        <f>IF($F863=1,MOD($G863,7),"")</f>
        <v/>
      </c>
    </row>
    <row r="864">
      <c r="A864" s="6" t="n"/>
      <c r="B864" s="7">
        <f>IF($A864="","",SUBSTITUTE(SUBSTITUTE(SUBSTITUTE(SUBSTITUTE($A864," ",""),"-",""),".",""),"/",""))</f>
        <v/>
      </c>
      <c r="C864" s="8">
        <f>IF($F864=1,$H864,"")</f>
        <v/>
      </c>
      <c r="D864" s="7">
        <f>IF($A864="","",IF($F864=0,"Biçim hatalı",IF(FIND(MID($B864,11,1),"0123456789")-1=$H864,"Geçerli","Kontrol hanesi hatalı (doğrusu: "&amp;$H864&amp;")")))</f>
        <v/>
      </c>
      <c r="F864">
        <f>IF($A864="","",IF(AND(LEN($B864)=11,SUMPRODUCT(--ISNUMBER(FIND(MID($B864,{1,2,3,4,5,6,7,8,9,10,11},1),"0123456789")))=11),1,0))</f>
        <v/>
      </c>
      <c r="G864">
        <f>IF($F864=1,VALUE(MID($B864,4,7)),"")</f>
        <v/>
      </c>
      <c r="H864">
        <f>IF($F864=1,MOD($G864,7),"")</f>
        <v/>
      </c>
    </row>
    <row r="865">
      <c r="A865" s="6" t="n"/>
      <c r="B865" s="7">
        <f>IF($A865="","",SUBSTITUTE(SUBSTITUTE(SUBSTITUTE(SUBSTITUTE($A865," ",""),"-",""),".",""),"/",""))</f>
        <v/>
      </c>
      <c r="C865" s="8">
        <f>IF($F865=1,$H865,"")</f>
        <v/>
      </c>
      <c r="D865" s="7">
        <f>IF($A865="","",IF($F865=0,"Biçim hatalı",IF(FIND(MID($B865,11,1),"0123456789")-1=$H865,"Geçerli","Kontrol hanesi hatalı (doğrusu: "&amp;$H865&amp;")")))</f>
        <v/>
      </c>
      <c r="F865">
        <f>IF($A865="","",IF(AND(LEN($B865)=11,SUMPRODUCT(--ISNUMBER(FIND(MID($B865,{1,2,3,4,5,6,7,8,9,10,11},1),"0123456789")))=11),1,0))</f>
        <v/>
      </c>
      <c r="G865">
        <f>IF($F865=1,VALUE(MID($B865,4,7)),"")</f>
        <v/>
      </c>
      <c r="H865">
        <f>IF($F865=1,MOD($G865,7),"")</f>
        <v/>
      </c>
    </row>
    <row r="866">
      <c r="A866" s="6" t="n"/>
      <c r="B866" s="7">
        <f>IF($A866="","",SUBSTITUTE(SUBSTITUTE(SUBSTITUTE(SUBSTITUTE($A866," ",""),"-",""),".",""),"/",""))</f>
        <v/>
      </c>
      <c r="C866" s="8">
        <f>IF($F866=1,$H866,"")</f>
        <v/>
      </c>
      <c r="D866" s="7">
        <f>IF($A866="","",IF($F866=0,"Biçim hatalı",IF(FIND(MID($B866,11,1),"0123456789")-1=$H866,"Geçerli","Kontrol hanesi hatalı (doğrusu: "&amp;$H866&amp;")")))</f>
        <v/>
      </c>
      <c r="F866">
        <f>IF($A866="","",IF(AND(LEN($B866)=11,SUMPRODUCT(--ISNUMBER(FIND(MID($B866,{1,2,3,4,5,6,7,8,9,10,11},1),"0123456789")))=11),1,0))</f>
        <v/>
      </c>
      <c r="G866">
        <f>IF($F866=1,VALUE(MID($B866,4,7)),"")</f>
        <v/>
      </c>
      <c r="H866">
        <f>IF($F866=1,MOD($G866,7),"")</f>
        <v/>
      </c>
    </row>
    <row r="867">
      <c r="A867" s="6" t="n"/>
      <c r="B867" s="7">
        <f>IF($A867="","",SUBSTITUTE(SUBSTITUTE(SUBSTITUTE(SUBSTITUTE($A867," ",""),"-",""),".",""),"/",""))</f>
        <v/>
      </c>
      <c r="C867" s="8">
        <f>IF($F867=1,$H867,"")</f>
        <v/>
      </c>
      <c r="D867" s="7">
        <f>IF($A867="","",IF($F867=0,"Biçim hatalı",IF(FIND(MID($B867,11,1),"0123456789")-1=$H867,"Geçerli","Kontrol hanesi hatalı (doğrusu: "&amp;$H867&amp;")")))</f>
        <v/>
      </c>
      <c r="F867">
        <f>IF($A867="","",IF(AND(LEN($B867)=11,SUMPRODUCT(--ISNUMBER(FIND(MID($B867,{1,2,3,4,5,6,7,8,9,10,11},1),"0123456789")))=11),1,0))</f>
        <v/>
      </c>
      <c r="G867">
        <f>IF($F867=1,VALUE(MID($B867,4,7)),"")</f>
        <v/>
      </c>
      <c r="H867">
        <f>IF($F867=1,MOD($G867,7),"")</f>
        <v/>
      </c>
    </row>
    <row r="868">
      <c r="A868" s="6" t="n"/>
      <c r="B868" s="7">
        <f>IF($A868="","",SUBSTITUTE(SUBSTITUTE(SUBSTITUTE(SUBSTITUTE($A868," ",""),"-",""),".",""),"/",""))</f>
        <v/>
      </c>
      <c r="C868" s="8">
        <f>IF($F868=1,$H868,"")</f>
        <v/>
      </c>
      <c r="D868" s="7">
        <f>IF($A868="","",IF($F868=0,"Biçim hatalı",IF(FIND(MID($B868,11,1),"0123456789")-1=$H868,"Geçerli","Kontrol hanesi hatalı (doğrusu: "&amp;$H868&amp;")")))</f>
        <v/>
      </c>
      <c r="F868">
        <f>IF($A868="","",IF(AND(LEN($B868)=11,SUMPRODUCT(--ISNUMBER(FIND(MID($B868,{1,2,3,4,5,6,7,8,9,10,11},1),"0123456789")))=11),1,0))</f>
        <v/>
      </c>
      <c r="G868">
        <f>IF($F868=1,VALUE(MID($B868,4,7)),"")</f>
        <v/>
      </c>
      <c r="H868">
        <f>IF($F868=1,MOD($G868,7),"")</f>
        <v/>
      </c>
    </row>
    <row r="869">
      <c r="A869" s="6" t="n"/>
      <c r="B869" s="7">
        <f>IF($A869="","",SUBSTITUTE(SUBSTITUTE(SUBSTITUTE(SUBSTITUTE($A869," ",""),"-",""),".",""),"/",""))</f>
        <v/>
      </c>
      <c r="C869" s="8">
        <f>IF($F869=1,$H869,"")</f>
        <v/>
      </c>
      <c r="D869" s="7">
        <f>IF($A869="","",IF($F869=0,"Biçim hatalı",IF(FIND(MID($B869,11,1),"0123456789")-1=$H869,"Geçerli","Kontrol hanesi hatalı (doğrusu: "&amp;$H869&amp;")")))</f>
        <v/>
      </c>
      <c r="F869">
        <f>IF($A869="","",IF(AND(LEN($B869)=11,SUMPRODUCT(--ISNUMBER(FIND(MID($B869,{1,2,3,4,5,6,7,8,9,10,11},1),"0123456789")))=11),1,0))</f>
        <v/>
      </c>
      <c r="G869">
        <f>IF($F869=1,VALUE(MID($B869,4,7)),"")</f>
        <v/>
      </c>
      <c r="H869">
        <f>IF($F869=1,MOD($G869,7),"")</f>
        <v/>
      </c>
    </row>
    <row r="870">
      <c r="A870" s="6" t="n"/>
      <c r="B870" s="7">
        <f>IF($A870="","",SUBSTITUTE(SUBSTITUTE(SUBSTITUTE(SUBSTITUTE($A870," ",""),"-",""),".",""),"/",""))</f>
        <v/>
      </c>
      <c r="C870" s="8">
        <f>IF($F870=1,$H870,"")</f>
        <v/>
      </c>
      <c r="D870" s="7">
        <f>IF($A870="","",IF($F870=0,"Biçim hatalı",IF(FIND(MID($B870,11,1),"0123456789")-1=$H870,"Geçerli","Kontrol hanesi hatalı (doğrusu: "&amp;$H870&amp;")")))</f>
        <v/>
      </c>
      <c r="F870">
        <f>IF($A870="","",IF(AND(LEN($B870)=11,SUMPRODUCT(--ISNUMBER(FIND(MID($B870,{1,2,3,4,5,6,7,8,9,10,11},1),"0123456789")))=11),1,0))</f>
        <v/>
      </c>
      <c r="G870">
        <f>IF($F870=1,VALUE(MID($B870,4,7)),"")</f>
        <v/>
      </c>
      <c r="H870">
        <f>IF($F870=1,MOD($G870,7),"")</f>
        <v/>
      </c>
    </row>
    <row r="871">
      <c r="A871" s="6" t="n"/>
      <c r="B871" s="7">
        <f>IF($A871="","",SUBSTITUTE(SUBSTITUTE(SUBSTITUTE(SUBSTITUTE($A871," ",""),"-",""),".",""),"/",""))</f>
        <v/>
      </c>
      <c r="C871" s="8">
        <f>IF($F871=1,$H871,"")</f>
        <v/>
      </c>
      <c r="D871" s="7">
        <f>IF($A871="","",IF($F871=0,"Biçim hatalı",IF(FIND(MID($B871,11,1),"0123456789")-1=$H871,"Geçerli","Kontrol hanesi hatalı (doğrusu: "&amp;$H871&amp;")")))</f>
        <v/>
      </c>
      <c r="F871">
        <f>IF($A871="","",IF(AND(LEN($B871)=11,SUMPRODUCT(--ISNUMBER(FIND(MID($B871,{1,2,3,4,5,6,7,8,9,10,11},1),"0123456789")))=11),1,0))</f>
        <v/>
      </c>
      <c r="G871">
        <f>IF($F871=1,VALUE(MID($B871,4,7)),"")</f>
        <v/>
      </c>
      <c r="H871">
        <f>IF($F871=1,MOD($G871,7),"")</f>
        <v/>
      </c>
    </row>
    <row r="872">
      <c r="A872" s="6" t="n"/>
      <c r="B872" s="7">
        <f>IF($A872="","",SUBSTITUTE(SUBSTITUTE(SUBSTITUTE(SUBSTITUTE($A872," ",""),"-",""),".",""),"/",""))</f>
        <v/>
      </c>
      <c r="C872" s="8">
        <f>IF($F872=1,$H872,"")</f>
        <v/>
      </c>
      <c r="D872" s="7">
        <f>IF($A872="","",IF($F872=0,"Biçim hatalı",IF(FIND(MID($B872,11,1),"0123456789")-1=$H872,"Geçerli","Kontrol hanesi hatalı (doğrusu: "&amp;$H872&amp;")")))</f>
        <v/>
      </c>
      <c r="F872">
        <f>IF($A872="","",IF(AND(LEN($B872)=11,SUMPRODUCT(--ISNUMBER(FIND(MID($B872,{1,2,3,4,5,6,7,8,9,10,11},1),"0123456789")))=11),1,0))</f>
        <v/>
      </c>
      <c r="G872">
        <f>IF($F872=1,VALUE(MID($B872,4,7)),"")</f>
        <v/>
      </c>
      <c r="H872">
        <f>IF($F872=1,MOD($G872,7),"")</f>
        <v/>
      </c>
    </row>
    <row r="873">
      <c r="A873" s="6" t="n"/>
      <c r="B873" s="7">
        <f>IF($A873="","",SUBSTITUTE(SUBSTITUTE(SUBSTITUTE(SUBSTITUTE($A873," ",""),"-",""),".",""),"/",""))</f>
        <v/>
      </c>
      <c r="C873" s="8">
        <f>IF($F873=1,$H873,"")</f>
        <v/>
      </c>
      <c r="D873" s="7">
        <f>IF($A873="","",IF($F873=0,"Biçim hatalı",IF(FIND(MID($B873,11,1),"0123456789")-1=$H873,"Geçerli","Kontrol hanesi hatalı (doğrusu: "&amp;$H873&amp;")")))</f>
        <v/>
      </c>
      <c r="F873">
        <f>IF($A873="","",IF(AND(LEN($B873)=11,SUMPRODUCT(--ISNUMBER(FIND(MID($B873,{1,2,3,4,5,6,7,8,9,10,11},1),"0123456789")))=11),1,0))</f>
        <v/>
      </c>
      <c r="G873">
        <f>IF($F873=1,VALUE(MID($B873,4,7)),"")</f>
        <v/>
      </c>
      <c r="H873">
        <f>IF($F873=1,MOD($G873,7),"")</f>
        <v/>
      </c>
    </row>
    <row r="874">
      <c r="A874" s="6" t="n"/>
      <c r="B874" s="7">
        <f>IF($A874="","",SUBSTITUTE(SUBSTITUTE(SUBSTITUTE(SUBSTITUTE($A874," ",""),"-",""),".",""),"/",""))</f>
        <v/>
      </c>
      <c r="C874" s="8">
        <f>IF($F874=1,$H874,"")</f>
        <v/>
      </c>
      <c r="D874" s="7">
        <f>IF($A874="","",IF($F874=0,"Biçim hatalı",IF(FIND(MID($B874,11,1),"0123456789")-1=$H874,"Geçerli","Kontrol hanesi hatalı (doğrusu: "&amp;$H874&amp;")")))</f>
        <v/>
      </c>
      <c r="F874">
        <f>IF($A874="","",IF(AND(LEN($B874)=11,SUMPRODUCT(--ISNUMBER(FIND(MID($B874,{1,2,3,4,5,6,7,8,9,10,11},1),"0123456789")))=11),1,0))</f>
        <v/>
      </c>
      <c r="G874">
        <f>IF($F874=1,VALUE(MID($B874,4,7)),"")</f>
        <v/>
      </c>
      <c r="H874">
        <f>IF($F874=1,MOD($G874,7),"")</f>
        <v/>
      </c>
    </row>
    <row r="875">
      <c r="A875" s="6" t="n"/>
      <c r="B875" s="7">
        <f>IF($A875="","",SUBSTITUTE(SUBSTITUTE(SUBSTITUTE(SUBSTITUTE($A875," ",""),"-",""),".",""),"/",""))</f>
        <v/>
      </c>
      <c r="C875" s="8">
        <f>IF($F875=1,$H875,"")</f>
        <v/>
      </c>
      <c r="D875" s="7">
        <f>IF($A875="","",IF($F875=0,"Biçim hatalı",IF(FIND(MID($B875,11,1),"0123456789")-1=$H875,"Geçerli","Kontrol hanesi hatalı (doğrusu: "&amp;$H875&amp;")")))</f>
        <v/>
      </c>
      <c r="F875">
        <f>IF($A875="","",IF(AND(LEN($B875)=11,SUMPRODUCT(--ISNUMBER(FIND(MID($B875,{1,2,3,4,5,6,7,8,9,10,11},1),"0123456789")))=11),1,0))</f>
        <v/>
      </c>
      <c r="G875">
        <f>IF($F875=1,VALUE(MID($B875,4,7)),"")</f>
        <v/>
      </c>
      <c r="H875">
        <f>IF($F875=1,MOD($G875,7),"")</f>
        <v/>
      </c>
    </row>
    <row r="876">
      <c r="A876" s="6" t="n"/>
      <c r="B876" s="7">
        <f>IF($A876="","",SUBSTITUTE(SUBSTITUTE(SUBSTITUTE(SUBSTITUTE($A876," ",""),"-",""),".",""),"/",""))</f>
        <v/>
      </c>
      <c r="C876" s="8">
        <f>IF($F876=1,$H876,"")</f>
        <v/>
      </c>
      <c r="D876" s="7">
        <f>IF($A876="","",IF($F876=0,"Biçim hatalı",IF(FIND(MID($B876,11,1),"0123456789")-1=$H876,"Geçerli","Kontrol hanesi hatalı (doğrusu: "&amp;$H876&amp;")")))</f>
        <v/>
      </c>
      <c r="F876">
        <f>IF($A876="","",IF(AND(LEN($B876)=11,SUMPRODUCT(--ISNUMBER(FIND(MID($B876,{1,2,3,4,5,6,7,8,9,10,11},1),"0123456789")))=11),1,0))</f>
        <v/>
      </c>
      <c r="G876">
        <f>IF($F876=1,VALUE(MID($B876,4,7)),"")</f>
        <v/>
      </c>
      <c r="H876">
        <f>IF($F876=1,MOD($G876,7),"")</f>
        <v/>
      </c>
    </row>
    <row r="877">
      <c r="A877" s="6" t="n"/>
      <c r="B877" s="7">
        <f>IF($A877="","",SUBSTITUTE(SUBSTITUTE(SUBSTITUTE(SUBSTITUTE($A877," ",""),"-",""),".",""),"/",""))</f>
        <v/>
      </c>
      <c r="C877" s="8">
        <f>IF($F877=1,$H877,"")</f>
        <v/>
      </c>
      <c r="D877" s="7">
        <f>IF($A877="","",IF($F877=0,"Biçim hatalı",IF(FIND(MID($B877,11,1),"0123456789")-1=$H877,"Geçerli","Kontrol hanesi hatalı (doğrusu: "&amp;$H877&amp;")")))</f>
        <v/>
      </c>
      <c r="F877">
        <f>IF($A877="","",IF(AND(LEN($B877)=11,SUMPRODUCT(--ISNUMBER(FIND(MID($B877,{1,2,3,4,5,6,7,8,9,10,11},1),"0123456789")))=11),1,0))</f>
        <v/>
      </c>
      <c r="G877">
        <f>IF($F877=1,VALUE(MID($B877,4,7)),"")</f>
        <v/>
      </c>
      <c r="H877">
        <f>IF($F877=1,MOD($G877,7),"")</f>
        <v/>
      </c>
    </row>
    <row r="878">
      <c r="A878" s="6" t="n"/>
      <c r="B878" s="7">
        <f>IF($A878="","",SUBSTITUTE(SUBSTITUTE(SUBSTITUTE(SUBSTITUTE($A878," ",""),"-",""),".",""),"/",""))</f>
        <v/>
      </c>
      <c r="C878" s="8">
        <f>IF($F878=1,$H878,"")</f>
        <v/>
      </c>
      <c r="D878" s="7">
        <f>IF($A878="","",IF($F878=0,"Biçim hatalı",IF(FIND(MID($B878,11,1),"0123456789")-1=$H878,"Geçerli","Kontrol hanesi hatalı (doğrusu: "&amp;$H878&amp;")")))</f>
        <v/>
      </c>
      <c r="F878">
        <f>IF($A878="","",IF(AND(LEN($B878)=11,SUMPRODUCT(--ISNUMBER(FIND(MID($B878,{1,2,3,4,5,6,7,8,9,10,11},1),"0123456789")))=11),1,0))</f>
        <v/>
      </c>
      <c r="G878">
        <f>IF($F878=1,VALUE(MID($B878,4,7)),"")</f>
        <v/>
      </c>
      <c r="H878">
        <f>IF($F878=1,MOD($G878,7),"")</f>
        <v/>
      </c>
    </row>
    <row r="879">
      <c r="A879" s="6" t="n"/>
      <c r="B879" s="7">
        <f>IF($A879="","",SUBSTITUTE(SUBSTITUTE(SUBSTITUTE(SUBSTITUTE($A879," ",""),"-",""),".",""),"/",""))</f>
        <v/>
      </c>
      <c r="C879" s="8">
        <f>IF($F879=1,$H879,"")</f>
        <v/>
      </c>
      <c r="D879" s="7">
        <f>IF($A879="","",IF($F879=0,"Biçim hatalı",IF(FIND(MID($B879,11,1),"0123456789")-1=$H879,"Geçerli","Kontrol hanesi hatalı (doğrusu: "&amp;$H879&amp;")")))</f>
        <v/>
      </c>
      <c r="F879">
        <f>IF($A879="","",IF(AND(LEN($B879)=11,SUMPRODUCT(--ISNUMBER(FIND(MID($B879,{1,2,3,4,5,6,7,8,9,10,11},1),"0123456789")))=11),1,0))</f>
        <v/>
      </c>
      <c r="G879">
        <f>IF($F879=1,VALUE(MID($B879,4,7)),"")</f>
        <v/>
      </c>
      <c r="H879">
        <f>IF($F879=1,MOD($G879,7),"")</f>
        <v/>
      </c>
    </row>
    <row r="880">
      <c r="A880" s="6" t="n"/>
      <c r="B880" s="7">
        <f>IF($A880="","",SUBSTITUTE(SUBSTITUTE(SUBSTITUTE(SUBSTITUTE($A880," ",""),"-",""),".",""),"/",""))</f>
        <v/>
      </c>
      <c r="C880" s="8">
        <f>IF($F880=1,$H880,"")</f>
        <v/>
      </c>
      <c r="D880" s="7">
        <f>IF($A880="","",IF($F880=0,"Biçim hatalı",IF(FIND(MID($B880,11,1),"0123456789")-1=$H880,"Geçerli","Kontrol hanesi hatalı (doğrusu: "&amp;$H880&amp;")")))</f>
        <v/>
      </c>
      <c r="F880">
        <f>IF($A880="","",IF(AND(LEN($B880)=11,SUMPRODUCT(--ISNUMBER(FIND(MID($B880,{1,2,3,4,5,6,7,8,9,10,11},1),"0123456789")))=11),1,0))</f>
        <v/>
      </c>
      <c r="G880">
        <f>IF($F880=1,VALUE(MID($B880,4,7)),"")</f>
        <v/>
      </c>
      <c r="H880">
        <f>IF($F880=1,MOD($G880,7),"")</f>
        <v/>
      </c>
    </row>
    <row r="881">
      <c r="A881" s="6" t="n"/>
      <c r="B881" s="7">
        <f>IF($A881="","",SUBSTITUTE(SUBSTITUTE(SUBSTITUTE(SUBSTITUTE($A881," ",""),"-",""),".",""),"/",""))</f>
        <v/>
      </c>
      <c r="C881" s="8">
        <f>IF($F881=1,$H881,"")</f>
        <v/>
      </c>
      <c r="D881" s="7">
        <f>IF($A881="","",IF($F881=0,"Biçim hatalı",IF(FIND(MID($B881,11,1),"0123456789")-1=$H881,"Geçerli","Kontrol hanesi hatalı (doğrusu: "&amp;$H881&amp;")")))</f>
        <v/>
      </c>
      <c r="F881">
        <f>IF($A881="","",IF(AND(LEN($B881)=11,SUMPRODUCT(--ISNUMBER(FIND(MID($B881,{1,2,3,4,5,6,7,8,9,10,11},1),"0123456789")))=11),1,0))</f>
        <v/>
      </c>
      <c r="G881">
        <f>IF($F881=1,VALUE(MID($B881,4,7)),"")</f>
        <v/>
      </c>
      <c r="H881">
        <f>IF($F881=1,MOD($G881,7),"")</f>
        <v/>
      </c>
    </row>
    <row r="882">
      <c r="A882" s="6" t="n"/>
      <c r="B882" s="7">
        <f>IF($A882="","",SUBSTITUTE(SUBSTITUTE(SUBSTITUTE(SUBSTITUTE($A882," ",""),"-",""),".",""),"/",""))</f>
        <v/>
      </c>
      <c r="C882" s="8">
        <f>IF($F882=1,$H882,"")</f>
        <v/>
      </c>
      <c r="D882" s="7">
        <f>IF($A882="","",IF($F882=0,"Biçim hatalı",IF(FIND(MID($B882,11,1),"0123456789")-1=$H882,"Geçerli","Kontrol hanesi hatalı (doğrusu: "&amp;$H882&amp;")")))</f>
        <v/>
      </c>
      <c r="F882">
        <f>IF($A882="","",IF(AND(LEN($B882)=11,SUMPRODUCT(--ISNUMBER(FIND(MID($B882,{1,2,3,4,5,6,7,8,9,10,11},1),"0123456789")))=11),1,0))</f>
        <v/>
      </c>
      <c r="G882">
        <f>IF($F882=1,VALUE(MID($B882,4,7)),"")</f>
        <v/>
      </c>
      <c r="H882">
        <f>IF($F882=1,MOD($G882,7),"")</f>
        <v/>
      </c>
    </row>
    <row r="883">
      <c r="A883" s="6" t="n"/>
      <c r="B883" s="7">
        <f>IF($A883="","",SUBSTITUTE(SUBSTITUTE(SUBSTITUTE(SUBSTITUTE($A883," ",""),"-",""),".",""),"/",""))</f>
        <v/>
      </c>
      <c r="C883" s="8">
        <f>IF($F883=1,$H883,"")</f>
        <v/>
      </c>
      <c r="D883" s="7">
        <f>IF($A883="","",IF($F883=0,"Biçim hatalı",IF(FIND(MID($B883,11,1),"0123456789")-1=$H883,"Geçerli","Kontrol hanesi hatalı (doğrusu: "&amp;$H883&amp;")")))</f>
        <v/>
      </c>
      <c r="F883">
        <f>IF($A883="","",IF(AND(LEN($B883)=11,SUMPRODUCT(--ISNUMBER(FIND(MID($B883,{1,2,3,4,5,6,7,8,9,10,11},1),"0123456789")))=11),1,0))</f>
        <v/>
      </c>
      <c r="G883">
        <f>IF($F883=1,VALUE(MID($B883,4,7)),"")</f>
        <v/>
      </c>
      <c r="H883">
        <f>IF($F883=1,MOD($G883,7),"")</f>
        <v/>
      </c>
    </row>
    <row r="884">
      <c r="A884" s="6" t="n"/>
      <c r="B884" s="7">
        <f>IF($A884="","",SUBSTITUTE(SUBSTITUTE(SUBSTITUTE(SUBSTITUTE($A884," ",""),"-",""),".",""),"/",""))</f>
        <v/>
      </c>
      <c r="C884" s="8">
        <f>IF($F884=1,$H884,"")</f>
        <v/>
      </c>
      <c r="D884" s="7">
        <f>IF($A884="","",IF($F884=0,"Biçim hatalı",IF(FIND(MID($B884,11,1),"0123456789")-1=$H884,"Geçerli","Kontrol hanesi hatalı (doğrusu: "&amp;$H884&amp;")")))</f>
        <v/>
      </c>
      <c r="F884">
        <f>IF($A884="","",IF(AND(LEN($B884)=11,SUMPRODUCT(--ISNUMBER(FIND(MID($B884,{1,2,3,4,5,6,7,8,9,10,11},1),"0123456789")))=11),1,0))</f>
        <v/>
      </c>
      <c r="G884">
        <f>IF($F884=1,VALUE(MID($B884,4,7)),"")</f>
        <v/>
      </c>
      <c r="H884">
        <f>IF($F884=1,MOD($G884,7),"")</f>
        <v/>
      </c>
    </row>
    <row r="885">
      <c r="A885" s="6" t="n"/>
      <c r="B885" s="7">
        <f>IF($A885="","",SUBSTITUTE(SUBSTITUTE(SUBSTITUTE(SUBSTITUTE($A885," ",""),"-",""),".",""),"/",""))</f>
        <v/>
      </c>
      <c r="C885" s="8">
        <f>IF($F885=1,$H885,"")</f>
        <v/>
      </c>
      <c r="D885" s="7">
        <f>IF($A885="","",IF($F885=0,"Biçim hatalı",IF(FIND(MID($B885,11,1),"0123456789")-1=$H885,"Geçerli","Kontrol hanesi hatalı (doğrusu: "&amp;$H885&amp;")")))</f>
        <v/>
      </c>
      <c r="F885">
        <f>IF($A885="","",IF(AND(LEN($B885)=11,SUMPRODUCT(--ISNUMBER(FIND(MID($B885,{1,2,3,4,5,6,7,8,9,10,11},1),"0123456789")))=11),1,0))</f>
        <v/>
      </c>
      <c r="G885">
        <f>IF($F885=1,VALUE(MID($B885,4,7)),"")</f>
        <v/>
      </c>
      <c r="H885">
        <f>IF($F885=1,MOD($G885,7),"")</f>
        <v/>
      </c>
    </row>
    <row r="886">
      <c r="A886" s="6" t="n"/>
      <c r="B886" s="7">
        <f>IF($A886="","",SUBSTITUTE(SUBSTITUTE(SUBSTITUTE(SUBSTITUTE($A886," ",""),"-",""),".",""),"/",""))</f>
        <v/>
      </c>
      <c r="C886" s="8">
        <f>IF($F886=1,$H886,"")</f>
        <v/>
      </c>
      <c r="D886" s="7">
        <f>IF($A886="","",IF($F886=0,"Biçim hatalı",IF(FIND(MID($B886,11,1),"0123456789")-1=$H886,"Geçerli","Kontrol hanesi hatalı (doğrusu: "&amp;$H886&amp;")")))</f>
        <v/>
      </c>
      <c r="F886">
        <f>IF($A886="","",IF(AND(LEN($B886)=11,SUMPRODUCT(--ISNUMBER(FIND(MID($B886,{1,2,3,4,5,6,7,8,9,10,11},1),"0123456789")))=11),1,0))</f>
        <v/>
      </c>
      <c r="G886">
        <f>IF($F886=1,VALUE(MID($B886,4,7)),"")</f>
        <v/>
      </c>
      <c r="H886">
        <f>IF($F886=1,MOD($G886,7),"")</f>
        <v/>
      </c>
    </row>
    <row r="887">
      <c r="A887" s="6" t="n"/>
      <c r="B887" s="7">
        <f>IF($A887="","",SUBSTITUTE(SUBSTITUTE(SUBSTITUTE(SUBSTITUTE($A887," ",""),"-",""),".",""),"/",""))</f>
        <v/>
      </c>
      <c r="C887" s="8">
        <f>IF($F887=1,$H887,"")</f>
        <v/>
      </c>
      <c r="D887" s="7">
        <f>IF($A887="","",IF($F887=0,"Biçim hatalı",IF(FIND(MID($B887,11,1),"0123456789")-1=$H887,"Geçerli","Kontrol hanesi hatalı (doğrusu: "&amp;$H887&amp;")")))</f>
        <v/>
      </c>
      <c r="F887">
        <f>IF($A887="","",IF(AND(LEN($B887)=11,SUMPRODUCT(--ISNUMBER(FIND(MID($B887,{1,2,3,4,5,6,7,8,9,10,11},1),"0123456789")))=11),1,0))</f>
        <v/>
      </c>
      <c r="G887">
        <f>IF($F887=1,VALUE(MID($B887,4,7)),"")</f>
        <v/>
      </c>
      <c r="H887">
        <f>IF($F887=1,MOD($G887,7),"")</f>
        <v/>
      </c>
    </row>
    <row r="888">
      <c r="A888" s="6" t="n"/>
      <c r="B888" s="7">
        <f>IF($A888="","",SUBSTITUTE(SUBSTITUTE(SUBSTITUTE(SUBSTITUTE($A888," ",""),"-",""),".",""),"/",""))</f>
        <v/>
      </c>
      <c r="C888" s="8">
        <f>IF($F888=1,$H888,"")</f>
        <v/>
      </c>
      <c r="D888" s="7">
        <f>IF($A888="","",IF($F888=0,"Biçim hatalı",IF(FIND(MID($B888,11,1),"0123456789")-1=$H888,"Geçerli","Kontrol hanesi hatalı (doğrusu: "&amp;$H888&amp;")")))</f>
        <v/>
      </c>
      <c r="F888">
        <f>IF($A888="","",IF(AND(LEN($B888)=11,SUMPRODUCT(--ISNUMBER(FIND(MID($B888,{1,2,3,4,5,6,7,8,9,10,11},1),"0123456789")))=11),1,0))</f>
        <v/>
      </c>
      <c r="G888">
        <f>IF($F888=1,VALUE(MID($B888,4,7)),"")</f>
        <v/>
      </c>
      <c r="H888">
        <f>IF($F888=1,MOD($G888,7),"")</f>
        <v/>
      </c>
    </row>
    <row r="889">
      <c r="A889" s="6" t="n"/>
      <c r="B889" s="7">
        <f>IF($A889="","",SUBSTITUTE(SUBSTITUTE(SUBSTITUTE(SUBSTITUTE($A889," ",""),"-",""),".",""),"/",""))</f>
        <v/>
      </c>
      <c r="C889" s="8">
        <f>IF($F889=1,$H889,"")</f>
        <v/>
      </c>
      <c r="D889" s="7">
        <f>IF($A889="","",IF($F889=0,"Biçim hatalı",IF(FIND(MID($B889,11,1),"0123456789")-1=$H889,"Geçerli","Kontrol hanesi hatalı (doğrusu: "&amp;$H889&amp;")")))</f>
        <v/>
      </c>
      <c r="F889">
        <f>IF($A889="","",IF(AND(LEN($B889)=11,SUMPRODUCT(--ISNUMBER(FIND(MID($B889,{1,2,3,4,5,6,7,8,9,10,11},1),"0123456789")))=11),1,0))</f>
        <v/>
      </c>
      <c r="G889">
        <f>IF($F889=1,VALUE(MID($B889,4,7)),"")</f>
        <v/>
      </c>
      <c r="H889">
        <f>IF($F889=1,MOD($G889,7),"")</f>
        <v/>
      </c>
    </row>
    <row r="890">
      <c r="A890" s="6" t="n"/>
      <c r="B890" s="7">
        <f>IF($A890="","",SUBSTITUTE(SUBSTITUTE(SUBSTITUTE(SUBSTITUTE($A890," ",""),"-",""),".",""),"/",""))</f>
        <v/>
      </c>
      <c r="C890" s="8">
        <f>IF($F890=1,$H890,"")</f>
        <v/>
      </c>
      <c r="D890" s="7">
        <f>IF($A890="","",IF($F890=0,"Biçim hatalı",IF(FIND(MID($B890,11,1),"0123456789")-1=$H890,"Geçerli","Kontrol hanesi hatalı (doğrusu: "&amp;$H890&amp;")")))</f>
        <v/>
      </c>
      <c r="F890">
        <f>IF($A890="","",IF(AND(LEN($B890)=11,SUMPRODUCT(--ISNUMBER(FIND(MID($B890,{1,2,3,4,5,6,7,8,9,10,11},1),"0123456789")))=11),1,0))</f>
        <v/>
      </c>
      <c r="G890">
        <f>IF($F890=1,VALUE(MID($B890,4,7)),"")</f>
        <v/>
      </c>
      <c r="H890">
        <f>IF($F890=1,MOD($G890,7),"")</f>
        <v/>
      </c>
    </row>
    <row r="891">
      <c r="A891" s="6" t="n"/>
      <c r="B891" s="7">
        <f>IF($A891="","",SUBSTITUTE(SUBSTITUTE(SUBSTITUTE(SUBSTITUTE($A891," ",""),"-",""),".",""),"/",""))</f>
        <v/>
      </c>
      <c r="C891" s="8">
        <f>IF($F891=1,$H891,"")</f>
        <v/>
      </c>
      <c r="D891" s="7">
        <f>IF($A891="","",IF($F891=0,"Biçim hatalı",IF(FIND(MID($B891,11,1),"0123456789")-1=$H891,"Geçerli","Kontrol hanesi hatalı (doğrusu: "&amp;$H891&amp;")")))</f>
        <v/>
      </c>
      <c r="F891">
        <f>IF($A891="","",IF(AND(LEN($B891)=11,SUMPRODUCT(--ISNUMBER(FIND(MID($B891,{1,2,3,4,5,6,7,8,9,10,11},1),"0123456789")))=11),1,0))</f>
        <v/>
      </c>
      <c r="G891">
        <f>IF($F891=1,VALUE(MID($B891,4,7)),"")</f>
        <v/>
      </c>
      <c r="H891">
        <f>IF($F891=1,MOD($G891,7),"")</f>
        <v/>
      </c>
    </row>
    <row r="892">
      <c r="A892" s="6" t="n"/>
      <c r="B892" s="7">
        <f>IF($A892="","",SUBSTITUTE(SUBSTITUTE(SUBSTITUTE(SUBSTITUTE($A892," ",""),"-",""),".",""),"/",""))</f>
        <v/>
      </c>
      <c r="C892" s="8">
        <f>IF($F892=1,$H892,"")</f>
        <v/>
      </c>
      <c r="D892" s="7">
        <f>IF($A892="","",IF($F892=0,"Biçim hatalı",IF(FIND(MID($B892,11,1),"0123456789")-1=$H892,"Geçerli","Kontrol hanesi hatalı (doğrusu: "&amp;$H892&amp;")")))</f>
        <v/>
      </c>
      <c r="F892">
        <f>IF($A892="","",IF(AND(LEN($B892)=11,SUMPRODUCT(--ISNUMBER(FIND(MID($B892,{1,2,3,4,5,6,7,8,9,10,11},1),"0123456789")))=11),1,0))</f>
        <v/>
      </c>
      <c r="G892">
        <f>IF($F892=1,VALUE(MID($B892,4,7)),"")</f>
        <v/>
      </c>
      <c r="H892">
        <f>IF($F892=1,MOD($G892,7),"")</f>
        <v/>
      </c>
    </row>
    <row r="893">
      <c r="A893" s="6" t="n"/>
      <c r="B893" s="7">
        <f>IF($A893="","",SUBSTITUTE(SUBSTITUTE(SUBSTITUTE(SUBSTITUTE($A893," ",""),"-",""),".",""),"/",""))</f>
        <v/>
      </c>
      <c r="C893" s="8">
        <f>IF($F893=1,$H893,"")</f>
        <v/>
      </c>
      <c r="D893" s="7">
        <f>IF($A893="","",IF($F893=0,"Biçim hatalı",IF(FIND(MID($B893,11,1),"0123456789")-1=$H893,"Geçerli","Kontrol hanesi hatalı (doğrusu: "&amp;$H893&amp;")")))</f>
        <v/>
      </c>
      <c r="F893">
        <f>IF($A893="","",IF(AND(LEN($B893)=11,SUMPRODUCT(--ISNUMBER(FIND(MID($B893,{1,2,3,4,5,6,7,8,9,10,11},1),"0123456789")))=11),1,0))</f>
        <v/>
      </c>
      <c r="G893">
        <f>IF($F893=1,VALUE(MID($B893,4,7)),"")</f>
        <v/>
      </c>
      <c r="H893">
        <f>IF($F893=1,MOD($G893,7),"")</f>
        <v/>
      </c>
    </row>
    <row r="894">
      <c r="A894" s="6" t="n"/>
      <c r="B894" s="7">
        <f>IF($A894="","",SUBSTITUTE(SUBSTITUTE(SUBSTITUTE(SUBSTITUTE($A894," ",""),"-",""),".",""),"/",""))</f>
        <v/>
      </c>
      <c r="C894" s="8">
        <f>IF($F894=1,$H894,"")</f>
        <v/>
      </c>
      <c r="D894" s="7">
        <f>IF($A894="","",IF($F894=0,"Biçim hatalı",IF(FIND(MID($B894,11,1),"0123456789")-1=$H894,"Geçerli","Kontrol hanesi hatalı (doğrusu: "&amp;$H894&amp;")")))</f>
        <v/>
      </c>
      <c r="F894">
        <f>IF($A894="","",IF(AND(LEN($B894)=11,SUMPRODUCT(--ISNUMBER(FIND(MID($B894,{1,2,3,4,5,6,7,8,9,10,11},1),"0123456789")))=11),1,0))</f>
        <v/>
      </c>
      <c r="G894">
        <f>IF($F894=1,VALUE(MID($B894,4,7)),"")</f>
        <v/>
      </c>
      <c r="H894">
        <f>IF($F894=1,MOD($G894,7),"")</f>
        <v/>
      </c>
    </row>
    <row r="895">
      <c r="A895" s="6" t="n"/>
      <c r="B895" s="7">
        <f>IF($A895="","",SUBSTITUTE(SUBSTITUTE(SUBSTITUTE(SUBSTITUTE($A895," ",""),"-",""),".",""),"/",""))</f>
        <v/>
      </c>
      <c r="C895" s="8">
        <f>IF($F895=1,$H895,"")</f>
        <v/>
      </c>
      <c r="D895" s="7">
        <f>IF($A895="","",IF($F895=0,"Biçim hatalı",IF(FIND(MID($B895,11,1),"0123456789")-1=$H895,"Geçerli","Kontrol hanesi hatalı (doğrusu: "&amp;$H895&amp;")")))</f>
        <v/>
      </c>
      <c r="F895">
        <f>IF($A895="","",IF(AND(LEN($B895)=11,SUMPRODUCT(--ISNUMBER(FIND(MID($B895,{1,2,3,4,5,6,7,8,9,10,11},1),"0123456789")))=11),1,0))</f>
        <v/>
      </c>
      <c r="G895">
        <f>IF($F895=1,VALUE(MID($B895,4,7)),"")</f>
        <v/>
      </c>
      <c r="H895">
        <f>IF($F895=1,MOD($G895,7),"")</f>
        <v/>
      </c>
    </row>
    <row r="896">
      <c r="A896" s="6" t="n"/>
      <c r="B896" s="7">
        <f>IF($A896="","",SUBSTITUTE(SUBSTITUTE(SUBSTITUTE(SUBSTITUTE($A896," ",""),"-",""),".",""),"/",""))</f>
        <v/>
      </c>
      <c r="C896" s="8">
        <f>IF($F896=1,$H896,"")</f>
        <v/>
      </c>
      <c r="D896" s="7">
        <f>IF($A896="","",IF($F896=0,"Biçim hatalı",IF(FIND(MID($B896,11,1),"0123456789")-1=$H896,"Geçerli","Kontrol hanesi hatalı (doğrusu: "&amp;$H896&amp;")")))</f>
        <v/>
      </c>
      <c r="F896">
        <f>IF($A896="","",IF(AND(LEN($B896)=11,SUMPRODUCT(--ISNUMBER(FIND(MID($B896,{1,2,3,4,5,6,7,8,9,10,11},1),"0123456789")))=11),1,0))</f>
        <v/>
      </c>
      <c r="G896">
        <f>IF($F896=1,VALUE(MID($B896,4,7)),"")</f>
        <v/>
      </c>
      <c r="H896">
        <f>IF($F896=1,MOD($G896,7),"")</f>
        <v/>
      </c>
    </row>
    <row r="897">
      <c r="A897" s="6" t="n"/>
      <c r="B897" s="7">
        <f>IF($A897="","",SUBSTITUTE(SUBSTITUTE(SUBSTITUTE(SUBSTITUTE($A897," ",""),"-",""),".",""),"/",""))</f>
        <v/>
      </c>
      <c r="C897" s="8">
        <f>IF($F897=1,$H897,"")</f>
        <v/>
      </c>
      <c r="D897" s="7">
        <f>IF($A897="","",IF($F897=0,"Biçim hatalı",IF(FIND(MID($B897,11,1),"0123456789")-1=$H897,"Geçerli","Kontrol hanesi hatalı (doğrusu: "&amp;$H897&amp;")")))</f>
        <v/>
      </c>
      <c r="F897">
        <f>IF($A897="","",IF(AND(LEN($B897)=11,SUMPRODUCT(--ISNUMBER(FIND(MID($B897,{1,2,3,4,5,6,7,8,9,10,11},1),"0123456789")))=11),1,0))</f>
        <v/>
      </c>
      <c r="G897">
        <f>IF($F897=1,VALUE(MID($B897,4,7)),"")</f>
        <v/>
      </c>
      <c r="H897">
        <f>IF($F897=1,MOD($G897,7),"")</f>
        <v/>
      </c>
    </row>
    <row r="898">
      <c r="A898" s="6" t="n"/>
      <c r="B898" s="7">
        <f>IF($A898="","",SUBSTITUTE(SUBSTITUTE(SUBSTITUTE(SUBSTITUTE($A898," ",""),"-",""),".",""),"/",""))</f>
        <v/>
      </c>
      <c r="C898" s="8">
        <f>IF($F898=1,$H898,"")</f>
        <v/>
      </c>
      <c r="D898" s="7">
        <f>IF($A898="","",IF($F898=0,"Biçim hatalı",IF(FIND(MID($B898,11,1),"0123456789")-1=$H898,"Geçerli","Kontrol hanesi hatalı (doğrusu: "&amp;$H898&amp;")")))</f>
        <v/>
      </c>
      <c r="F898">
        <f>IF($A898="","",IF(AND(LEN($B898)=11,SUMPRODUCT(--ISNUMBER(FIND(MID($B898,{1,2,3,4,5,6,7,8,9,10,11},1),"0123456789")))=11),1,0))</f>
        <v/>
      </c>
      <c r="G898">
        <f>IF($F898=1,VALUE(MID($B898,4,7)),"")</f>
        <v/>
      </c>
      <c r="H898">
        <f>IF($F898=1,MOD($G898,7),"")</f>
        <v/>
      </c>
    </row>
    <row r="899">
      <c r="A899" s="6" t="n"/>
      <c r="B899" s="7">
        <f>IF($A899="","",SUBSTITUTE(SUBSTITUTE(SUBSTITUTE(SUBSTITUTE($A899," ",""),"-",""),".",""),"/",""))</f>
        <v/>
      </c>
      <c r="C899" s="8">
        <f>IF($F899=1,$H899,"")</f>
        <v/>
      </c>
      <c r="D899" s="7">
        <f>IF($A899="","",IF($F899=0,"Biçim hatalı",IF(FIND(MID($B899,11,1),"0123456789")-1=$H899,"Geçerli","Kontrol hanesi hatalı (doğrusu: "&amp;$H899&amp;")")))</f>
        <v/>
      </c>
      <c r="F899">
        <f>IF($A899="","",IF(AND(LEN($B899)=11,SUMPRODUCT(--ISNUMBER(FIND(MID($B899,{1,2,3,4,5,6,7,8,9,10,11},1),"0123456789")))=11),1,0))</f>
        <v/>
      </c>
      <c r="G899">
        <f>IF($F899=1,VALUE(MID($B899,4,7)),"")</f>
        <v/>
      </c>
      <c r="H899">
        <f>IF($F899=1,MOD($G899,7),"")</f>
        <v/>
      </c>
    </row>
    <row r="900">
      <c r="A900" s="6" t="n"/>
      <c r="B900" s="7">
        <f>IF($A900="","",SUBSTITUTE(SUBSTITUTE(SUBSTITUTE(SUBSTITUTE($A900," ",""),"-",""),".",""),"/",""))</f>
        <v/>
      </c>
      <c r="C900" s="8">
        <f>IF($F900=1,$H900,"")</f>
        <v/>
      </c>
      <c r="D900" s="7">
        <f>IF($A900="","",IF($F900=0,"Biçim hatalı",IF(FIND(MID($B900,11,1),"0123456789")-1=$H900,"Geçerli","Kontrol hanesi hatalı (doğrusu: "&amp;$H900&amp;")")))</f>
        <v/>
      </c>
      <c r="F900">
        <f>IF($A900="","",IF(AND(LEN($B900)=11,SUMPRODUCT(--ISNUMBER(FIND(MID($B900,{1,2,3,4,5,6,7,8,9,10,11},1),"0123456789")))=11),1,0))</f>
        <v/>
      </c>
      <c r="G900">
        <f>IF($F900=1,VALUE(MID($B900,4,7)),"")</f>
        <v/>
      </c>
      <c r="H900">
        <f>IF($F900=1,MOD($G900,7),"")</f>
        <v/>
      </c>
    </row>
    <row r="901">
      <c r="A901" s="6" t="n"/>
      <c r="B901" s="7">
        <f>IF($A901="","",SUBSTITUTE(SUBSTITUTE(SUBSTITUTE(SUBSTITUTE($A901," ",""),"-",""),".",""),"/",""))</f>
        <v/>
      </c>
      <c r="C901" s="8">
        <f>IF($F901=1,$H901,"")</f>
        <v/>
      </c>
      <c r="D901" s="7">
        <f>IF($A901="","",IF($F901=0,"Biçim hatalı",IF(FIND(MID($B901,11,1),"0123456789")-1=$H901,"Geçerli","Kontrol hanesi hatalı (doğrusu: "&amp;$H901&amp;")")))</f>
        <v/>
      </c>
      <c r="F901">
        <f>IF($A901="","",IF(AND(LEN($B901)=11,SUMPRODUCT(--ISNUMBER(FIND(MID($B901,{1,2,3,4,5,6,7,8,9,10,11},1),"0123456789")))=11),1,0))</f>
        <v/>
      </c>
      <c r="G901">
        <f>IF($F901=1,VALUE(MID($B901,4,7)),"")</f>
        <v/>
      </c>
      <c r="H901">
        <f>IF($F901=1,MOD($G901,7),"")</f>
        <v/>
      </c>
    </row>
    <row r="902">
      <c r="A902" s="6" t="n"/>
      <c r="B902" s="7">
        <f>IF($A902="","",SUBSTITUTE(SUBSTITUTE(SUBSTITUTE(SUBSTITUTE($A902," ",""),"-",""),".",""),"/",""))</f>
        <v/>
      </c>
      <c r="C902" s="8">
        <f>IF($F902=1,$H902,"")</f>
        <v/>
      </c>
      <c r="D902" s="7">
        <f>IF($A902="","",IF($F902=0,"Biçim hatalı",IF(FIND(MID($B902,11,1),"0123456789")-1=$H902,"Geçerli","Kontrol hanesi hatalı (doğrusu: "&amp;$H902&amp;")")))</f>
        <v/>
      </c>
      <c r="F902">
        <f>IF($A902="","",IF(AND(LEN($B902)=11,SUMPRODUCT(--ISNUMBER(FIND(MID($B902,{1,2,3,4,5,6,7,8,9,10,11},1),"0123456789")))=11),1,0))</f>
        <v/>
      </c>
      <c r="G902">
        <f>IF($F902=1,VALUE(MID($B902,4,7)),"")</f>
        <v/>
      </c>
      <c r="H902">
        <f>IF($F902=1,MOD($G902,7),"")</f>
        <v/>
      </c>
    </row>
    <row r="903">
      <c r="A903" s="6" t="n"/>
      <c r="B903" s="7">
        <f>IF($A903="","",SUBSTITUTE(SUBSTITUTE(SUBSTITUTE(SUBSTITUTE($A903," ",""),"-",""),".",""),"/",""))</f>
        <v/>
      </c>
      <c r="C903" s="8">
        <f>IF($F903=1,$H903,"")</f>
        <v/>
      </c>
      <c r="D903" s="7">
        <f>IF($A903="","",IF($F903=0,"Biçim hatalı",IF(FIND(MID($B903,11,1),"0123456789")-1=$H903,"Geçerli","Kontrol hanesi hatalı (doğrusu: "&amp;$H903&amp;")")))</f>
        <v/>
      </c>
      <c r="F903">
        <f>IF($A903="","",IF(AND(LEN($B903)=11,SUMPRODUCT(--ISNUMBER(FIND(MID($B903,{1,2,3,4,5,6,7,8,9,10,11},1),"0123456789")))=11),1,0))</f>
        <v/>
      </c>
      <c r="G903">
        <f>IF($F903=1,VALUE(MID($B903,4,7)),"")</f>
        <v/>
      </c>
      <c r="H903">
        <f>IF($F903=1,MOD($G903,7),"")</f>
        <v/>
      </c>
    </row>
    <row r="904">
      <c r="A904" s="6" t="n"/>
      <c r="B904" s="7">
        <f>IF($A904="","",SUBSTITUTE(SUBSTITUTE(SUBSTITUTE(SUBSTITUTE($A904," ",""),"-",""),".",""),"/",""))</f>
        <v/>
      </c>
      <c r="C904" s="8">
        <f>IF($F904=1,$H904,"")</f>
        <v/>
      </c>
      <c r="D904" s="7">
        <f>IF($A904="","",IF($F904=0,"Biçim hatalı",IF(FIND(MID($B904,11,1),"0123456789")-1=$H904,"Geçerli","Kontrol hanesi hatalı (doğrusu: "&amp;$H904&amp;")")))</f>
        <v/>
      </c>
      <c r="F904">
        <f>IF($A904="","",IF(AND(LEN($B904)=11,SUMPRODUCT(--ISNUMBER(FIND(MID($B904,{1,2,3,4,5,6,7,8,9,10,11},1),"0123456789")))=11),1,0))</f>
        <v/>
      </c>
      <c r="G904">
        <f>IF($F904=1,VALUE(MID($B904,4,7)),"")</f>
        <v/>
      </c>
      <c r="H904">
        <f>IF($F904=1,MOD($G904,7),"")</f>
        <v/>
      </c>
    </row>
    <row r="905">
      <c r="A905" s="6" t="n"/>
      <c r="B905" s="7">
        <f>IF($A905="","",SUBSTITUTE(SUBSTITUTE(SUBSTITUTE(SUBSTITUTE($A905," ",""),"-",""),".",""),"/",""))</f>
        <v/>
      </c>
      <c r="C905" s="8">
        <f>IF($F905=1,$H905,"")</f>
        <v/>
      </c>
      <c r="D905" s="7">
        <f>IF($A905="","",IF($F905=0,"Biçim hatalı",IF(FIND(MID($B905,11,1),"0123456789")-1=$H905,"Geçerli","Kontrol hanesi hatalı (doğrusu: "&amp;$H905&amp;")")))</f>
        <v/>
      </c>
      <c r="F905">
        <f>IF($A905="","",IF(AND(LEN($B905)=11,SUMPRODUCT(--ISNUMBER(FIND(MID($B905,{1,2,3,4,5,6,7,8,9,10,11},1),"0123456789")))=11),1,0))</f>
        <v/>
      </c>
      <c r="G905">
        <f>IF($F905=1,VALUE(MID($B905,4,7)),"")</f>
        <v/>
      </c>
      <c r="H905">
        <f>IF($F905=1,MOD($G905,7),"")</f>
        <v/>
      </c>
    </row>
    <row r="906">
      <c r="A906" s="6" t="n"/>
      <c r="B906" s="7">
        <f>IF($A906="","",SUBSTITUTE(SUBSTITUTE(SUBSTITUTE(SUBSTITUTE($A906," ",""),"-",""),".",""),"/",""))</f>
        <v/>
      </c>
      <c r="C906" s="8">
        <f>IF($F906=1,$H906,"")</f>
        <v/>
      </c>
      <c r="D906" s="7">
        <f>IF($A906="","",IF($F906=0,"Biçim hatalı",IF(FIND(MID($B906,11,1),"0123456789")-1=$H906,"Geçerli","Kontrol hanesi hatalı (doğrusu: "&amp;$H906&amp;")")))</f>
        <v/>
      </c>
      <c r="F906">
        <f>IF($A906="","",IF(AND(LEN($B906)=11,SUMPRODUCT(--ISNUMBER(FIND(MID($B906,{1,2,3,4,5,6,7,8,9,10,11},1),"0123456789")))=11),1,0))</f>
        <v/>
      </c>
      <c r="G906">
        <f>IF($F906=1,VALUE(MID($B906,4,7)),"")</f>
        <v/>
      </c>
      <c r="H906">
        <f>IF($F906=1,MOD($G906,7),"")</f>
        <v/>
      </c>
    </row>
    <row r="907">
      <c r="A907" s="6" t="n"/>
      <c r="B907" s="7">
        <f>IF($A907="","",SUBSTITUTE(SUBSTITUTE(SUBSTITUTE(SUBSTITUTE($A907," ",""),"-",""),".",""),"/",""))</f>
        <v/>
      </c>
      <c r="C907" s="8">
        <f>IF($F907=1,$H907,"")</f>
        <v/>
      </c>
      <c r="D907" s="7">
        <f>IF($A907="","",IF($F907=0,"Biçim hatalı",IF(FIND(MID($B907,11,1),"0123456789")-1=$H907,"Geçerli","Kontrol hanesi hatalı (doğrusu: "&amp;$H907&amp;")")))</f>
        <v/>
      </c>
      <c r="F907">
        <f>IF($A907="","",IF(AND(LEN($B907)=11,SUMPRODUCT(--ISNUMBER(FIND(MID($B907,{1,2,3,4,5,6,7,8,9,10,11},1),"0123456789")))=11),1,0))</f>
        <v/>
      </c>
      <c r="G907">
        <f>IF($F907=1,VALUE(MID($B907,4,7)),"")</f>
        <v/>
      </c>
      <c r="H907">
        <f>IF($F907=1,MOD($G907,7),"")</f>
        <v/>
      </c>
    </row>
    <row r="908">
      <c r="A908" s="6" t="n"/>
      <c r="B908" s="7">
        <f>IF($A908="","",SUBSTITUTE(SUBSTITUTE(SUBSTITUTE(SUBSTITUTE($A908," ",""),"-",""),".",""),"/",""))</f>
        <v/>
      </c>
      <c r="C908" s="8">
        <f>IF($F908=1,$H908,"")</f>
        <v/>
      </c>
      <c r="D908" s="7">
        <f>IF($A908="","",IF($F908=0,"Biçim hatalı",IF(FIND(MID($B908,11,1),"0123456789")-1=$H908,"Geçerli","Kontrol hanesi hatalı (doğrusu: "&amp;$H908&amp;")")))</f>
        <v/>
      </c>
      <c r="F908">
        <f>IF($A908="","",IF(AND(LEN($B908)=11,SUMPRODUCT(--ISNUMBER(FIND(MID($B908,{1,2,3,4,5,6,7,8,9,10,11},1),"0123456789")))=11),1,0))</f>
        <v/>
      </c>
      <c r="G908">
        <f>IF($F908=1,VALUE(MID($B908,4,7)),"")</f>
        <v/>
      </c>
      <c r="H908">
        <f>IF($F908=1,MOD($G908,7),"")</f>
        <v/>
      </c>
    </row>
    <row r="909">
      <c r="A909" s="6" t="n"/>
      <c r="B909" s="7">
        <f>IF($A909="","",SUBSTITUTE(SUBSTITUTE(SUBSTITUTE(SUBSTITUTE($A909," ",""),"-",""),".",""),"/",""))</f>
        <v/>
      </c>
      <c r="C909" s="8">
        <f>IF($F909=1,$H909,"")</f>
        <v/>
      </c>
      <c r="D909" s="7">
        <f>IF($A909="","",IF($F909=0,"Biçim hatalı",IF(FIND(MID($B909,11,1),"0123456789")-1=$H909,"Geçerli","Kontrol hanesi hatalı (doğrusu: "&amp;$H909&amp;")")))</f>
        <v/>
      </c>
      <c r="F909">
        <f>IF($A909="","",IF(AND(LEN($B909)=11,SUMPRODUCT(--ISNUMBER(FIND(MID($B909,{1,2,3,4,5,6,7,8,9,10,11},1),"0123456789")))=11),1,0))</f>
        <v/>
      </c>
      <c r="G909">
        <f>IF($F909=1,VALUE(MID($B909,4,7)),"")</f>
        <v/>
      </c>
      <c r="H909">
        <f>IF($F909=1,MOD($G909,7),"")</f>
        <v/>
      </c>
    </row>
    <row r="910">
      <c r="A910" s="6" t="n"/>
      <c r="B910" s="7">
        <f>IF($A910="","",SUBSTITUTE(SUBSTITUTE(SUBSTITUTE(SUBSTITUTE($A910," ",""),"-",""),".",""),"/",""))</f>
        <v/>
      </c>
      <c r="C910" s="8">
        <f>IF($F910=1,$H910,"")</f>
        <v/>
      </c>
      <c r="D910" s="7">
        <f>IF($A910="","",IF($F910=0,"Biçim hatalı",IF(FIND(MID($B910,11,1),"0123456789")-1=$H910,"Geçerli","Kontrol hanesi hatalı (doğrusu: "&amp;$H910&amp;")")))</f>
        <v/>
      </c>
      <c r="F910">
        <f>IF($A910="","",IF(AND(LEN($B910)=11,SUMPRODUCT(--ISNUMBER(FIND(MID($B910,{1,2,3,4,5,6,7,8,9,10,11},1),"0123456789")))=11),1,0))</f>
        <v/>
      </c>
      <c r="G910">
        <f>IF($F910=1,VALUE(MID($B910,4,7)),"")</f>
        <v/>
      </c>
      <c r="H910">
        <f>IF($F910=1,MOD($G910,7),"")</f>
        <v/>
      </c>
    </row>
    <row r="911">
      <c r="A911" s="6" t="n"/>
      <c r="B911" s="7">
        <f>IF($A911="","",SUBSTITUTE(SUBSTITUTE(SUBSTITUTE(SUBSTITUTE($A911," ",""),"-",""),".",""),"/",""))</f>
        <v/>
      </c>
      <c r="C911" s="8">
        <f>IF($F911=1,$H911,"")</f>
        <v/>
      </c>
      <c r="D911" s="7">
        <f>IF($A911="","",IF($F911=0,"Biçim hatalı",IF(FIND(MID($B911,11,1),"0123456789")-1=$H911,"Geçerli","Kontrol hanesi hatalı (doğrusu: "&amp;$H911&amp;")")))</f>
        <v/>
      </c>
      <c r="F911">
        <f>IF($A911="","",IF(AND(LEN($B911)=11,SUMPRODUCT(--ISNUMBER(FIND(MID($B911,{1,2,3,4,5,6,7,8,9,10,11},1),"0123456789")))=11),1,0))</f>
        <v/>
      </c>
      <c r="G911">
        <f>IF($F911=1,VALUE(MID($B911,4,7)),"")</f>
        <v/>
      </c>
      <c r="H911">
        <f>IF($F911=1,MOD($G911,7),"")</f>
        <v/>
      </c>
    </row>
    <row r="912">
      <c r="A912" s="6" t="n"/>
      <c r="B912" s="7">
        <f>IF($A912="","",SUBSTITUTE(SUBSTITUTE(SUBSTITUTE(SUBSTITUTE($A912," ",""),"-",""),".",""),"/",""))</f>
        <v/>
      </c>
      <c r="C912" s="8">
        <f>IF($F912=1,$H912,"")</f>
        <v/>
      </c>
      <c r="D912" s="7">
        <f>IF($A912="","",IF($F912=0,"Biçim hatalı",IF(FIND(MID($B912,11,1),"0123456789")-1=$H912,"Geçerli","Kontrol hanesi hatalı (doğrusu: "&amp;$H912&amp;")")))</f>
        <v/>
      </c>
      <c r="F912">
        <f>IF($A912="","",IF(AND(LEN($B912)=11,SUMPRODUCT(--ISNUMBER(FIND(MID($B912,{1,2,3,4,5,6,7,8,9,10,11},1),"0123456789")))=11),1,0))</f>
        <v/>
      </c>
      <c r="G912">
        <f>IF($F912=1,VALUE(MID($B912,4,7)),"")</f>
        <v/>
      </c>
      <c r="H912">
        <f>IF($F912=1,MOD($G912,7),"")</f>
        <v/>
      </c>
    </row>
    <row r="913">
      <c r="A913" s="6" t="n"/>
      <c r="B913" s="7">
        <f>IF($A913="","",SUBSTITUTE(SUBSTITUTE(SUBSTITUTE(SUBSTITUTE($A913," ",""),"-",""),".",""),"/",""))</f>
        <v/>
      </c>
      <c r="C913" s="8">
        <f>IF($F913=1,$H913,"")</f>
        <v/>
      </c>
      <c r="D913" s="7">
        <f>IF($A913="","",IF($F913=0,"Biçim hatalı",IF(FIND(MID($B913,11,1),"0123456789")-1=$H913,"Geçerli","Kontrol hanesi hatalı (doğrusu: "&amp;$H913&amp;")")))</f>
        <v/>
      </c>
      <c r="F913">
        <f>IF($A913="","",IF(AND(LEN($B913)=11,SUMPRODUCT(--ISNUMBER(FIND(MID($B913,{1,2,3,4,5,6,7,8,9,10,11},1),"0123456789")))=11),1,0))</f>
        <v/>
      </c>
      <c r="G913">
        <f>IF($F913=1,VALUE(MID($B913,4,7)),"")</f>
        <v/>
      </c>
      <c r="H913">
        <f>IF($F913=1,MOD($G913,7),"")</f>
        <v/>
      </c>
    </row>
    <row r="914">
      <c r="A914" s="6" t="n"/>
      <c r="B914" s="7">
        <f>IF($A914="","",SUBSTITUTE(SUBSTITUTE(SUBSTITUTE(SUBSTITUTE($A914," ",""),"-",""),".",""),"/",""))</f>
        <v/>
      </c>
      <c r="C914" s="8">
        <f>IF($F914=1,$H914,"")</f>
        <v/>
      </c>
      <c r="D914" s="7">
        <f>IF($A914="","",IF($F914=0,"Biçim hatalı",IF(FIND(MID($B914,11,1),"0123456789")-1=$H914,"Geçerli","Kontrol hanesi hatalı (doğrusu: "&amp;$H914&amp;")")))</f>
        <v/>
      </c>
      <c r="F914">
        <f>IF($A914="","",IF(AND(LEN($B914)=11,SUMPRODUCT(--ISNUMBER(FIND(MID($B914,{1,2,3,4,5,6,7,8,9,10,11},1),"0123456789")))=11),1,0))</f>
        <v/>
      </c>
      <c r="G914">
        <f>IF($F914=1,VALUE(MID($B914,4,7)),"")</f>
        <v/>
      </c>
      <c r="H914">
        <f>IF($F914=1,MOD($G914,7),"")</f>
        <v/>
      </c>
    </row>
    <row r="915">
      <c r="A915" s="6" t="n"/>
      <c r="B915" s="7">
        <f>IF($A915="","",SUBSTITUTE(SUBSTITUTE(SUBSTITUTE(SUBSTITUTE($A915," ",""),"-",""),".",""),"/",""))</f>
        <v/>
      </c>
      <c r="C915" s="8">
        <f>IF($F915=1,$H915,"")</f>
        <v/>
      </c>
      <c r="D915" s="7">
        <f>IF($A915="","",IF($F915=0,"Biçim hatalı",IF(FIND(MID($B915,11,1),"0123456789")-1=$H915,"Geçerli","Kontrol hanesi hatalı (doğrusu: "&amp;$H915&amp;")")))</f>
        <v/>
      </c>
      <c r="F915">
        <f>IF($A915="","",IF(AND(LEN($B915)=11,SUMPRODUCT(--ISNUMBER(FIND(MID($B915,{1,2,3,4,5,6,7,8,9,10,11},1),"0123456789")))=11),1,0))</f>
        <v/>
      </c>
      <c r="G915">
        <f>IF($F915=1,VALUE(MID($B915,4,7)),"")</f>
        <v/>
      </c>
      <c r="H915">
        <f>IF($F915=1,MOD($G915,7),"")</f>
        <v/>
      </c>
    </row>
    <row r="916">
      <c r="A916" s="6" t="n"/>
      <c r="B916" s="7">
        <f>IF($A916="","",SUBSTITUTE(SUBSTITUTE(SUBSTITUTE(SUBSTITUTE($A916," ",""),"-",""),".",""),"/",""))</f>
        <v/>
      </c>
      <c r="C916" s="8">
        <f>IF($F916=1,$H916,"")</f>
        <v/>
      </c>
      <c r="D916" s="7">
        <f>IF($A916="","",IF($F916=0,"Biçim hatalı",IF(FIND(MID($B916,11,1),"0123456789")-1=$H916,"Geçerli","Kontrol hanesi hatalı (doğrusu: "&amp;$H916&amp;")")))</f>
        <v/>
      </c>
      <c r="F916">
        <f>IF($A916="","",IF(AND(LEN($B916)=11,SUMPRODUCT(--ISNUMBER(FIND(MID($B916,{1,2,3,4,5,6,7,8,9,10,11},1),"0123456789")))=11),1,0))</f>
        <v/>
      </c>
      <c r="G916">
        <f>IF($F916=1,VALUE(MID($B916,4,7)),"")</f>
        <v/>
      </c>
      <c r="H916">
        <f>IF($F916=1,MOD($G916,7),"")</f>
        <v/>
      </c>
    </row>
    <row r="917">
      <c r="A917" s="6" t="n"/>
      <c r="B917" s="7">
        <f>IF($A917="","",SUBSTITUTE(SUBSTITUTE(SUBSTITUTE(SUBSTITUTE($A917," ",""),"-",""),".",""),"/",""))</f>
        <v/>
      </c>
      <c r="C917" s="8">
        <f>IF($F917=1,$H917,"")</f>
        <v/>
      </c>
      <c r="D917" s="7">
        <f>IF($A917="","",IF($F917=0,"Biçim hatalı",IF(FIND(MID($B917,11,1),"0123456789")-1=$H917,"Geçerli","Kontrol hanesi hatalı (doğrusu: "&amp;$H917&amp;")")))</f>
        <v/>
      </c>
      <c r="F917">
        <f>IF($A917="","",IF(AND(LEN($B917)=11,SUMPRODUCT(--ISNUMBER(FIND(MID($B917,{1,2,3,4,5,6,7,8,9,10,11},1),"0123456789")))=11),1,0))</f>
        <v/>
      </c>
      <c r="G917">
        <f>IF($F917=1,VALUE(MID($B917,4,7)),"")</f>
        <v/>
      </c>
      <c r="H917">
        <f>IF($F917=1,MOD($G917,7),"")</f>
        <v/>
      </c>
    </row>
    <row r="918">
      <c r="A918" s="6" t="n"/>
      <c r="B918" s="7">
        <f>IF($A918="","",SUBSTITUTE(SUBSTITUTE(SUBSTITUTE(SUBSTITUTE($A918," ",""),"-",""),".",""),"/",""))</f>
        <v/>
      </c>
      <c r="C918" s="8">
        <f>IF($F918=1,$H918,"")</f>
        <v/>
      </c>
      <c r="D918" s="7">
        <f>IF($A918="","",IF($F918=0,"Biçim hatalı",IF(FIND(MID($B918,11,1),"0123456789")-1=$H918,"Geçerli","Kontrol hanesi hatalı (doğrusu: "&amp;$H918&amp;")")))</f>
        <v/>
      </c>
      <c r="F918">
        <f>IF($A918="","",IF(AND(LEN($B918)=11,SUMPRODUCT(--ISNUMBER(FIND(MID($B918,{1,2,3,4,5,6,7,8,9,10,11},1),"0123456789")))=11),1,0))</f>
        <v/>
      </c>
      <c r="G918">
        <f>IF($F918=1,VALUE(MID($B918,4,7)),"")</f>
        <v/>
      </c>
      <c r="H918">
        <f>IF($F918=1,MOD($G918,7),"")</f>
        <v/>
      </c>
    </row>
    <row r="919">
      <c r="A919" s="6" t="n"/>
      <c r="B919" s="7">
        <f>IF($A919="","",SUBSTITUTE(SUBSTITUTE(SUBSTITUTE(SUBSTITUTE($A919," ",""),"-",""),".",""),"/",""))</f>
        <v/>
      </c>
      <c r="C919" s="8">
        <f>IF($F919=1,$H919,"")</f>
        <v/>
      </c>
      <c r="D919" s="7">
        <f>IF($A919="","",IF($F919=0,"Biçim hatalı",IF(FIND(MID($B919,11,1),"0123456789")-1=$H919,"Geçerli","Kontrol hanesi hatalı (doğrusu: "&amp;$H919&amp;")")))</f>
        <v/>
      </c>
      <c r="F919">
        <f>IF($A919="","",IF(AND(LEN($B919)=11,SUMPRODUCT(--ISNUMBER(FIND(MID($B919,{1,2,3,4,5,6,7,8,9,10,11},1),"0123456789")))=11),1,0))</f>
        <v/>
      </c>
      <c r="G919">
        <f>IF($F919=1,VALUE(MID($B919,4,7)),"")</f>
        <v/>
      </c>
      <c r="H919">
        <f>IF($F919=1,MOD($G919,7),"")</f>
        <v/>
      </c>
    </row>
    <row r="920">
      <c r="A920" s="6" t="n"/>
      <c r="B920" s="7">
        <f>IF($A920="","",SUBSTITUTE(SUBSTITUTE(SUBSTITUTE(SUBSTITUTE($A920," ",""),"-",""),".",""),"/",""))</f>
        <v/>
      </c>
      <c r="C920" s="8">
        <f>IF($F920=1,$H920,"")</f>
        <v/>
      </c>
      <c r="D920" s="7">
        <f>IF($A920="","",IF($F920=0,"Biçim hatalı",IF(FIND(MID($B920,11,1),"0123456789")-1=$H920,"Geçerli","Kontrol hanesi hatalı (doğrusu: "&amp;$H920&amp;")")))</f>
        <v/>
      </c>
      <c r="F920">
        <f>IF($A920="","",IF(AND(LEN($B920)=11,SUMPRODUCT(--ISNUMBER(FIND(MID($B920,{1,2,3,4,5,6,7,8,9,10,11},1),"0123456789")))=11),1,0))</f>
        <v/>
      </c>
      <c r="G920">
        <f>IF($F920=1,VALUE(MID($B920,4,7)),"")</f>
        <v/>
      </c>
      <c r="H920">
        <f>IF($F920=1,MOD($G920,7),"")</f>
        <v/>
      </c>
    </row>
    <row r="921">
      <c r="A921" s="6" t="n"/>
      <c r="B921" s="7">
        <f>IF($A921="","",SUBSTITUTE(SUBSTITUTE(SUBSTITUTE(SUBSTITUTE($A921," ",""),"-",""),".",""),"/",""))</f>
        <v/>
      </c>
      <c r="C921" s="8">
        <f>IF($F921=1,$H921,"")</f>
        <v/>
      </c>
      <c r="D921" s="7">
        <f>IF($A921="","",IF($F921=0,"Biçim hatalı",IF(FIND(MID($B921,11,1),"0123456789")-1=$H921,"Geçerli","Kontrol hanesi hatalı (doğrusu: "&amp;$H921&amp;")")))</f>
        <v/>
      </c>
      <c r="F921">
        <f>IF($A921="","",IF(AND(LEN($B921)=11,SUMPRODUCT(--ISNUMBER(FIND(MID($B921,{1,2,3,4,5,6,7,8,9,10,11},1),"0123456789")))=11),1,0))</f>
        <v/>
      </c>
      <c r="G921">
        <f>IF($F921=1,VALUE(MID($B921,4,7)),"")</f>
        <v/>
      </c>
      <c r="H921">
        <f>IF($F921=1,MOD($G921,7),"")</f>
        <v/>
      </c>
    </row>
    <row r="922">
      <c r="A922" s="6" t="n"/>
      <c r="B922" s="7">
        <f>IF($A922="","",SUBSTITUTE(SUBSTITUTE(SUBSTITUTE(SUBSTITUTE($A922," ",""),"-",""),".",""),"/",""))</f>
        <v/>
      </c>
      <c r="C922" s="8">
        <f>IF($F922=1,$H922,"")</f>
        <v/>
      </c>
      <c r="D922" s="7">
        <f>IF($A922="","",IF($F922=0,"Biçim hatalı",IF(FIND(MID($B922,11,1),"0123456789")-1=$H922,"Geçerli","Kontrol hanesi hatalı (doğrusu: "&amp;$H922&amp;")")))</f>
        <v/>
      </c>
      <c r="F922">
        <f>IF($A922="","",IF(AND(LEN($B922)=11,SUMPRODUCT(--ISNUMBER(FIND(MID($B922,{1,2,3,4,5,6,7,8,9,10,11},1),"0123456789")))=11),1,0))</f>
        <v/>
      </c>
      <c r="G922">
        <f>IF($F922=1,VALUE(MID($B922,4,7)),"")</f>
        <v/>
      </c>
      <c r="H922">
        <f>IF($F922=1,MOD($G922,7),"")</f>
        <v/>
      </c>
    </row>
    <row r="923">
      <c r="A923" s="6" t="n"/>
      <c r="B923" s="7">
        <f>IF($A923="","",SUBSTITUTE(SUBSTITUTE(SUBSTITUTE(SUBSTITUTE($A923," ",""),"-",""),".",""),"/",""))</f>
        <v/>
      </c>
      <c r="C923" s="8">
        <f>IF($F923=1,$H923,"")</f>
        <v/>
      </c>
      <c r="D923" s="7">
        <f>IF($A923="","",IF($F923=0,"Biçim hatalı",IF(FIND(MID($B923,11,1),"0123456789")-1=$H923,"Geçerli","Kontrol hanesi hatalı (doğrusu: "&amp;$H923&amp;")")))</f>
        <v/>
      </c>
      <c r="F923">
        <f>IF($A923="","",IF(AND(LEN($B923)=11,SUMPRODUCT(--ISNUMBER(FIND(MID($B923,{1,2,3,4,5,6,7,8,9,10,11},1),"0123456789")))=11),1,0))</f>
        <v/>
      </c>
      <c r="G923">
        <f>IF($F923=1,VALUE(MID($B923,4,7)),"")</f>
        <v/>
      </c>
      <c r="H923">
        <f>IF($F923=1,MOD($G923,7),"")</f>
        <v/>
      </c>
    </row>
    <row r="924">
      <c r="A924" s="6" t="n"/>
      <c r="B924" s="7">
        <f>IF($A924="","",SUBSTITUTE(SUBSTITUTE(SUBSTITUTE(SUBSTITUTE($A924," ",""),"-",""),".",""),"/",""))</f>
        <v/>
      </c>
      <c r="C924" s="8">
        <f>IF($F924=1,$H924,"")</f>
        <v/>
      </c>
      <c r="D924" s="7">
        <f>IF($A924="","",IF($F924=0,"Biçim hatalı",IF(FIND(MID($B924,11,1),"0123456789")-1=$H924,"Geçerli","Kontrol hanesi hatalı (doğrusu: "&amp;$H924&amp;")")))</f>
        <v/>
      </c>
      <c r="F924">
        <f>IF($A924="","",IF(AND(LEN($B924)=11,SUMPRODUCT(--ISNUMBER(FIND(MID($B924,{1,2,3,4,5,6,7,8,9,10,11},1),"0123456789")))=11),1,0))</f>
        <v/>
      </c>
      <c r="G924">
        <f>IF($F924=1,VALUE(MID($B924,4,7)),"")</f>
        <v/>
      </c>
      <c r="H924">
        <f>IF($F924=1,MOD($G924,7),"")</f>
        <v/>
      </c>
    </row>
    <row r="925">
      <c r="A925" s="6" t="n"/>
      <c r="B925" s="7">
        <f>IF($A925="","",SUBSTITUTE(SUBSTITUTE(SUBSTITUTE(SUBSTITUTE($A925," ",""),"-",""),".",""),"/",""))</f>
        <v/>
      </c>
      <c r="C925" s="8">
        <f>IF($F925=1,$H925,"")</f>
        <v/>
      </c>
      <c r="D925" s="7">
        <f>IF($A925="","",IF($F925=0,"Biçim hatalı",IF(FIND(MID($B925,11,1),"0123456789")-1=$H925,"Geçerli","Kontrol hanesi hatalı (doğrusu: "&amp;$H925&amp;")")))</f>
        <v/>
      </c>
      <c r="F925">
        <f>IF($A925="","",IF(AND(LEN($B925)=11,SUMPRODUCT(--ISNUMBER(FIND(MID($B925,{1,2,3,4,5,6,7,8,9,10,11},1),"0123456789")))=11),1,0))</f>
        <v/>
      </c>
      <c r="G925">
        <f>IF($F925=1,VALUE(MID($B925,4,7)),"")</f>
        <v/>
      </c>
      <c r="H925">
        <f>IF($F925=1,MOD($G925,7),"")</f>
        <v/>
      </c>
    </row>
    <row r="926">
      <c r="A926" s="6" t="n"/>
      <c r="B926" s="7">
        <f>IF($A926="","",SUBSTITUTE(SUBSTITUTE(SUBSTITUTE(SUBSTITUTE($A926," ",""),"-",""),".",""),"/",""))</f>
        <v/>
      </c>
      <c r="C926" s="8">
        <f>IF($F926=1,$H926,"")</f>
        <v/>
      </c>
      <c r="D926" s="7">
        <f>IF($A926="","",IF($F926=0,"Biçim hatalı",IF(FIND(MID($B926,11,1),"0123456789")-1=$H926,"Geçerli","Kontrol hanesi hatalı (doğrusu: "&amp;$H926&amp;")")))</f>
        <v/>
      </c>
      <c r="F926">
        <f>IF($A926="","",IF(AND(LEN($B926)=11,SUMPRODUCT(--ISNUMBER(FIND(MID($B926,{1,2,3,4,5,6,7,8,9,10,11},1),"0123456789")))=11),1,0))</f>
        <v/>
      </c>
      <c r="G926">
        <f>IF($F926=1,VALUE(MID($B926,4,7)),"")</f>
        <v/>
      </c>
      <c r="H926">
        <f>IF($F926=1,MOD($G926,7),"")</f>
        <v/>
      </c>
    </row>
    <row r="927">
      <c r="A927" s="6" t="n"/>
      <c r="B927" s="7">
        <f>IF($A927="","",SUBSTITUTE(SUBSTITUTE(SUBSTITUTE(SUBSTITUTE($A927," ",""),"-",""),".",""),"/",""))</f>
        <v/>
      </c>
      <c r="C927" s="8">
        <f>IF($F927=1,$H927,"")</f>
        <v/>
      </c>
      <c r="D927" s="7">
        <f>IF($A927="","",IF($F927=0,"Biçim hatalı",IF(FIND(MID($B927,11,1),"0123456789")-1=$H927,"Geçerli","Kontrol hanesi hatalı (doğrusu: "&amp;$H927&amp;")")))</f>
        <v/>
      </c>
      <c r="F927">
        <f>IF($A927="","",IF(AND(LEN($B927)=11,SUMPRODUCT(--ISNUMBER(FIND(MID($B927,{1,2,3,4,5,6,7,8,9,10,11},1),"0123456789")))=11),1,0))</f>
        <v/>
      </c>
      <c r="G927">
        <f>IF($F927=1,VALUE(MID($B927,4,7)),"")</f>
        <v/>
      </c>
      <c r="H927">
        <f>IF($F927=1,MOD($G927,7),"")</f>
        <v/>
      </c>
    </row>
    <row r="928">
      <c r="A928" s="6" t="n"/>
      <c r="B928" s="7">
        <f>IF($A928="","",SUBSTITUTE(SUBSTITUTE(SUBSTITUTE(SUBSTITUTE($A928," ",""),"-",""),".",""),"/",""))</f>
        <v/>
      </c>
      <c r="C928" s="8">
        <f>IF($F928=1,$H928,"")</f>
        <v/>
      </c>
      <c r="D928" s="7">
        <f>IF($A928="","",IF($F928=0,"Biçim hatalı",IF(FIND(MID($B928,11,1),"0123456789")-1=$H928,"Geçerli","Kontrol hanesi hatalı (doğrusu: "&amp;$H928&amp;")")))</f>
        <v/>
      </c>
      <c r="F928">
        <f>IF($A928="","",IF(AND(LEN($B928)=11,SUMPRODUCT(--ISNUMBER(FIND(MID($B928,{1,2,3,4,5,6,7,8,9,10,11},1),"0123456789")))=11),1,0))</f>
        <v/>
      </c>
      <c r="G928">
        <f>IF($F928=1,VALUE(MID($B928,4,7)),"")</f>
        <v/>
      </c>
      <c r="H928">
        <f>IF($F928=1,MOD($G928,7),"")</f>
        <v/>
      </c>
    </row>
    <row r="929">
      <c r="A929" s="6" t="n"/>
      <c r="B929" s="7">
        <f>IF($A929="","",SUBSTITUTE(SUBSTITUTE(SUBSTITUTE(SUBSTITUTE($A929," ",""),"-",""),".",""),"/",""))</f>
        <v/>
      </c>
      <c r="C929" s="8">
        <f>IF($F929=1,$H929,"")</f>
        <v/>
      </c>
      <c r="D929" s="7">
        <f>IF($A929="","",IF($F929=0,"Biçim hatalı",IF(FIND(MID($B929,11,1),"0123456789")-1=$H929,"Geçerli","Kontrol hanesi hatalı (doğrusu: "&amp;$H929&amp;")")))</f>
        <v/>
      </c>
      <c r="F929">
        <f>IF($A929="","",IF(AND(LEN($B929)=11,SUMPRODUCT(--ISNUMBER(FIND(MID($B929,{1,2,3,4,5,6,7,8,9,10,11},1),"0123456789")))=11),1,0))</f>
        <v/>
      </c>
      <c r="G929">
        <f>IF($F929=1,VALUE(MID($B929,4,7)),"")</f>
        <v/>
      </c>
      <c r="H929">
        <f>IF($F929=1,MOD($G929,7),"")</f>
        <v/>
      </c>
    </row>
    <row r="930">
      <c r="A930" s="6" t="n"/>
      <c r="B930" s="7">
        <f>IF($A930="","",SUBSTITUTE(SUBSTITUTE(SUBSTITUTE(SUBSTITUTE($A930," ",""),"-",""),".",""),"/",""))</f>
        <v/>
      </c>
      <c r="C930" s="8">
        <f>IF($F930=1,$H930,"")</f>
        <v/>
      </c>
      <c r="D930" s="7">
        <f>IF($A930="","",IF($F930=0,"Biçim hatalı",IF(FIND(MID($B930,11,1),"0123456789")-1=$H930,"Geçerli","Kontrol hanesi hatalı (doğrusu: "&amp;$H930&amp;")")))</f>
        <v/>
      </c>
      <c r="F930">
        <f>IF($A930="","",IF(AND(LEN($B930)=11,SUMPRODUCT(--ISNUMBER(FIND(MID($B930,{1,2,3,4,5,6,7,8,9,10,11},1),"0123456789")))=11),1,0))</f>
        <v/>
      </c>
      <c r="G930">
        <f>IF($F930=1,VALUE(MID($B930,4,7)),"")</f>
        <v/>
      </c>
      <c r="H930">
        <f>IF($F930=1,MOD($G930,7),"")</f>
        <v/>
      </c>
    </row>
    <row r="931">
      <c r="A931" s="6" t="n"/>
      <c r="B931" s="7">
        <f>IF($A931="","",SUBSTITUTE(SUBSTITUTE(SUBSTITUTE(SUBSTITUTE($A931," ",""),"-",""),".",""),"/",""))</f>
        <v/>
      </c>
      <c r="C931" s="8">
        <f>IF($F931=1,$H931,"")</f>
        <v/>
      </c>
      <c r="D931" s="7">
        <f>IF($A931="","",IF($F931=0,"Biçim hatalı",IF(FIND(MID($B931,11,1),"0123456789")-1=$H931,"Geçerli","Kontrol hanesi hatalı (doğrusu: "&amp;$H931&amp;")")))</f>
        <v/>
      </c>
      <c r="F931">
        <f>IF($A931="","",IF(AND(LEN($B931)=11,SUMPRODUCT(--ISNUMBER(FIND(MID($B931,{1,2,3,4,5,6,7,8,9,10,11},1),"0123456789")))=11),1,0))</f>
        <v/>
      </c>
      <c r="G931">
        <f>IF($F931=1,VALUE(MID($B931,4,7)),"")</f>
        <v/>
      </c>
      <c r="H931">
        <f>IF($F931=1,MOD($G931,7),"")</f>
        <v/>
      </c>
    </row>
    <row r="932">
      <c r="A932" s="6" t="n"/>
      <c r="B932" s="7">
        <f>IF($A932="","",SUBSTITUTE(SUBSTITUTE(SUBSTITUTE(SUBSTITUTE($A932," ",""),"-",""),".",""),"/",""))</f>
        <v/>
      </c>
      <c r="C932" s="8">
        <f>IF($F932=1,$H932,"")</f>
        <v/>
      </c>
      <c r="D932" s="7">
        <f>IF($A932="","",IF($F932=0,"Biçim hatalı",IF(FIND(MID($B932,11,1),"0123456789")-1=$H932,"Geçerli","Kontrol hanesi hatalı (doğrusu: "&amp;$H932&amp;")")))</f>
        <v/>
      </c>
      <c r="F932">
        <f>IF($A932="","",IF(AND(LEN($B932)=11,SUMPRODUCT(--ISNUMBER(FIND(MID($B932,{1,2,3,4,5,6,7,8,9,10,11},1),"0123456789")))=11),1,0))</f>
        <v/>
      </c>
      <c r="G932">
        <f>IF($F932=1,VALUE(MID($B932,4,7)),"")</f>
        <v/>
      </c>
      <c r="H932">
        <f>IF($F932=1,MOD($G932,7),"")</f>
        <v/>
      </c>
    </row>
    <row r="933">
      <c r="A933" s="6" t="n"/>
      <c r="B933" s="7">
        <f>IF($A933="","",SUBSTITUTE(SUBSTITUTE(SUBSTITUTE(SUBSTITUTE($A933," ",""),"-",""),".",""),"/",""))</f>
        <v/>
      </c>
      <c r="C933" s="8">
        <f>IF($F933=1,$H933,"")</f>
        <v/>
      </c>
      <c r="D933" s="7">
        <f>IF($A933="","",IF($F933=0,"Biçim hatalı",IF(FIND(MID($B933,11,1),"0123456789")-1=$H933,"Geçerli","Kontrol hanesi hatalı (doğrusu: "&amp;$H933&amp;")")))</f>
        <v/>
      </c>
      <c r="F933">
        <f>IF($A933="","",IF(AND(LEN($B933)=11,SUMPRODUCT(--ISNUMBER(FIND(MID($B933,{1,2,3,4,5,6,7,8,9,10,11},1),"0123456789")))=11),1,0))</f>
        <v/>
      </c>
      <c r="G933">
        <f>IF($F933=1,VALUE(MID($B933,4,7)),"")</f>
        <v/>
      </c>
      <c r="H933">
        <f>IF($F933=1,MOD($G933,7),"")</f>
        <v/>
      </c>
    </row>
    <row r="934">
      <c r="A934" s="6" t="n"/>
      <c r="B934" s="7">
        <f>IF($A934="","",SUBSTITUTE(SUBSTITUTE(SUBSTITUTE(SUBSTITUTE($A934," ",""),"-",""),".",""),"/",""))</f>
        <v/>
      </c>
      <c r="C934" s="8">
        <f>IF($F934=1,$H934,"")</f>
        <v/>
      </c>
      <c r="D934" s="7">
        <f>IF($A934="","",IF($F934=0,"Biçim hatalı",IF(FIND(MID($B934,11,1),"0123456789")-1=$H934,"Geçerli","Kontrol hanesi hatalı (doğrusu: "&amp;$H934&amp;")")))</f>
        <v/>
      </c>
      <c r="F934">
        <f>IF($A934="","",IF(AND(LEN($B934)=11,SUMPRODUCT(--ISNUMBER(FIND(MID($B934,{1,2,3,4,5,6,7,8,9,10,11},1),"0123456789")))=11),1,0))</f>
        <v/>
      </c>
      <c r="G934">
        <f>IF($F934=1,VALUE(MID($B934,4,7)),"")</f>
        <v/>
      </c>
      <c r="H934">
        <f>IF($F934=1,MOD($G934,7),"")</f>
        <v/>
      </c>
    </row>
    <row r="935">
      <c r="A935" s="6" t="n"/>
      <c r="B935" s="7">
        <f>IF($A935="","",SUBSTITUTE(SUBSTITUTE(SUBSTITUTE(SUBSTITUTE($A935," ",""),"-",""),".",""),"/",""))</f>
        <v/>
      </c>
      <c r="C935" s="8">
        <f>IF($F935=1,$H935,"")</f>
        <v/>
      </c>
      <c r="D935" s="7">
        <f>IF($A935="","",IF($F935=0,"Biçim hatalı",IF(FIND(MID($B935,11,1),"0123456789")-1=$H935,"Geçerli","Kontrol hanesi hatalı (doğrusu: "&amp;$H935&amp;")")))</f>
        <v/>
      </c>
      <c r="F935">
        <f>IF($A935="","",IF(AND(LEN($B935)=11,SUMPRODUCT(--ISNUMBER(FIND(MID($B935,{1,2,3,4,5,6,7,8,9,10,11},1),"0123456789")))=11),1,0))</f>
        <v/>
      </c>
      <c r="G935">
        <f>IF($F935=1,VALUE(MID($B935,4,7)),"")</f>
        <v/>
      </c>
      <c r="H935">
        <f>IF($F935=1,MOD($G935,7),"")</f>
        <v/>
      </c>
    </row>
    <row r="936">
      <c r="A936" s="6" t="n"/>
      <c r="B936" s="7">
        <f>IF($A936="","",SUBSTITUTE(SUBSTITUTE(SUBSTITUTE(SUBSTITUTE($A936," ",""),"-",""),".",""),"/",""))</f>
        <v/>
      </c>
      <c r="C936" s="8">
        <f>IF($F936=1,$H936,"")</f>
        <v/>
      </c>
      <c r="D936" s="7">
        <f>IF($A936="","",IF($F936=0,"Biçim hatalı",IF(FIND(MID($B936,11,1),"0123456789")-1=$H936,"Geçerli","Kontrol hanesi hatalı (doğrusu: "&amp;$H936&amp;")")))</f>
        <v/>
      </c>
      <c r="F936">
        <f>IF($A936="","",IF(AND(LEN($B936)=11,SUMPRODUCT(--ISNUMBER(FIND(MID($B936,{1,2,3,4,5,6,7,8,9,10,11},1),"0123456789")))=11),1,0))</f>
        <v/>
      </c>
      <c r="G936">
        <f>IF($F936=1,VALUE(MID($B936,4,7)),"")</f>
        <v/>
      </c>
      <c r="H936">
        <f>IF($F936=1,MOD($G936,7),"")</f>
        <v/>
      </c>
    </row>
    <row r="937">
      <c r="A937" s="6" t="n"/>
      <c r="B937" s="7">
        <f>IF($A937="","",SUBSTITUTE(SUBSTITUTE(SUBSTITUTE(SUBSTITUTE($A937," ",""),"-",""),".",""),"/",""))</f>
        <v/>
      </c>
      <c r="C937" s="8">
        <f>IF($F937=1,$H937,"")</f>
        <v/>
      </c>
      <c r="D937" s="7">
        <f>IF($A937="","",IF($F937=0,"Biçim hatalı",IF(FIND(MID($B937,11,1),"0123456789")-1=$H937,"Geçerli","Kontrol hanesi hatalı (doğrusu: "&amp;$H937&amp;")")))</f>
        <v/>
      </c>
      <c r="F937">
        <f>IF($A937="","",IF(AND(LEN($B937)=11,SUMPRODUCT(--ISNUMBER(FIND(MID($B937,{1,2,3,4,5,6,7,8,9,10,11},1),"0123456789")))=11),1,0))</f>
        <v/>
      </c>
      <c r="G937">
        <f>IF($F937=1,VALUE(MID($B937,4,7)),"")</f>
        <v/>
      </c>
      <c r="H937">
        <f>IF($F937=1,MOD($G937,7),"")</f>
        <v/>
      </c>
    </row>
    <row r="938">
      <c r="A938" s="6" t="n"/>
      <c r="B938" s="7">
        <f>IF($A938="","",SUBSTITUTE(SUBSTITUTE(SUBSTITUTE(SUBSTITUTE($A938," ",""),"-",""),".",""),"/",""))</f>
        <v/>
      </c>
      <c r="C938" s="8">
        <f>IF($F938=1,$H938,"")</f>
        <v/>
      </c>
      <c r="D938" s="7">
        <f>IF($A938="","",IF($F938=0,"Biçim hatalı",IF(FIND(MID($B938,11,1),"0123456789")-1=$H938,"Geçerli","Kontrol hanesi hatalı (doğrusu: "&amp;$H938&amp;")")))</f>
        <v/>
      </c>
      <c r="F938">
        <f>IF($A938="","",IF(AND(LEN($B938)=11,SUMPRODUCT(--ISNUMBER(FIND(MID($B938,{1,2,3,4,5,6,7,8,9,10,11},1),"0123456789")))=11),1,0))</f>
        <v/>
      </c>
      <c r="G938">
        <f>IF($F938=1,VALUE(MID($B938,4,7)),"")</f>
        <v/>
      </c>
      <c r="H938">
        <f>IF($F938=1,MOD($G938,7),"")</f>
        <v/>
      </c>
    </row>
    <row r="939">
      <c r="A939" s="6" t="n"/>
      <c r="B939" s="7">
        <f>IF($A939="","",SUBSTITUTE(SUBSTITUTE(SUBSTITUTE(SUBSTITUTE($A939," ",""),"-",""),".",""),"/",""))</f>
        <v/>
      </c>
      <c r="C939" s="8">
        <f>IF($F939=1,$H939,"")</f>
        <v/>
      </c>
      <c r="D939" s="7">
        <f>IF($A939="","",IF($F939=0,"Biçim hatalı",IF(FIND(MID($B939,11,1),"0123456789")-1=$H939,"Geçerli","Kontrol hanesi hatalı (doğrusu: "&amp;$H939&amp;")")))</f>
        <v/>
      </c>
      <c r="F939">
        <f>IF($A939="","",IF(AND(LEN($B939)=11,SUMPRODUCT(--ISNUMBER(FIND(MID($B939,{1,2,3,4,5,6,7,8,9,10,11},1),"0123456789")))=11),1,0))</f>
        <v/>
      </c>
      <c r="G939">
        <f>IF($F939=1,VALUE(MID($B939,4,7)),"")</f>
        <v/>
      </c>
      <c r="H939">
        <f>IF($F939=1,MOD($G939,7),"")</f>
        <v/>
      </c>
    </row>
    <row r="940">
      <c r="A940" s="6" t="n"/>
      <c r="B940" s="7">
        <f>IF($A940="","",SUBSTITUTE(SUBSTITUTE(SUBSTITUTE(SUBSTITUTE($A940," ",""),"-",""),".",""),"/",""))</f>
        <v/>
      </c>
      <c r="C940" s="8">
        <f>IF($F940=1,$H940,"")</f>
        <v/>
      </c>
      <c r="D940" s="7">
        <f>IF($A940="","",IF($F940=0,"Biçim hatalı",IF(FIND(MID($B940,11,1),"0123456789")-1=$H940,"Geçerli","Kontrol hanesi hatalı (doğrusu: "&amp;$H940&amp;")")))</f>
        <v/>
      </c>
      <c r="F940">
        <f>IF($A940="","",IF(AND(LEN($B940)=11,SUMPRODUCT(--ISNUMBER(FIND(MID($B940,{1,2,3,4,5,6,7,8,9,10,11},1),"0123456789")))=11),1,0))</f>
        <v/>
      </c>
      <c r="G940">
        <f>IF($F940=1,VALUE(MID($B940,4,7)),"")</f>
        <v/>
      </c>
      <c r="H940">
        <f>IF($F940=1,MOD($G940,7),"")</f>
        <v/>
      </c>
    </row>
    <row r="941">
      <c r="A941" s="6" t="n"/>
      <c r="B941" s="7">
        <f>IF($A941="","",SUBSTITUTE(SUBSTITUTE(SUBSTITUTE(SUBSTITUTE($A941," ",""),"-",""),".",""),"/",""))</f>
        <v/>
      </c>
      <c r="C941" s="8">
        <f>IF($F941=1,$H941,"")</f>
        <v/>
      </c>
      <c r="D941" s="7">
        <f>IF($A941="","",IF($F941=0,"Biçim hatalı",IF(FIND(MID($B941,11,1),"0123456789")-1=$H941,"Geçerli","Kontrol hanesi hatalı (doğrusu: "&amp;$H941&amp;")")))</f>
        <v/>
      </c>
      <c r="F941">
        <f>IF($A941="","",IF(AND(LEN($B941)=11,SUMPRODUCT(--ISNUMBER(FIND(MID($B941,{1,2,3,4,5,6,7,8,9,10,11},1),"0123456789")))=11),1,0))</f>
        <v/>
      </c>
      <c r="G941">
        <f>IF($F941=1,VALUE(MID($B941,4,7)),"")</f>
        <v/>
      </c>
      <c r="H941">
        <f>IF($F941=1,MOD($G941,7),"")</f>
        <v/>
      </c>
    </row>
    <row r="942">
      <c r="A942" s="6" t="n"/>
      <c r="B942" s="7">
        <f>IF($A942="","",SUBSTITUTE(SUBSTITUTE(SUBSTITUTE(SUBSTITUTE($A942," ",""),"-",""),".",""),"/",""))</f>
        <v/>
      </c>
      <c r="C942" s="8">
        <f>IF($F942=1,$H942,"")</f>
        <v/>
      </c>
      <c r="D942" s="7">
        <f>IF($A942="","",IF($F942=0,"Biçim hatalı",IF(FIND(MID($B942,11,1),"0123456789")-1=$H942,"Geçerli","Kontrol hanesi hatalı (doğrusu: "&amp;$H942&amp;")")))</f>
        <v/>
      </c>
      <c r="F942">
        <f>IF($A942="","",IF(AND(LEN($B942)=11,SUMPRODUCT(--ISNUMBER(FIND(MID($B942,{1,2,3,4,5,6,7,8,9,10,11},1),"0123456789")))=11),1,0))</f>
        <v/>
      </c>
      <c r="G942">
        <f>IF($F942=1,VALUE(MID($B942,4,7)),"")</f>
        <v/>
      </c>
      <c r="H942">
        <f>IF($F942=1,MOD($G942,7),"")</f>
        <v/>
      </c>
    </row>
    <row r="943">
      <c r="A943" s="6" t="n"/>
      <c r="B943" s="7">
        <f>IF($A943="","",SUBSTITUTE(SUBSTITUTE(SUBSTITUTE(SUBSTITUTE($A943," ",""),"-",""),".",""),"/",""))</f>
        <v/>
      </c>
      <c r="C943" s="8">
        <f>IF($F943=1,$H943,"")</f>
        <v/>
      </c>
      <c r="D943" s="7">
        <f>IF($A943="","",IF($F943=0,"Biçim hatalı",IF(FIND(MID($B943,11,1),"0123456789")-1=$H943,"Geçerli","Kontrol hanesi hatalı (doğrusu: "&amp;$H943&amp;")")))</f>
        <v/>
      </c>
      <c r="F943">
        <f>IF($A943="","",IF(AND(LEN($B943)=11,SUMPRODUCT(--ISNUMBER(FIND(MID($B943,{1,2,3,4,5,6,7,8,9,10,11},1),"0123456789")))=11),1,0))</f>
        <v/>
      </c>
      <c r="G943">
        <f>IF($F943=1,VALUE(MID($B943,4,7)),"")</f>
        <v/>
      </c>
      <c r="H943">
        <f>IF($F943=1,MOD($G943,7),"")</f>
        <v/>
      </c>
    </row>
    <row r="944">
      <c r="A944" s="6" t="n"/>
      <c r="B944" s="7">
        <f>IF($A944="","",SUBSTITUTE(SUBSTITUTE(SUBSTITUTE(SUBSTITUTE($A944," ",""),"-",""),".",""),"/",""))</f>
        <v/>
      </c>
      <c r="C944" s="8">
        <f>IF($F944=1,$H944,"")</f>
        <v/>
      </c>
      <c r="D944" s="7">
        <f>IF($A944="","",IF($F944=0,"Biçim hatalı",IF(FIND(MID($B944,11,1),"0123456789")-1=$H944,"Geçerli","Kontrol hanesi hatalı (doğrusu: "&amp;$H944&amp;")")))</f>
        <v/>
      </c>
      <c r="F944">
        <f>IF($A944="","",IF(AND(LEN($B944)=11,SUMPRODUCT(--ISNUMBER(FIND(MID($B944,{1,2,3,4,5,6,7,8,9,10,11},1),"0123456789")))=11),1,0))</f>
        <v/>
      </c>
      <c r="G944">
        <f>IF($F944=1,VALUE(MID($B944,4,7)),"")</f>
        <v/>
      </c>
      <c r="H944">
        <f>IF($F944=1,MOD($G944,7),"")</f>
        <v/>
      </c>
    </row>
    <row r="945">
      <c r="A945" s="6" t="n"/>
      <c r="B945" s="7">
        <f>IF($A945="","",SUBSTITUTE(SUBSTITUTE(SUBSTITUTE(SUBSTITUTE($A945," ",""),"-",""),".",""),"/",""))</f>
        <v/>
      </c>
      <c r="C945" s="8">
        <f>IF($F945=1,$H945,"")</f>
        <v/>
      </c>
      <c r="D945" s="7">
        <f>IF($A945="","",IF($F945=0,"Biçim hatalı",IF(FIND(MID($B945,11,1),"0123456789")-1=$H945,"Geçerli","Kontrol hanesi hatalı (doğrusu: "&amp;$H945&amp;")")))</f>
        <v/>
      </c>
      <c r="F945">
        <f>IF($A945="","",IF(AND(LEN($B945)=11,SUMPRODUCT(--ISNUMBER(FIND(MID($B945,{1,2,3,4,5,6,7,8,9,10,11},1),"0123456789")))=11),1,0))</f>
        <v/>
      </c>
      <c r="G945">
        <f>IF($F945=1,VALUE(MID($B945,4,7)),"")</f>
        <v/>
      </c>
      <c r="H945">
        <f>IF($F945=1,MOD($G945,7),"")</f>
        <v/>
      </c>
    </row>
    <row r="946">
      <c r="A946" s="6" t="n"/>
      <c r="B946" s="7">
        <f>IF($A946="","",SUBSTITUTE(SUBSTITUTE(SUBSTITUTE(SUBSTITUTE($A946," ",""),"-",""),".",""),"/",""))</f>
        <v/>
      </c>
      <c r="C946" s="8">
        <f>IF($F946=1,$H946,"")</f>
        <v/>
      </c>
      <c r="D946" s="7">
        <f>IF($A946="","",IF($F946=0,"Biçim hatalı",IF(FIND(MID($B946,11,1),"0123456789")-1=$H946,"Geçerli","Kontrol hanesi hatalı (doğrusu: "&amp;$H946&amp;")")))</f>
        <v/>
      </c>
      <c r="F946">
        <f>IF($A946="","",IF(AND(LEN($B946)=11,SUMPRODUCT(--ISNUMBER(FIND(MID($B946,{1,2,3,4,5,6,7,8,9,10,11},1),"0123456789")))=11),1,0))</f>
        <v/>
      </c>
      <c r="G946">
        <f>IF($F946=1,VALUE(MID($B946,4,7)),"")</f>
        <v/>
      </c>
      <c r="H946">
        <f>IF($F946=1,MOD($G946,7),"")</f>
        <v/>
      </c>
    </row>
    <row r="947">
      <c r="A947" s="6" t="n"/>
      <c r="B947" s="7">
        <f>IF($A947="","",SUBSTITUTE(SUBSTITUTE(SUBSTITUTE(SUBSTITUTE($A947," ",""),"-",""),".",""),"/",""))</f>
        <v/>
      </c>
      <c r="C947" s="8">
        <f>IF($F947=1,$H947,"")</f>
        <v/>
      </c>
      <c r="D947" s="7">
        <f>IF($A947="","",IF($F947=0,"Biçim hatalı",IF(FIND(MID($B947,11,1),"0123456789")-1=$H947,"Geçerli","Kontrol hanesi hatalı (doğrusu: "&amp;$H947&amp;")")))</f>
        <v/>
      </c>
      <c r="F947">
        <f>IF($A947="","",IF(AND(LEN($B947)=11,SUMPRODUCT(--ISNUMBER(FIND(MID($B947,{1,2,3,4,5,6,7,8,9,10,11},1),"0123456789")))=11),1,0))</f>
        <v/>
      </c>
      <c r="G947">
        <f>IF($F947=1,VALUE(MID($B947,4,7)),"")</f>
        <v/>
      </c>
      <c r="H947">
        <f>IF($F947=1,MOD($G947,7),"")</f>
        <v/>
      </c>
    </row>
    <row r="948">
      <c r="A948" s="6" t="n"/>
      <c r="B948" s="7">
        <f>IF($A948="","",SUBSTITUTE(SUBSTITUTE(SUBSTITUTE(SUBSTITUTE($A948," ",""),"-",""),".",""),"/",""))</f>
        <v/>
      </c>
      <c r="C948" s="8">
        <f>IF($F948=1,$H948,"")</f>
        <v/>
      </c>
      <c r="D948" s="7">
        <f>IF($A948="","",IF($F948=0,"Biçim hatalı",IF(FIND(MID($B948,11,1),"0123456789")-1=$H948,"Geçerli","Kontrol hanesi hatalı (doğrusu: "&amp;$H948&amp;")")))</f>
        <v/>
      </c>
      <c r="F948">
        <f>IF($A948="","",IF(AND(LEN($B948)=11,SUMPRODUCT(--ISNUMBER(FIND(MID($B948,{1,2,3,4,5,6,7,8,9,10,11},1),"0123456789")))=11),1,0))</f>
        <v/>
      </c>
      <c r="G948">
        <f>IF($F948=1,VALUE(MID($B948,4,7)),"")</f>
        <v/>
      </c>
      <c r="H948">
        <f>IF($F948=1,MOD($G948,7),"")</f>
        <v/>
      </c>
    </row>
    <row r="949">
      <c r="A949" s="6" t="n"/>
      <c r="B949" s="7">
        <f>IF($A949="","",SUBSTITUTE(SUBSTITUTE(SUBSTITUTE(SUBSTITUTE($A949," ",""),"-",""),".",""),"/",""))</f>
        <v/>
      </c>
      <c r="C949" s="8">
        <f>IF($F949=1,$H949,"")</f>
        <v/>
      </c>
      <c r="D949" s="7">
        <f>IF($A949="","",IF($F949=0,"Biçim hatalı",IF(FIND(MID($B949,11,1),"0123456789")-1=$H949,"Geçerli","Kontrol hanesi hatalı (doğrusu: "&amp;$H949&amp;")")))</f>
        <v/>
      </c>
      <c r="F949">
        <f>IF($A949="","",IF(AND(LEN($B949)=11,SUMPRODUCT(--ISNUMBER(FIND(MID($B949,{1,2,3,4,5,6,7,8,9,10,11},1),"0123456789")))=11),1,0))</f>
        <v/>
      </c>
      <c r="G949">
        <f>IF($F949=1,VALUE(MID($B949,4,7)),"")</f>
        <v/>
      </c>
      <c r="H949">
        <f>IF($F949=1,MOD($G949,7),"")</f>
        <v/>
      </c>
    </row>
    <row r="950">
      <c r="A950" s="6" t="n"/>
      <c r="B950" s="7">
        <f>IF($A950="","",SUBSTITUTE(SUBSTITUTE(SUBSTITUTE(SUBSTITUTE($A950," ",""),"-",""),".",""),"/",""))</f>
        <v/>
      </c>
      <c r="C950" s="8">
        <f>IF($F950=1,$H950,"")</f>
        <v/>
      </c>
      <c r="D950" s="7">
        <f>IF($A950="","",IF($F950=0,"Biçim hatalı",IF(FIND(MID($B950,11,1),"0123456789")-1=$H950,"Geçerli","Kontrol hanesi hatalı (doğrusu: "&amp;$H950&amp;")")))</f>
        <v/>
      </c>
      <c r="F950">
        <f>IF($A950="","",IF(AND(LEN($B950)=11,SUMPRODUCT(--ISNUMBER(FIND(MID($B950,{1,2,3,4,5,6,7,8,9,10,11},1),"0123456789")))=11),1,0))</f>
        <v/>
      </c>
      <c r="G950">
        <f>IF($F950=1,VALUE(MID($B950,4,7)),"")</f>
        <v/>
      </c>
      <c r="H950">
        <f>IF($F950=1,MOD($G950,7),"")</f>
        <v/>
      </c>
    </row>
    <row r="951">
      <c r="A951" s="6" t="n"/>
      <c r="B951" s="7">
        <f>IF($A951="","",SUBSTITUTE(SUBSTITUTE(SUBSTITUTE(SUBSTITUTE($A951," ",""),"-",""),".",""),"/",""))</f>
        <v/>
      </c>
      <c r="C951" s="8">
        <f>IF($F951=1,$H951,"")</f>
        <v/>
      </c>
      <c r="D951" s="7">
        <f>IF($A951="","",IF($F951=0,"Biçim hatalı",IF(FIND(MID($B951,11,1),"0123456789")-1=$H951,"Geçerli","Kontrol hanesi hatalı (doğrusu: "&amp;$H951&amp;")")))</f>
        <v/>
      </c>
      <c r="F951">
        <f>IF($A951="","",IF(AND(LEN($B951)=11,SUMPRODUCT(--ISNUMBER(FIND(MID($B951,{1,2,3,4,5,6,7,8,9,10,11},1),"0123456789")))=11),1,0))</f>
        <v/>
      </c>
      <c r="G951">
        <f>IF($F951=1,VALUE(MID($B951,4,7)),"")</f>
        <v/>
      </c>
      <c r="H951">
        <f>IF($F951=1,MOD($G951,7),"")</f>
        <v/>
      </c>
    </row>
    <row r="952">
      <c r="A952" s="6" t="n"/>
      <c r="B952" s="7">
        <f>IF($A952="","",SUBSTITUTE(SUBSTITUTE(SUBSTITUTE(SUBSTITUTE($A952," ",""),"-",""),".",""),"/",""))</f>
        <v/>
      </c>
      <c r="C952" s="8">
        <f>IF($F952=1,$H952,"")</f>
        <v/>
      </c>
      <c r="D952" s="7">
        <f>IF($A952="","",IF($F952=0,"Biçim hatalı",IF(FIND(MID($B952,11,1),"0123456789")-1=$H952,"Geçerli","Kontrol hanesi hatalı (doğrusu: "&amp;$H952&amp;")")))</f>
        <v/>
      </c>
      <c r="F952">
        <f>IF($A952="","",IF(AND(LEN($B952)=11,SUMPRODUCT(--ISNUMBER(FIND(MID($B952,{1,2,3,4,5,6,7,8,9,10,11},1),"0123456789")))=11),1,0))</f>
        <v/>
      </c>
      <c r="G952">
        <f>IF($F952=1,VALUE(MID($B952,4,7)),"")</f>
        <v/>
      </c>
      <c r="H952">
        <f>IF($F952=1,MOD($G952,7),"")</f>
        <v/>
      </c>
    </row>
    <row r="953">
      <c r="A953" s="6" t="n"/>
      <c r="B953" s="7">
        <f>IF($A953="","",SUBSTITUTE(SUBSTITUTE(SUBSTITUTE(SUBSTITUTE($A953," ",""),"-",""),".",""),"/",""))</f>
        <v/>
      </c>
      <c r="C953" s="8">
        <f>IF($F953=1,$H953,"")</f>
        <v/>
      </c>
      <c r="D953" s="7">
        <f>IF($A953="","",IF($F953=0,"Biçim hatalı",IF(FIND(MID($B953,11,1),"0123456789")-1=$H953,"Geçerli","Kontrol hanesi hatalı (doğrusu: "&amp;$H953&amp;")")))</f>
        <v/>
      </c>
      <c r="F953">
        <f>IF($A953="","",IF(AND(LEN($B953)=11,SUMPRODUCT(--ISNUMBER(FIND(MID($B953,{1,2,3,4,5,6,7,8,9,10,11},1),"0123456789")))=11),1,0))</f>
        <v/>
      </c>
      <c r="G953">
        <f>IF($F953=1,VALUE(MID($B953,4,7)),"")</f>
        <v/>
      </c>
      <c r="H953">
        <f>IF($F953=1,MOD($G953,7),"")</f>
        <v/>
      </c>
    </row>
    <row r="954">
      <c r="A954" s="6" t="n"/>
      <c r="B954" s="7">
        <f>IF($A954="","",SUBSTITUTE(SUBSTITUTE(SUBSTITUTE(SUBSTITUTE($A954," ",""),"-",""),".",""),"/",""))</f>
        <v/>
      </c>
      <c r="C954" s="8">
        <f>IF($F954=1,$H954,"")</f>
        <v/>
      </c>
      <c r="D954" s="7">
        <f>IF($A954="","",IF($F954=0,"Biçim hatalı",IF(FIND(MID($B954,11,1),"0123456789")-1=$H954,"Geçerli","Kontrol hanesi hatalı (doğrusu: "&amp;$H954&amp;")")))</f>
        <v/>
      </c>
      <c r="F954">
        <f>IF($A954="","",IF(AND(LEN($B954)=11,SUMPRODUCT(--ISNUMBER(FIND(MID($B954,{1,2,3,4,5,6,7,8,9,10,11},1),"0123456789")))=11),1,0))</f>
        <v/>
      </c>
      <c r="G954">
        <f>IF($F954=1,VALUE(MID($B954,4,7)),"")</f>
        <v/>
      </c>
      <c r="H954">
        <f>IF($F954=1,MOD($G954,7),"")</f>
        <v/>
      </c>
    </row>
    <row r="955">
      <c r="A955" s="6" t="n"/>
      <c r="B955" s="7">
        <f>IF($A955="","",SUBSTITUTE(SUBSTITUTE(SUBSTITUTE(SUBSTITUTE($A955," ",""),"-",""),".",""),"/",""))</f>
        <v/>
      </c>
      <c r="C955" s="8">
        <f>IF($F955=1,$H955,"")</f>
        <v/>
      </c>
      <c r="D955" s="7">
        <f>IF($A955="","",IF($F955=0,"Biçim hatalı",IF(FIND(MID($B955,11,1),"0123456789")-1=$H955,"Geçerli","Kontrol hanesi hatalı (doğrusu: "&amp;$H955&amp;")")))</f>
        <v/>
      </c>
      <c r="F955">
        <f>IF($A955="","",IF(AND(LEN($B955)=11,SUMPRODUCT(--ISNUMBER(FIND(MID($B955,{1,2,3,4,5,6,7,8,9,10,11},1),"0123456789")))=11),1,0))</f>
        <v/>
      </c>
      <c r="G955">
        <f>IF($F955=1,VALUE(MID($B955,4,7)),"")</f>
        <v/>
      </c>
      <c r="H955">
        <f>IF($F955=1,MOD($G955,7),"")</f>
        <v/>
      </c>
    </row>
    <row r="956">
      <c r="A956" s="6" t="n"/>
      <c r="B956" s="7">
        <f>IF($A956="","",SUBSTITUTE(SUBSTITUTE(SUBSTITUTE(SUBSTITUTE($A956," ",""),"-",""),".",""),"/",""))</f>
        <v/>
      </c>
      <c r="C956" s="8">
        <f>IF($F956=1,$H956,"")</f>
        <v/>
      </c>
      <c r="D956" s="7">
        <f>IF($A956="","",IF($F956=0,"Biçim hatalı",IF(FIND(MID($B956,11,1),"0123456789")-1=$H956,"Geçerli","Kontrol hanesi hatalı (doğrusu: "&amp;$H956&amp;")")))</f>
        <v/>
      </c>
      <c r="F956">
        <f>IF($A956="","",IF(AND(LEN($B956)=11,SUMPRODUCT(--ISNUMBER(FIND(MID($B956,{1,2,3,4,5,6,7,8,9,10,11},1),"0123456789")))=11),1,0))</f>
        <v/>
      </c>
      <c r="G956">
        <f>IF($F956=1,VALUE(MID($B956,4,7)),"")</f>
        <v/>
      </c>
      <c r="H956">
        <f>IF($F956=1,MOD($G956,7),"")</f>
        <v/>
      </c>
    </row>
    <row r="957">
      <c r="A957" s="6" t="n"/>
      <c r="B957" s="7">
        <f>IF($A957="","",SUBSTITUTE(SUBSTITUTE(SUBSTITUTE(SUBSTITUTE($A957," ",""),"-",""),".",""),"/",""))</f>
        <v/>
      </c>
      <c r="C957" s="8">
        <f>IF($F957=1,$H957,"")</f>
        <v/>
      </c>
      <c r="D957" s="7">
        <f>IF($A957="","",IF($F957=0,"Biçim hatalı",IF(FIND(MID($B957,11,1),"0123456789")-1=$H957,"Geçerli","Kontrol hanesi hatalı (doğrusu: "&amp;$H957&amp;")")))</f>
        <v/>
      </c>
      <c r="F957">
        <f>IF($A957="","",IF(AND(LEN($B957)=11,SUMPRODUCT(--ISNUMBER(FIND(MID($B957,{1,2,3,4,5,6,7,8,9,10,11},1),"0123456789")))=11),1,0))</f>
        <v/>
      </c>
      <c r="G957">
        <f>IF($F957=1,VALUE(MID($B957,4,7)),"")</f>
        <v/>
      </c>
      <c r="H957">
        <f>IF($F957=1,MOD($G957,7),"")</f>
        <v/>
      </c>
    </row>
    <row r="958">
      <c r="A958" s="6" t="n"/>
      <c r="B958" s="7">
        <f>IF($A958="","",SUBSTITUTE(SUBSTITUTE(SUBSTITUTE(SUBSTITUTE($A958," ",""),"-",""),".",""),"/",""))</f>
        <v/>
      </c>
      <c r="C958" s="8">
        <f>IF($F958=1,$H958,"")</f>
        <v/>
      </c>
      <c r="D958" s="7">
        <f>IF($A958="","",IF($F958=0,"Biçim hatalı",IF(FIND(MID($B958,11,1),"0123456789")-1=$H958,"Geçerli","Kontrol hanesi hatalı (doğrusu: "&amp;$H958&amp;")")))</f>
        <v/>
      </c>
      <c r="F958">
        <f>IF($A958="","",IF(AND(LEN($B958)=11,SUMPRODUCT(--ISNUMBER(FIND(MID($B958,{1,2,3,4,5,6,7,8,9,10,11},1),"0123456789")))=11),1,0))</f>
        <v/>
      </c>
      <c r="G958">
        <f>IF($F958=1,VALUE(MID($B958,4,7)),"")</f>
        <v/>
      </c>
      <c r="H958">
        <f>IF($F958=1,MOD($G958,7),"")</f>
        <v/>
      </c>
    </row>
    <row r="959">
      <c r="A959" s="6" t="n"/>
      <c r="B959" s="7">
        <f>IF($A959="","",SUBSTITUTE(SUBSTITUTE(SUBSTITUTE(SUBSTITUTE($A959," ",""),"-",""),".",""),"/",""))</f>
        <v/>
      </c>
      <c r="C959" s="8">
        <f>IF($F959=1,$H959,"")</f>
        <v/>
      </c>
      <c r="D959" s="7">
        <f>IF($A959="","",IF($F959=0,"Biçim hatalı",IF(FIND(MID($B959,11,1),"0123456789")-1=$H959,"Geçerli","Kontrol hanesi hatalı (doğrusu: "&amp;$H959&amp;")")))</f>
        <v/>
      </c>
      <c r="F959">
        <f>IF($A959="","",IF(AND(LEN($B959)=11,SUMPRODUCT(--ISNUMBER(FIND(MID($B959,{1,2,3,4,5,6,7,8,9,10,11},1),"0123456789")))=11),1,0))</f>
        <v/>
      </c>
      <c r="G959">
        <f>IF($F959=1,VALUE(MID($B959,4,7)),"")</f>
        <v/>
      </c>
      <c r="H959">
        <f>IF($F959=1,MOD($G959,7),"")</f>
        <v/>
      </c>
    </row>
    <row r="960">
      <c r="A960" s="6" t="n"/>
      <c r="B960" s="7">
        <f>IF($A960="","",SUBSTITUTE(SUBSTITUTE(SUBSTITUTE(SUBSTITUTE($A960," ",""),"-",""),".",""),"/",""))</f>
        <v/>
      </c>
      <c r="C960" s="8">
        <f>IF($F960=1,$H960,"")</f>
        <v/>
      </c>
      <c r="D960" s="7">
        <f>IF($A960="","",IF($F960=0,"Biçim hatalı",IF(FIND(MID($B960,11,1),"0123456789")-1=$H960,"Geçerli","Kontrol hanesi hatalı (doğrusu: "&amp;$H960&amp;")")))</f>
        <v/>
      </c>
      <c r="F960">
        <f>IF($A960="","",IF(AND(LEN($B960)=11,SUMPRODUCT(--ISNUMBER(FIND(MID($B960,{1,2,3,4,5,6,7,8,9,10,11},1),"0123456789")))=11),1,0))</f>
        <v/>
      </c>
      <c r="G960">
        <f>IF($F960=1,VALUE(MID($B960,4,7)),"")</f>
        <v/>
      </c>
      <c r="H960">
        <f>IF($F960=1,MOD($G960,7),"")</f>
        <v/>
      </c>
    </row>
    <row r="961">
      <c r="A961" s="6" t="n"/>
      <c r="B961" s="7">
        <f>IF($A961="","",SUBSTITUTE(SUBSTITUTE(SUBSTITUTE(SUBSTITUTE($A961," ",""),"-",""),".",""),"/",""))</f>
        <v/>
      </c>
      <c r="C961" s="8">
        <f>IF($F961=1,$H961,"")</f>
        <v/>
      </c>
      <c r="D961" s="7">
        <f>IF($A961="","",IF($F961=0,"Biçim hatalı",IF(FIND(MID($B961,11,1),"0123456789")-1=$H961,"Geçerli","Kontrol hanesi hatalı (doğrusu: "&amp;$H961&amp;")")))</f>
        <v/>
      </c>
      <c r="F961">
        <f>IF($A961="","",IF(AND(LEN($B961)=11,SUMPRODUCT(--ISNUMBER(FIND(MID($B961,{1,2,3,4,5,6,7,8,9,10,11},1),"0123456789")))=11),1,0))</f>
        <v/>
      </c>
      <c r="G961">
        <f>IF($F961=1,VALUE(MID($B961,4,7)),"")</f>
        <v/>
      </c>
      <c r="H961">
        <f>IF($F961=1,MOD($G961,7),"")</f>
        <v/>
      </c>
    </row>
    <row r="962">
      <c r="A962" s="6" t="n"/>
      <c r="B962" s="7">
        <f>IF($A962="","",SUBSTITUTE(SUBSTITUTE(SUBSTITUTE(SUBSTITUTE($A962," ",""),"-",""),".",""),"/",""))</f>
        <v/>
      </c>
      <c r="C962" s="8">
        <f>IF($F962=1,$H962,"")</f>
        <v/>
      </c>
      <c r="D962" s="7">
        <f>IF($A962="","",IF($F962=0,"Biçim hatalı",IF(FIND(MID($B962,11,1),"0123456789")-1=$H962,"Geçerli","Kontrol hanesi hatalı (doğrusu: "&amp;$H962&amp;")")))</f>
        <v/>
      </c>
      <c r="F962">
        <f>IF($A962="","",IF(AND(LEN($B962)=11,SUMPRODUCT(--ISNUMBER(FIND(MID($B962,{1,2,3,4,5,6,7,8,9,10,11},1),"0123456789")))=11),1,0))</f>
        <v/>
      </c>
      <c r="G962">
        <f>IF($F962=1,VALUE(MID($B962,4,7)),"")</f>
        <v/>
      </c>
      <c r="H962">
        <f>IF($F962=1,MOD($G962,7),"")</f>
        <v/>
      </c>
    </row>
    <row r="963">
      <c r="A963" s="6" t="n"/>
      <c r="B963" s="7">
        <f>IF($A963="","",SUBSTITUTE(SUBSTITUTE(SUBSTITUTE(SUBSTITUTE($A963," ",""),"-",""),".",""),"/",""))</f>
        <v/>
      </c>
      <c r="C963" s="8">
        <f>IF($F963=1,$H963,"")</f>
        <v/>
      </c>
      <c r="D963" s="7">
        <f>IF($A963="","",IF($F963=0,"Biçim hatalı",IF(FIND(MID($B963,11,1),"0123456789")-1=$H963,"Geçerli","Kontrol hanesi hatalı (doğrusu: "&amp;$H963&amp;")")))</f>
        <v/>
      </c>
      <c r="F963">
        <f>IF($A963="","",IF(AND(LEN($B963)=11,SUMPRODUCT(--ISNUMBER(FIND(MID($B963,{1,2,3,4,5,6,7,8,9,10,11},1),"0123456789")))=11),1,0))</f>
        <v/>
      </c>
      <c r="G963">
        <f>IF($F963=1,VALUE(MID($B963,4,7)),"")</f>
        <v/>
      </c>
      <c r="H963">
        <f>IF($F963=1,MOD($G963,7),"")</f>
        <v/>
      </c>
    </row>
    <row r="964">
      <c r="A964" s="6" t="n"/>
      <c r="B964" s="7">
        <f>IF($A964="","",SUBSTITUTE(SUBSTITUTE(SUBSTITUTE(SUBSTITUTE($A964," ",""),"-",""),".",""),"/",""))</f>
        <v/>
      </c>
      <c r="C964" s="8">
        <f>IF($F964=1,$H964,"")</f>
        <v/>
      </c>
      <c r="D964" s="7">
        <f>IF($A964="","",IF($F964=0,"Biçim hatalı",IF(FIND(MID($B964,11,1),"0123456789")-1=$H964,"Geçerli","Kontrol hanesi hatalı (doğrusu: "&amp;$H964&amp;")")))</f>
        <v/>
      </c>
      <c r="F964">
        <f>IF($A964="","",IF(AND(LEN($B964)=11,SUMPRODUCT(--ISNUMBER(FIND(MID($B964,{1,2,3,4,5,6,7,8,9,10,11},1),"0123456789")))=11),1,0))</f>
        <v/>
      </c>
      <c r="G964">
        <f>IF($F964=1,VALUE(MID($B964,4,7)),"")</f>
        <v/>
      </c>
      <c r="H964">
        <f>IF($F964=1,MOD($G964,7),"")</f>
        <v/>
      </c>
    </row>
    <row r="965">
      <c r="A965" s="6" t="n"/>
      <c r="B965" s="7">
        <f>IF($A965="","",SUBSTITUTE(SUBSTITUTE(SUBSTITUTE(SUBSTITUTE($A965," ",""),"-",""),".",""),"/",""))</f>
        <v/>
      </c>
      <c r="C965" s="8">
        <f>IF($F965=1,$H965,"")</f>
        <v/>
      </c>
      <c r="D965" s="7">
        <f>IF($A965="","",IF($F965=0,"Biçim hatalı",IF(FIND(MID($B965,11,1),"0123456789")-1=$H965,"Geçerli","Kontrol hanesi hatalı (doğrusu: "&amp;$H965&amp;")")))</f>
        <v/>
      </c>
      <c r="F965">
        <f>IF($A965="","",IF(AND(LEN($B965)=11,SUMPRODUCT(--ISNUMBER(FIND(MID($B965,{1,2,3,4,5,6,7,8,9,10,11},1),"0123456789")))=11),1,0))</f>
        <v/>
      </c>
      <c r="G965">
        <f>IF($F965=1,VALUE(MID($B965,4,7)),"")</f>
        <v/>
      </c>
      <c r="H965">
        <f>IF($F965=1,MOD($G965,7),"")</f>
        <v/>
      </c>
    </row>
    <row r="966">
      <c r="A966" s="6" t="n"/>
      <c r="B966" s="7">
        <f>IF($A966="","",SUBSTITUTE(SUBSTITUTE(SUBSTITUTE(SUBSTITUTE($A966," ",""),"-",""),".",""),"/",""))</f>
        <v/>
      </c>
      <c r="C966" s="8">
        <f>IF($F966=1,$H966,"")</f>
        <v/>
      </c>
      <c r="D966" s="7">
        <f>IF($A966="","",IF($F966=0,"Biçim hatalı",IF(FIND(MID($B966,11,1),"0123456789")-1=$H966,"Geçerli","Kontrol hanesi hatalı (doğrusu: "&amp;$H966&amp;")")))</f>
        <v/>
      </c>
      <c r="F966">
        <f>IF($A966="","",IF(AND(LEN($B966)=11,SUMPRODUCT(--ISNUMBER(FIND(MID($B966,{1,2,3,4,5,6,7,8,9,10,11},1),"0123456789")))=11),1,0))</f>
        <v/>
      </c>
      <c r="G966">
        <f>IF($F966=1,VALUE(MID($B966,4,7)),"")</f>
        <v/>
      </c>
      <c r="H966">
        <f>IF($F966=1,MOD($G966,7),"")</f>
        <v/>
      </c>
    </row>
    <row r="967">
      <c r="A967" s="6" t="n"/>
      <c r="B967" s="7">
        <f>IF($A967="","",SUBSTITUTE(SUBSTITUTE(SUBSTITUTE(SUBSTITUTE($A967," ",""),"-",""),".",""),"/",""))</f>
        <v/>
      </c>
      <c r="C967" s="8">
        <f>IF($F967=1,$H967,"")</f>
        <v/>
      </c>
      <c r="D967" s="7">
        <f>IF($A967="","",IF($F967=0,"Biçim hatalı",IF(FIND(MID($B967,11,1),"0123456789")-1=$H967,"Geçerli","Kontrol hanesi hatalı (doğrusu: "&amp;$H967&amp;")")))</f>
        <v/>
      </c>
      <c r="F967">
        <f>IF($A967="","",IF(AND(LEN($B967)=11,SUMPRODUCT(--ISNUMBER(FIND(MID($B967,{1,2,3,4,5,6,7,8,9,10,11},1),"0123456789")))=11),1,0))</f>
        <v/>
      </c>
      <c r="G967">
        <f>IF($F967=1,VALUE(MID($B967,4,7)),"")</f>
        <v/>
      </c>
      <c r="H967">
        <f>IF($F967=1,MOD($G967,7),"")</f>
        <v/>
      </c>
    </row>
    <row r="968">
      <c r="A968" s="6" t="n"/>
      <c r="B968" s="7">
        <f>IF($A968="","",SUBSTITUTE(SUBSTITUTE(SUBSTITUTE(SUBSTITUTE($A968," ",""),"-",""),".",""),"/",""))</f>
        <v/>
      </c>
      <c r="C968" s="8">
        <f>IF($F968=1,$H968,"")</f>
        <v/>
      </c>
      <c r="D968" s="7">
        <f>IF($A968="","",IF($F968=0,"Biçim hatalı",IF(FIND(MID($B968,11,1),"0123456789")-1=$H968,"Geçerli","Kontrol hanesi hatalı (doğrusu: "&amp;$H968&amp;")")))</f>
        <v/>
      </c>
      <c r="F968">
        <f>IF($A968="","",IF(AND(LEN($B968)=11,SUMPRODUCT(--ISNUMBER(FIND(MID($B968,{1,2,3,4,5,6,7,8,9,10,11},1),"0123456789")))=11),1,0))</f>
        <v/>
      </c>
      <c r="G968">
        <f>IF($F968=1,VALUE(MID($B968,4,7)),"")</f>
        <v/>
      </c>
      <c r="H968">
        <f>IF($F968=1,MOD($G968,7),"")</f>
        <v/>
      </c>
    </row>
    <row r="969">
      <c r="A969" s="6" t="n"/>
      <c r="B969" s="7">
        <f>IF($A969="","",SUBSTITUTE(SUBSTITUTE(SUBSTITUTE(SUBSTITUTE($A969," ",""),"-",""),".",""),"/",""))</f>
        <v/>
      </c>
      <c r="C969" s="8">
        <f>IF($F969=1,$H969,"")</f>
        <v/>
      </c>
      <c r="D969" s="7">
        <f>IF($A969="","",IF($F969=0,"Biçim hatalı",IF(FIND(MID($B969,11,1),"0123456789")-1=$H969,"Geçerli","Kontrol hanesi hatalı (doğrusu: "&amp;$H969&amp;")")))</f>
        <v/>
      </c>
      <c r="F969">
        <f>IF($A969="","",IF(AND(LEN($B969)=11,SUMPRODUCT(--ISNUMBER(FIND(MID($B969,{1,2,3,4,5,6,7,8,9,10,11},1),"0123456789")))=11),1,0))</f>
        <v/>
      </c>
      <c r="G969">
        <f>IF($F969=1,VALUE(MID($B969,4,7)),"")</f>
        <v/>
      </c>
      <c r="H969">
        <f>IF($F969=1,MOD($G969,7),"")</f>
        <v/>
      </c>
    </row>
    <row r="970">
      <c r="A970" s="6" t="n"/>
      <c r="B970" s="7">
        <f>IF($A970="","",SUBSTITUTE(SUBSTITUTE(SUBSTITUTE(SUBSTITUTE($A970," ",""),"-",""),".",""),"/",""))</f>
        <v/>
      </c>
      <c r="C970" s="8">
        <f>IF($F970=1,$H970,"")</f>
        <v/>
      </c>
      <c r="D970" s="7">
        <f>IF($A970="","",IF($F970=0,"Biçim hatalı",IF(FIND(MID($B970,11,1),"0123456789")-1=$H970,"Geçerli","Kontrol hanesi hatalı (doğrusu: "&amp;$H970&amp;")")))</f>
        <v/>
      </c>
      <c r="F970">
        <f>IF($A970="","",IF(AND(LEN($B970)=11,SUMPRODUCT(--ISNUMBER(FIND(MID($B970,{1,2,3,4,5,6,7,8,9,10,11},1),"0123456789")))=11),1,0))</f>
        <v/>
      </c>
      <c r="G970">
        <f>IF($F970=1,VALUE(MID($B970,4,7)),"")</f>
        <v/>
      </c>
      <c r="H970">
        <f>IF($F970=1,MOD($G970,7),"")</f>
        <v/>
      </c>
    </row>
    <row r="971">
      <c r="A971" s="6" t="n"/>
      <c r="B971" s="7">
        <f>IF($A971="","",SUBSTITUTE(SUBSTITUTE(SUBSTITUTE(SUBSTITUTE($A971," ",""),"-",""),".",""),"/",""))</f>
        <v/>
      </c>
      <c r="C971" s="8">
        <f>IF($F971=1,$H971,"")</f>
        <v/>
      </c>
      <c r="D971" s="7">
        <f>IF($A971="","",IF($F971=0,"Biçim hatalı",IF(FIND(MID($B971,11,1),"0123456789")-1=$H971,"Geçerli","Kontrol hanesi hatalı (doğrusu: "&amp;$H971&amp;")")))</f>
        <v/>
      </c>
      <c r="F971">
        <f>IF($A971="","",IF(AND(LEN($B971)=11,SUMPRODUCT(--ISNUMBER(FIND(MID($B971,{1,2,3,4,5,6,7,8,9,10,11},1),"0123456789")))=11),1,0))</f>
        <v/>
      </c>
      <c r="G971">
        <f>IF($F971=1,VALUE(MID($B971,4,7)),"")</f>
        <v/>
      </c>
      <c r="H971">
        <f>IF($F971=1,MOD($G971,7),"")</f>
        <v/>
      </c>
    </row>
    <row r="972">
      <c r="A972" s="6" t="n"/>
      <c r="B972" s="7">
        <f>IF($A972="","",SUBSTITUTE(SUBSTITUTE(SUBSTITUTE(SUBSTITUTE($A972," ",""),"-",""),".",""),"/",""))</f>
        <v/>
      </c>
      <c r="C972" s="8">
        <f>IF($F972=1,$H972,"")</f>
        <v/>
      </c>
      <c r="D972" s="7">
        <f>IF($A972="","",IF($F972=0,"Biçim hatalı",IF(FIND(MID($B972,11,1),"0123456789")-1=$H972,"Geçerli","Kontrol hanesi hatalı (doğrusu: "&amp;$H972&amp;")")))</f>
        <v/>
      </c>
      <c r="F972">
        <f>IF($A972="","",IF(AND(LEN($B972)=11,SUMPRODUCT(--ISNUMBER(FIND(MID($B972,{1,2,3,4,5,6,7,8,9,10,11},1),"0123456789")))=11),1,0))</f>
        <v/>
      </c>
      <c r="G972">
        <f>IF($F972=1,VALUE(MID($B972,4,7)),"")</f>
        <v/>
      </c>
      <c r="H972">
        <f>IF($F972=1,MOD($G972,7),"")</f>
        <v/>
      </c>
    </row>
    <row r="973">
      <c r="A973" s="6" t="n"/>
      <c r="B973" s="7">
        <f>IF($A973="","",SUBSTITUTE(SUBSTITUTE(SUBSTITUTE(SUBSTITUTE($A973," ",""),"-",""),".",""),"/",""))</f>
        <v/>
      </c>
      <c r="C973" s="8">
        <f>IF($F973=1,$H973,"")</f>
        <v/>
      </c>
      <c r="D973" s="7">
        <f>IF($A973="","",IF($F973=0,"Biçim hatalı",IF(FIND(MID($B973,11,1),"0123456789")-1=$H973,"Geçerli","Kontrol hanesi hatalı (doğrusu: "&amp;$H973&amp;")")))</f>
        <v/>
      </c>
      <c r="F973">
        <f>IF($A973="","",IF(AND(LEN($B973)=11,SUMPRODUCT(--ISNUMBER(FIND(MID($B973,{1,2,3,4,5,6,7,8,9,10,11},1),"0123456789")))=11),1,0))</f>
        <v/>
      </c>
      <c r="G973">
        <f>IF($F973=1,VALUE(MID($B973,4,7)),"")</f>
        <v/>
      </c>
      <c r="H973">
        <f>IF($F973=1,MOD($G973,7),"")</f>
        <v/>
      </c>
    </row>
    <row r="974">
      <c r="A974" s="6" t="n"/>
      <c r="B974" s="7">
        <f>IF($A974="","",SUBSTITUTE(SUBSTITUTE(SUBSTITUTE(SUBSTITUTE($A974," ",""),"-",""),".",""),"/",""))</f>
        <v/>
      </c>
      <c r="C974" s="8">
        <f>IF($F974=1,$H974,"")</f>
        <v/>
      </c>
      <c r="D974" s="7">
        <f>IF($A974="","",IF($F974=0,"Biçim hatalı",IF(FIND(MID($B974,11,1),"0123456789")-1=$H974,"Geçerli","Kontrol hanesi hatalı (doğrusu: "&amp;$H974&amp;")")))</f>
        <v/>
      </c>
      <c r="F974">
        <f>IF($A974="","",IF(AND(LEN($B974)=11,SUMPRODUCT(--ISNUMBER(FIND(MID($B974,{1,2,3,4,5,6,7,8,9,10,11},1),"0123456789")))=11),1,0))</f>
        <v/>
      </c>
      <c r="G974">
        <f>IF($F974=1,VALUE(MID($B974,4,7)),"")</f>
        <v/>
      </c>
      <c r="H974">
        <f>IF($F974=1,MOD($G974,7),"")</f>
        <v/>
      </c>
    </row>
    <row r="975">
      <c r="A975" s="6" t="n"/>
      <c r="B975" s="7">
        <f>IF($A975="","",SUBSTITUTE(SUBSTITUTE(SUBSTITUTE(SUBSTITUTE($A975," ",""),"-",""),".",""),"/",""))</f>
        <v/>
      </c>
      <c r="C975" s="8">
        <f>IF($F975=1,$H975,"")</f>
        <v/>
      </c>
      <c r="D975" s="7">
        <f>IF($A975="","",IF($F975=0,"Biçim hatalı",IF(FIND(MID($B975,11,1),"0123456789")-1=$H975,"Geçerli","Kontrol hanesi hatalı (doğrusu: "&amp;$H975&amp;")")))</f>
        <v/>
      </c>
      <c r="F975">
        <f>IF($A975="","",IF(AND(LEN($B975)=11,SUMPRODUCT(--ISNUMBER(FIND(MID($B975,{1,2,3,4,5,6,7,8,9,10,11},1),"0123456789")))=11),1,0))</f>
        <v/>
      </c>
      <c r="G975">
        <f>IF($F975=1,VALUE(MID($B975,4,7)),"")</f>
        <v/>
      </c>
      <c r="H975">
        <f>IF($F975=1,MOD($G975,7),"")</f>
        <v/>
      </c>
    </row>
    <row r="976">
      <c r="A976" s="6" t="n"/>
      <c r="B976" s="7">
        <f>IF($A976="","",SUBSTITUTE(SUBSTITUTE(SUBSTITUTE(SUBSTITUTE($A976," ",""),"-",""),".",""),"/",""))</f>
        <v/>
      </c>
      <c r="C976" s="8">
        <f>IF($F976=1,$H976,"")</f>
        <v/>
      </c>
      <c r="D976" s="7">
        <f>IF($A976="","",IF($F976=0,"Biçim hatalı",IF(FIND(MID($B976,11,1),"0123456789")-1=$H976,"Geçerli","Kontrol hanesi hatalı (doğrusu: "&amp;$H976&amp;")")))</f>
        <v/>
      </c>
      <c r="F976">
        <f>IF($A976="","",IF(AND(LEN($B976)=11,SUMPRODUCT(--ISNUMBER(FIND(MID($B976,{1,2,3,4,5,6,7,8,9,10,11},1),"0123456789")))=11),1,0))</f>
        <v/>
      </c>
      <c r="G976">
        <f>IF($F976=1,VALUE(MID($B976,4,7)),"")</f>
        <v/>
      </c>
      <c r="H976">
        <f>IF($F976=1,MOD($G976,7),"")</f>
        <v/>
      </c>
    </row>
    <row r="977">
      <c r="A977" s="6" t="n"/>
      <c r="B977" s="7">
        <f>IF($A977="","",SUBSTITUTE(SUBSTITUTE(SUBSTITUTE(SUBSTITUTE($A977," ",""),"-",""),".",""),"/",""))</f>
        <v/>
      </c>
      <c r="C977" s="8">
        <f>IF($F977=1,$H977,"")</f>
        <v/>
      </c>
      <c r="D977" s="7">
        <f>IF($A977="","",IF($F977=0,"Biçim hatalı",IF(FIND(MID($B977,11,1),"0123456789")-1=$H977,"Geçerli","Kontrol hanesi hatalı (doğrusu: "&amp;$H977&amp;")")))</f>
        <v/>
      </c>
      <c r="F977">
        <f>IF($A977="","",IF(AND(LEN($B977)=11,SUMPRODUCT(--ISNUMBER(FIND(MID($B977,{1,2,3,4,5,6,7,8,9,10,11},1),"0123456789")))=11),1,0))</f>
        <v/>
      </c>
      <c r="G977">
        <f>IF($F977=1,VALUE(MID($B977,4,7)),"")</f>
        <v/>
      </c>
      <c r="H977">
        <f>IF($F977=1,MOD($G977,7),"")</f>
        <v/>
      </c>
    </row>
    <row r="978">
      <c r="A978" s="6" t="n"/>
      <c r="B978" s="7">
        <f>IF($A978="","",SUBSTITUTE(SUBSTITUTE(SUBSTITUTE(SUBSTITUTE($A978," ",""),"-",""),".",""),"/",""))</f>
        <v/>
      </c>
      <c r="C978" s="8">
        <f>IF($F978=1,$H978,"")</f>
        <v/>
      </c>
      <c r="D978" s="7">
        <f>IF($A978="","",IF($F978=0,"Biçim hatalı",IF(FIND(MID($B978,11,1),"0123456789")-1=$H978,"Geçerli","Kontrol hanesi hatalı (doğrusu: "&amp;$H978&amp;")")))</f>
        <v/>
      </c>
      <c r="F978">
        <f>IF($A978="","",IF(AND(LEN($B978)=11,SUMPRODUCT(--ISNUMBER(FIND(MID($B978,{1,2,3,4,5,6,7,8,9,10,11},1),"0123456789")))=11),1,0))</f>
        <v/>
      </c>
      <c r="G978">
        <f>IF($F978=1,VALUE(MID($B978,4,7)),"")</f>
        <v/>
      </c>
      <c r="H978">
        <f>IF($F978=1,MOD($G978,7),"")</f>
        <v/>
      </c>
    </row>
    <row r="979">
      <c r="A979" s="6" t="n"/>
      <c r="B979" s="7">
        <f>IF($A979="","",SUBSTITUTE(SUBSTITUTE(SUBSTITUTE(SUBSTITUTE($A979," ",""),"-",""),".",""),"/",""))</f>
        <v/>
      </c>
      <c r="C979" s="8">
        <f>IF($F979=1,$H979,"")</f>
        <v/>
      </c>
      <c r="D979" s="7">
        <f>IF($A979="","",IF($F979=0,"Biçim hatalı",IF(FIND(MID($B979,11,1),"0123456789")-1=$H979,"Geçerli","Kontrol hanesi hatalı (doğrusu: "&amp;$H979&amp;")")))</f>
        <v/>
      </c>
      <c r="F979">
        <f>IF($A979="","",IF(AND(LEN($B979)=11,SUMPRODUCT(--ISNUMBER(FIND(MID($B979,{1,2,3,4,5,6,7,8,9,10,11},1),"0123456789")))=11),1,0))</f>
        <v/>
      </c>
      <c r="G979">
        <f>IF($F979=1,VALUE(MID($B979,4,7)),"")</f>
        <v/>
      </c>
      <c r="H979">
        <f>IF($F979=1,MOD($G979,7),"")</f>
        <v/>
      </c>
    </row>
    <row r="980">
      <c r="A980" s="6" t="n"/>
      <c r="B980" s="7">
        <f>IF($A980="","",SUBSTITUTE(SUBSTITUTE(SUBSTITUTE(SUBSTITUTE($A980," ",""),"-",""),".",""),"/",""))</f>
        <v/>
      </c>
      <c r="C980" s="8">
        <f>IF($F980=1,$H980,"")</f>
        <v/>
      </c>
      <c r="D980" s="7">
        <f>IF($A980="","",IF($F980=0,"Biçim hatalı",IF(FIND(MID($B980,11,1),"0123456789")-1=$H980,"Geçerli","Kontrol hanesi hatalı (doğrusu: "&amp;$H980&amp;")")))</f>
        <v/>
      </c>
      <c r="F980">
        <f>IF($A980="","",IF(AND(LEN($B980)=11,SUMPRODUCT(--ISNUMBER(FIND(MID($B980,{1,2,3,4,5,6,7,8,9,10,11},1),"0123456789")))=11),1,0))</f>
        <v/>
      </c>
      <c r="G980">
        <f>IF($F980=1,VALUE(MID($B980,4,7)),"")</f>
        <v/>
      </c>
      <c r="H980">
        <f>IF($F980=1,MOD($G980,7),"")</f>
        <v/>
      </c>
    </row>
    <row r="981">
      <c r="A981" s="6" t="n"/>
      <c r="B981" s="7">
        <f>IF($A981="","",SUBSTITUTE(SUBSTITUTE(SUBSTITUTE(SUBSTITUTE($A981," ",""),"-",""),".",""),"/",""))</f>
        <v/>
      </c>
      <c r="C981" s="8">
        <f>IF($F981=1,$H981,"")</f>
        <v/>
      </c>
      <c r="D981" s="7">
        <f>IF($A981="","",IF($F981=0,"Biçim hatalı",IF(FIND(MID($B981,11,1),"0123456789")-1=$H981,"Geçerli","Kontrol hanesi hatalı (doğrusu: "&amp;$H981&amp;")")))</f>
        <v/>
      </c>
      <c r="F981">
        <f>IF($A981="","",IF(AND(LEN($B981)=11,SUMPRODUCT(--ISNUMBER(FIND(MID($B981,{1,2,3,4,5,6,7,8,9,10,11},1),"0123456789")))=11),1,0))</f>
        <v/>
      </c>
      <c r="G981">
        <f>IF($F981=1,VALUE(MID($B981,4,7)),"")</f>
        <v/>
      </c>
      <c r="H981">
        <f>IF($F981=1,MOD($G981,7),"")</f>
        <v/>
      </c>
    </row>
    <row r="982">
      <c r="A982" s="6" t="n"/>
      <c r="B982" s="7">
        <f>IF($A982="","",SUBSTITUTE(SUBSTITUTE(SUBSTITUTE(SUBSTITUTE($A982," ",""),"-",""),".",""),"/",""))</f>
        <v/>
      </c>
      <c r="C982" s="8">
        <f>IF($F982=1,$H982,"")</f>
        <v/>
      </c>
      <c r="D982" s="7">
        <f>IF($A982="","",IF($F982=0,"Biçim hatalı",IF(FIND(MID($B982,11,1),"0123456789")-1=$H982,"Geçerli","Kontrol hanesi hatalı (doğrusu: "&amp;$H982&amp;")")))</f>
        <v/>
      </c>
      <c r="F982">
        <f>IF($A982="","",IF(AND(LEN($B982)=11,SUMPRODUCT(--ISNUMBER(FIND(MID($B982,{1,2,3,4,5,6,7,8,9,10,11},1),"0123456789")))=11),1,0))</f>
        <v/>
      </c>
      <c r="G982">
        <f>IF($F982=1,VALUE(MID($B982,4,7)),"")</f>
        <v/>
      </c>
      <c r="H982">
        <f>IF($F982=1,MOD($G982,7),"")</f>
        <v/>
      </c>
    </row>
    <row r="983">
      <c r="A983" s="6" t="n"/>
      <c r="B983" s="7">
        <f>IF($A983="","",SUBSTITUTE(SUBSTITUTE(SUBSTITUTE(SUBSTITUTE($A983," ",""),"-",""),".",""),"/",""))</f>
        <v/>
      </c>
      <c r="C983" s="8">
        <f>IF($F983=1,$H983,"")</f>
        <v/>
      </c>
      <c r="D983" s="7">
        <f>IF($A983="","",IF($F983=0,"Biçim hatalı",IF(FIND(MID($B983,11,1),"0123456789")-1=$H983,"Geçerli","Kontrol hanesi hatalı (doğrusu: "&amp;$H983&amp;")")))</f>
        <v/>
      </c>
      <c r="F983">
        <f>IF($A983="","",IF(AND(LEN($B983)=11,SUMPRODUCT(--ISNUMBER(FIND(MID($B983,{1,2,3,4,5,6,7,8,9,10,11},1),"0123456789")))=11),1,0))</f>
        <v/>
      </c>
      <c r="G983">
        <f>IF($F983=1,VALUE(MID($B983,4,7)),"")</f>
        <v/>
      </c>
      <c r="H983">
        <f>IF($F983=1,MOD($G983,7),"")</f>
        <v/>
      </c>
    </row>
    <row r="984">
      <c r="A984" s="6" t="n"/>
      <c r="B984" s="7">
        <f>IF($A984="","",SUBSTITUTE(SUBSTITUTE(SUBSTITUTE(SUBSTITUTE($A984," ",""),"-",""),".",""),"/",""))</f>
        <v/>
      </c>
      <c r="C984" s="8">
        <f>IF($F984=1,$H984,"")</f>
        <v/>
      </c>
      <c r="D984" s="7">
        <f>IF($A984="","",IF($F984=0,"Biçim hatalı",IF(FIND(MID($B984,11,1),"0123456789")-1=$H984,"Geçerli","Kontrol hanesi hatalı (doğrusu: "&amp;$H984&amp;")")))</f>
        <v/>
      </c>
      <c r="F984">
        <f>IF($A984="","",IF(AND(LEN($B984)=11,SUMPRODUCT(--ISNUMBER(FIND(MID($B984,{1,2,3,4,5,6,7,8,9,10,11},1),"0123456789")))=11),1,0))</f>
        <v/>
      </c>
      <c r="G984">
        <f>IF($F984=1,VALUE(MID($B984,4,7)),"")</f>
        <v/>
      </c>
      <c r="H984">
        <f>IF($F984=1,MOD($G984,7),"")</f>
        <v/>
      </c>
    </row>
    <row r="985">
      <c r="A985" s="6" t="n"/>
      <c r="B985" s="7">
        <f>IF($A985="","",SUBSTITUTE(SUBSTITUTE(SUBSTITUTE(SUBSTITUTE($A985," ",""),"-",""),".",""),"/",""))</f>
        <v/>
      </c>
      <c r="C985" s="8">
        <f>IF($F985=1,$H985,"")</f>
        <v/>
      </c>
      <c r="D985" s="7">
        <f>IF($A985="","",IF($F985=0,"Biçim hatalı",IF(FIND(MID($B985,11,1),"0123456789")-1=$H985,"Geçerli","Kontrol hanesi hatalı (doğrusu: "&amp;$H985&amp;")")))</f>
        <v/>
      </c>
      <c r="F985">
        <f>IF($A985="","",IF(AND(LEN($B985)=11,SUMPRODUCT(--ISNUMBER(FIND(MID($B985,{1,2,3,4,5,6,7,8,9,10,11},1),"0123456789")))=11),1,0))</f>
        <v/>
      </c>
      <c r="G985">
        <f>IF($F985=1,VALUE(MID($B985,4,7)),"")</f>
        <v/>
      </c>
      <c r="H985">
        <f>IF($F985=1,MOD($G985,7),"")</f>
        <v/>
      </c>
    </row>
    <row r="986">
      <c r="A986" s="6" t="n"/>
      <c r="B986" s="7">
        <f>IF($A986="","",SUBSTITUTE(SUBSTITUTE(SUBSTITUTE(SUBSTITUTE($A986," ",""),"-",""),".",""),"/",""))</f>
        <v/>
      </c>
      <c r="C986" s="8">
        <f>IF($F986=1,$H986,"")</f>
        <v/>
      </c>
      <c r="D986" s="7">
        <f>IF($A986="","",IF($F986=0,"Biçim hatalı",IF(FIND(MID($B986,11,1),"0123456789")-1=$H986,"Geçerli","Kontrol hanesi hatalı (doğrusu: "&amp;$H986&amp;")")))</f>
        <v/>
      </c>
      <c r="F986">
        <f>IF($A986="","",IF(AND(LEN($B986)=11,SUMPRODUCT(--ISNUMBER(FIND(MID($B986,{1,2,3,4,5,6,7,8,9,10,11},1),"0123456789")))=11),1,0))</f>
        <v/>
      </c>
      <c r="G986">
        <f>IF($F986=1,VALUE(MID($B986,4,7)),"")</f>
        <v/>
      </c>
      <c r="H986">
        <f>IF($F986=1,MOD($G986,7),"")</f>
        <v/>
      </c>
    </row>
    <row r="987">
      <c r="A987" s="6" t="n"/>
      <c r="B987" s="7">
        <f>IF($A987="","",SUBSTITUTE(SUBSTITUTE(SUBSTITUTE(SUBSTITUTE($A987," ",""),"-",""),".",""),"/",""))</f>
        <v/>
      </c>
      <c r="C987" s="8">
        <f>IF($F987=1,$H987,"")</f>
        <v/>
      </c>
      <c r="D987" s="7">
        <f>IF($A987="","",IF($F987=0,"Biçim hatalı",IF(FIND(MID($B987,11,1),"0123456789")-1=$H987,"Geçerli","Kontrol hanesi hatalı (doğrusu: "&amp;$H987&amp;")")))</f>
        <v/>
      </c>
      <c r="F987">
        <f>IF($A987="","",IF(AND(LEN($B987)=11,SUMPRODUCT(--ISNUMBER(FIND(MID($B987,{1,2,3,4,5,6,7,8,9,10,11},1),"0123456789")))=11),1,0))</f>
        <v/>
      </c>
      <c r="G987">
        <f>IF($F987=1,VALUE(MID($B987,4,7)),"")</f>
        <v/>
      </c>
      <c r="H987">
        <f>IF($F987=1,MOD($G987,7),"")</f>
        <v/>
      </c>
    </row>
    <row r="988">
      <c r="A988" s="6" t="n"/>
      <c r="B988" s="7">
        <f>IF($A988="","",SUBSTITUTE(SUBSTITUTE(SUBSTITUTE(SUBSTITUTE($A988," ",""),"-",""),".",""),"/",""))</f>
        <v/>
      </c>
      <c r="C988" s="8">
        <f>IF($F988=1,$H988,"")</f>
        <v/>
      </c>
      <c r="D988" s="7">
        <f>IF($A988="","",IF($F988=0,"Biçim hatalı",IF(FIND(MID($B988,11,1),"0123456789")-1=$H988,"Geçerli","Kontrol hanesi hatalı (doğrusu: "&amp;$H988&amp;")")))</f>
        <v/>
      </c>
      <c r="F988">
        <f>IF($A988="","",IF(AND(LEN($B988)=11,SUMPRODUCT(--ISNUMBER(FIND(MID($B988,{1,2,3,4,5,6,7,8,9,10,11},1),"0123456789")))=11),1,0))</f>
        <v/>
      </c>
      <c r="G988">
        <f>IF($F988=1,VALUE(MID($B988,4,7)),"")</f>
        <v/>
      </c>
      <c r="H988">
        <f>IF($F988=1,MOD($G988,7),"")</f>
        <v/>
      </c>
    </row>
    <row r="989">
      <c r="A989" s="6" t="n"/>
      <c r="B989" s="7">
        <f>IF($A989="","",SUBSTITUTE(SUBSTITUTE(SUBSTITUTE(SUBSTITUTE($A989," ",""),"-",""),".",""),"/",""))</f>
        <v/>
      </c>
      <c r="C989" s="8">
        <f>IF($F989=1,$H989,"")</f>
        <v/>
      </c>
      <c r="D989" s="7">
        <f>IF($A989="","",IF($F989=0,"Biçim hatalı",IF(FIND(MID($B989,11,1),"0123456789")-1=$H989,"Geçerli","Kontrol hanesi hatalı (doğrusu: "&amp;$H989&amp;")")))</f>
        <v/>
      </c>
      <c r="F989">
        <f>IF($A989="","",IF(AND(LEN($B989)=11,SUMPRODUCT(--ISNUMBER(FIND(MID($B989,{1,2,3,4,5,6,7,8,9,10,11},1),"0123456789")))=11),1,0))</f>
        <v/>
      </c>
      <c r="G989">
        <f>IF($F989=1,VALUE(MID($B989,4,7)),"")</f>
        <v/>
      </c>
      <c r="H989">
        <f>IF($F989=1,MOD($G989,7),"")</f>
        <v/>
      </c>
    </row>
    <row r="990">
      <c r="A990" s="6" t="n"/>
      <c r="B990" s="7">
        <f>IF($A990="","",SUBSTITUTE(SUBSTITUTE(SUBSTITUTE(SUBSTITUTE($A990," ",""),"-",""),".",""),"/",""))</f>
        <v/>
      </c>
      <c r="C990" s="8">
        <f>IF($F990=1,$H990,"")</f>
        <v/>
      </c>
      <c r="D990" s="7">
        <f>IF($A990="","",IF($F990=0,"Biçim hatalı",IF(FIND(MID($B990,11,1),"0123456789")-1=$H990,"Geçerli","Kontrol hanesi hatalı (doğrusu: "&amp;$H990&amp;")")))</f>
        <v/>
      </c>
      <c r="F990">
        <f>IF($A990="","",IF(AND(LEN($B990)=11,SUMPRODUCT(--ISNUMBER(FIND(MID($B990,{1,2,3,4,5,6,7,8,9,10,11},1),"0123456789")))=11),1,0))</f>
        <v/>
      </c>
      <c r="G990">
        <f>IF($F990=1,VALUE(MID($B990,4,7)),"")</f>
        <v/>
      </c>
      <c r="H990">
        <f>IF($F990=1,MOD($G990,7),"")</f>
        <v/>
      </c>
    </row>
    <row r="991">
      <c r="A991" s="6" t="n"/>
      <c r="B991" s="7">
        <f>IF($A991="","",SUBSTITUTE(SUBSTITUTE(SUBSTITUTE(SUBSTITUTE($A991," ",""),"-",""),".",""),"/",""))</f>
        <v/>
      </c>
      <c r="C991" s="8">
        <f>IF($F991=1,$H991,"")</f>
        <v/>
      </c>
      <c r="D991" s="7">
        <f>IF($A991="","",IF($F991=0,"Biçim hatalı",IF(FIND(MID($B991,11,1),"0123456789")-1=$H991,"Geçerli","Kontrol hanesi hatalı (doğrusu: "&amp;$H991&amp;")")))</f>
        <v/>
      </c>
      <c r="F991">
        <f>IF($A991="","",IF(AND(LEN($B991)=11,SUMPRODUCT(--ISNUMBER(FIND(MID($B991,{1,2,3,4,5,6,7,8,9,10,11},1),"0123456789")))=11),1,0))</f>
        <v/>
      </c>
      <c r="G991">
        <f>IF($F991=1,VALUE(MID($B991,4,7)),"")</f>
        <v/>
      </c>
      <c r="H991">
        <f>IF($F991=1,MOD($G991,7),"")</f>
        <v/>
      </c>
    </row>
    <row r="992">
      <c r="A992" s="6" t="n"/>
      <c r="B992" s="7">
        <f>IF($A992="","",SUBSTITUTE(SUBSTITUTE(SUBSTITUTE(SUBSTITUTE($A992," ",""),"-",""),".",""),"/",""))</f>
        <v/>
      </c>
      <c r="C992" s="8">
        <f>IF($F992=1,$H992,"")</f>
        <v/>
      </c>
      <c r="D992" s="7">
        <f>IF($A992="","",IF($F992=0,"Biçim hatalı",IF(FIND(MID($B992,11,1),"0123456789")-1=$H992,"Geçerli","Kontrol hanesi hatalı (doğrusu: "&amp;$H992&amp;")")))</f>
        <v/>
      </c>
      <c r="F992">
        <f>IF($A992="","",IF(AND(LEN($B992)=11,SUMPRODUCT(--ISNUMBER(FIND(MID($B992,{1,2,3,4,5,6,7,8,9,10,11},1),"0123456789")))=11),1,0))</f>
        <v/>
      </c>
      <c r="G992">
        <f>IF($F992=1,VALUE(MID($B992,4,7)),"")</f>
        <v/>
      </c>
      <c r="H992">
        <f>IF($F992=1,MOD($G992,7),"")</f>
        <v/>
      </c>
    </row>
    <row r="993">
      <c r="A993" s="6" t="n"/>
      <c r="B993" s="7">
        <f>IF($A993="","",SUBSTITUTE(SUBSTITUTE(SUBSTITUTE(SUBSTITUTE($A993," ",""),"-",""),".",""),"/",""))</f>
        <v/>
      </c>
      <c r="C993" s="8">
        <f>IF($F993=1,$H993,"")</f>
        <v/>
      </c>
      <c r="D993" s="7">
        <f>IF($A993="","",IF($F993=0,"Biçim hatalı",IF(FIND(MID($B993,11,1),"0123456789")-1=$H993,"Geçerli","Kontrol hanesi hatalı (doğrusu: "&amp;$H993&amp;")")))</f>
        <v/>
      </c>
      <c r="F993">
        <f>IF($A993="","",IF(AND(LEN($B993)=11,SUMPRODUCT(--ISNUMBER(FIND(MID($B993,{1,2,3,4,5,6,7,8,9,10,11},1),"0123456789")))=11),1,0))</f>
        <v/>
      </c>
      <c r="G993">
        <f>IF($F993=1,VALUE(MID($B993,4,7)),"")</f>
        <v/>
      </c>
      <c r="H993">
        <f>IF($F993=1,MOD($G993,7),"")</f>
        <v/>
      </c>
    </row>
    <row r="994">
      <c r="A994" s="6" t="n"/>
      <c r="B994" s="7">
        <f>IF($A994="","",SUBSTITUTE(SUBSTITUTE(SUBSTITUTE(SUBSTITUTE($A994," ",""),"-",""),".",""),"/",""))</f>
        <v/>
      </c>
      <c r="C994" s="8">
        <f>IF($F994=1,$H994,"")</f>
        <v/>
      </c>
      <c r="D994" s="7">
        <f>IF($A994="","",IF($F994=0,"Biçim hatalı",IF(FIND(MID($B994,11,1),"0123456789")-1=$H994,"Geçerli","Kontrol hanesi hatalı (doğrusu: "&amp;$H994&amp;")")))</f>
        <v/>
      </c>
      <c r="F994">
        <f>IF($A994="","",IF(AND(LEN($B994)=11,SUMPRODUCT(--ISNUMBER(FIND(MID($B994,{1,2,3,4,5,6,7,8,9,10,11},1),"0123456789")))=11),1,0))</f>
        <v/>
      </c>
      <c r="G994">
        <f>IF($F994=1,VALUE(MID($B994,4,7)),"")</f>
        <v/>
      </c>
      <c r="H994">
        <f>IF($F994=1,MOD($G994,7),"")</f>
        <v/>
      </c>
    </row>
    <row r="995">
      <c r="A995" s="6" t="n"/>
      <c r="B995" s="7">
        <f>IF($A995="","",SUBSTITUTE(SUBSTITUTE(SUBSTITUTE(SUBSTITUTE($A995," ",""),"-",""),".",""),"/",""))</f>
        <v/>
      </c>
      <c r="C995" s="8">
        <f>IF($F995=1,$H995,"")</f>
        <v/>
      </c>
      <c r="D995" s="7">
        <f>IF($A995="","",IF($F995=0,"Biçim hatalı",IF(FIND(MID($B995,11,1),"0123456789")-1=$H995,"Geçerli","Kontrol hanesi hatalı (doğrusu: "&amp;$H995&amp;")")))</f>
        <v/>
      </c>
      <c r="F995">
        <f>IF($A995="","",IF(AND(LEN($B995)=11,SUMPRODUCT(--ISNUMBER(FIND(MID($B995,{1,2,3,4,5,6,7,8,9,10,11},1),"0123456789")))=11),1,0))</f>
        <v/>
      </c>
      <c r="G995">
        <f>IF($F995=1,VALUE(MID($B995,4,7)),"")</f>
        <v/>
      </c>
      <c r="H995">
        <f>IF($F995=1,MOD($G995,7),"")</f>
        <v/>
      </c>
    </row>
    <row r="996">
      <c r="A996" s="6" t="n"/>
      <c r="B996" s="7">
        <f>IF($A996="","",SUBSTITUTE(SUBSTITUTE(SUBSTITUTE(SUBSTITUTE($A996," ",""),"-",""),".",""),"/",""))</f>
        <v/>
      </c>
      <c r="C996" s="8">
        <f>IF($F996=1,$H996,"")</f>
        <v/>
      </c>
      <c r="D996" s="7">
        <f>IF($A996="","",IF($F996=0,"Biçim hatalı",IF(FIND(MID($B996,11,1),"0123456789")-1=$H996,"Geçerli","Kontrol hanesi hatalı (doğrusu: "&amp;$H996&amp;")")))</f>
        <v/>
      </c>
      <c r="F996">
        <f>IF($A996="","",IF(AND(LEN($B996)=11,SUMPRODUCT(--ISNUMBER(FIND(MID($B996,{1,2,3,4,5,6,7,8,9,10,11},1),"0123456789")))=11),1,0))</f>
        <v/>
      </c>
      <c r="G996">
        <f>IF($F996=1,VALUE(MID($B996,4,7)),"")</f>
        <v/>
      </c>
      <c r="H996">
        <f>IF($F996=1,MOD($G996,7),"")</f>
        <v/>
      </c>
    </row>
    <row r="997">
      <c r="A997" s="6" t="n"/>
      <c r="B997" s="7">
        <f>IF($A997="","",SUBSTITUTE(SUBSTITUTE(SUBSTITUTE(SUBSTITUTE($A997," ",""),"-",""),".",""),"/",""))</f>
        <v/>
      </c>
      <c r="C997" s="8">
        <f>IF($F997=1,$H997,"")</f>
        <v/>
      </c>
      <c r="D997" s="7">
        <f>IF($A997="","",IF($F997=0,"Biçim hatalı",IF(FIND(MID($B997,11,1),"0123456789")-1=$H997,"Geçerli","Kontrol hanesi hatalı (doğrusu: "&amp;$H997&amp;")")))</f>
        <v/>
      </c>
      <c r="F997">
        <f>IF($A997="","",IF(AND(LEN($B997)=11,SUMPRODUCT(--ISNUMBER(FIND(MID($B997,{1,2,3,4,5,6,7,8,9,10,11},1),"0123456789")))=11),1,0))</f>
        <v/>
      </c>
      <c r="G997">
        <f>IF($F997=1,VALUE(MID($B997,4,7)),"")</f>
        <v/>
      </c>
      <c r="H997">
        <f>IF($F997=1,MOD($G997,7),"")</f>
        <v/>
      </c>
    </row>
    <row r="998">
      <c r="A998" s="6" t="n"/>
      <c r="B998" s="7">
        <f>IF($A998="","",SUBSTITUTE(SUBSTITUTE(SUBSTITUTE(SUBSTITUTE($A998," ",""),"-",""),".",""),"/",""))</f>
        <v/>
      </c>
      <c r="C998" s="8">
        <f>IF($F998=1,$H998,"")</f>
        <v/>
      </c>
      <c r="D998" s="7">
        <f>IF($A998="","",IF($F998=0,"Biçim hatalı",IF(FIND(MID($B998,11,1),"0123456789")-1=$H998,"Geçerli","Kontrol hanesi hatalı (doğrusu: "&amp;$H998&amp;")")))</f>
        <v/>
      </c>
      <c r="F998">
        <f>IF($A998="","",IF(AND(LEN($B998)=11,SUMPRODUCT(--ISNUMBER(FIND(MID($B998,{1,2,3,4,5,6,7,8,9,10,11},1),"0123456789")))=11),1,0))</f>
        <v/>
      </c>
      <c r="G998">
        <f>IF($F998=1,VALUE(MID($B998,4,7)),"")</f>
        <v/>
      </c>
      <c r="H998">
        <f>IF($F998=1,MOD($G998,7),"")</f>
        <v/>
      </c>
    </row>
    <row r="999">
      <c r="A999" s="6" t="n"/>
      <c r="B999" s="7">
        <f>IF($A999="","",SUBSTITUTE(SUBSTITUTE(SUBSTITUTE(SUBSTITUTE($A999," ",""),"-",""),".",""),"/",""))</f>
        <v/>
      </c>
      <c r="C999" s="8">
        <f>IF($F999=1,$H999,"")</f>
        <v/>
      </c>
      <c r="D999" s="7">
        <f>IF($A999="","",IF($F999=0,"Biçim hatalı",IF(FIND(MID($B999,11,1),"0123456789")-1=$H999,"Geçerli","Kontrol hanesi hatalı (doğrusu: "&amp;$H999&amp;")")))</f>
        <v/>
      </c>
      <c r="F999">
        <f>IF($A999="","",IF(AND(LEN($B999)=11,SUMPRODUCT(--ISNUMBER(FIND(MID($B999,{1,2,3,4,5,6,7,8,9,10,11},1),"0123456789")))=11),1,0))</f>
        <v/>
      </c>
      <c r="G999">
        <f>IF($F999=1,VALUE(MID($B999,4,7)),"")</f>
        <v/>
      </c>
      <c r="H999">
        <f>IF($F999=1,MOD($G999,7),"")</f>
        <v/>
      </c>
    </row>
    <row r="1000">
      <c r="A1000" s="6" t="n"/>
      <c r="B1000" s="7">
        <f>IF($A1000="","",SUBSTITUTE(SUBSTITUTE(SUBSTITUTE(SUBSTITUTE($A1000," ",""),"-",""),".",""),"/",""))</f>
        <v/>
      </c>
      <c r="C1000" s="8">
        <f>IF($F1000=1,$H1000,"")</f>
        <v/>
      </c>
      <c r="D1000" s="7">
        <f>IF($A1000="","",IF($F1000=0,"Biçim hatalı",IF(FIND(MID($B1000,11,1),"0123456789")-1=$H1000,"Geçerli","Kontrol hanesi hatalı (doğrusu: "&amp;$H1000&amp;")")))</f>
        <v/>
      </c>
      <c r="F1000">
        <f>IF($A1000="","",IF(AND(LEN($B1000)=11,SUMPRODUCT(--ISNUMBER(FIND(MID($B1000,{1,2,3,4,5,6,7,8,9,10,11},1),"0123456789")))=11),1,0))</f>
        <v/>
      </c>
      <c r="G1000">
        <f>IF($F1000=1,VALUE(MID($B1000,4,7)),"")</f>
        <v/>
      </c>
      <c r="H1000">
        <f>IF($F1000=1,MOD($G1000,7),"")</f>
        <v/>
      </c>
    </row>
    <row r="1001">
      <c r="A1001" s="6" t="n"/>
      <c r="B1001" s="7">
        <f>IF($A1001="","",SUBSTITUTE(SUBSTITUTE(SUBSTITUTE(SUBSTITUTE($A1001," ",""),"-",""),".",""),"/",""))</f>
        <v/>
      </c>
      <c r="C1001" s="8">
        <f>IF($F1001=1,$H1001,"")</f>
        <v/>
      </c>
      <c r="D1001" s="7">
        <f>IF($A1001="","",IF($F1001=0,"Biçim hatalı",IF(FIND(MID($B1001,11,1),"0123456789")-1=$H1001,"Geçerli","Kontrol hanesi hatalı (doğrusu: "&amp;$H1001&amp;")")))</f>
        <v/>
      </c>
      <c r="F1001">
        <f>IF($A1001="","",IF(AND(LEN($B1001)=11,SUMPRODUCT(--ISNUMBER(FIND(MID($B1001,{1,2,3,4,5,6,7,8,9,10,11},1),"0123456789")))=11),1,0))</f>
        <v/>
      </c>
      <c r="G1001">
        <f>IF($F1001=1,VALUE(MID($B1001,4,7)),"")</f>
        <v/>
      </c>
      <c r="H1001">
        <f>IF($F1001=1,MOD($G1001,7),"")</f>
        <v/>
      </c>
    </row>
    <row r="1002">
      <c r="A1002" s="6" t="n"/>
      <c r="B1002" s="7">
        <f>IF($A1002="","",SUBSTITUTE(SUBSTITUTE(SUBSTITUTE(SUBSTITUTE($A1002," ",""),"-",""),".",""),"/",""))</f>
        <v/>
      </c>
      <c r="C1002" s="8">
        <f>IF($F1002=1,$H1002,"")</f>
        <v/>
      </c>
      <c r="D1002" s="7">
        <f>IF($A1002="","",IF($F1002=0,"Biçim hatalı",IF(FIND(MID($B1002,11,1),"0123456789")-1=$H1002,"Geçerli","Kontrol hanesi hatalı (doğrusu: "&amp;$H1002&amp;")")))</f>
        <v/>
      </c>
      <c r="F1002">
        <f>IF($A1002="","",IF(AND(LEN($B1002)=11,SUMPRODUCT(--ISNUMBER(FIND(MID($B1002,{1,2,3,4,5,6,7,8,9,10,11},1),"0123456789")))=11),1,0))</f>
        <v/>
      </c>
      <c r="G1002">
        <f>IF($F1002=1,VALUE(MID($B1002,4,7)),"")</f>
        <v/>
      </c>
      <c r="H1002">
        <f>IF($F1002=1,MOD($G1002,7),"")</f>
        <v/>
      </c>
    </row>
    <row r="1003">
      <c r="A1003" s="6" t="n"/>
      <c r="B1003" s="7">
        <f>IF($A1003="","",SUBSTITUTE(SUBSTITUTE(SUBSTITUTE(SUBSTITUTE($A1003," ",""),"-",""),".",""),"/",""))</f>
        <v/>
      </c>
      <c r="C1003" s="8">
        <f>IF($F1003=1,$H1003,"")</f>
        <v/>
      </c>
      <c r="D1003" s="7">
        <f>IF($A1003="","",IF($F1003=0,"Biçim hatalı",IF(FIND(MID($B1003,11,1),"0123456789")-1=$H1003,"Geçerli","Kontrol hanesi hatalı (doğrusu: "&amp;$H1003&amp;")")))</f>
        <v/>
      </c>
      <c r="F1003">
        <f>IF($A1003="","",IF(AND(LEN($B1003)=11,SUMPRODUCT(--ISNUMBER(FIND(MID($B1003,{1,2,3,4,5,6,7,8,9,10,11},1),"0123456789")))=11),1,0))</f>
        <v/>
      </c>
      <c r="G1003">
        <f>IF($F1003=1,VALUE(MID($B1003,4,7)),"")</f>
        <v/>
      </c>
      <c r="H1003">
        <f>IF($F1003=1,MOD($G1003,7),"")</f>
        <v/>
      </c>
    </row>
    <row r="1004">
      <c r="A1004" s="6" t="n"/>
      <c r="B1004" s="7">
        <f>IF($A1004="","",SUBSTITUTE(SUBSTITUTE(SUBSTITUTE(SUBSTITUTE($A1004," ",""),"-",""),".",""),"/",""))</f>
        <v/>
      </c>
      <c r="C1004" s="8">
        <f>IF($F1004=1,$H1004,"")</f>
        <v/>
      </c>
      <c r="D1004" s="7">
        <f>IF($A1004="","",IF($F1004=0,"Biçim hatalı",IF(FIND(MID($B1004,11,1),"0123456789")-1=$H1004,"Geçerli","Kontrol hanesi hatalı (doğrusu: "&amp;$H1004&amp;")")))</f>
        <v/>
      </c>
      <c r="F1004">
        <f>IF($A1004="","",IF(AND(LEN($B1004)=11,SUMPRODUCT(--ISNUMBER(FIND(MID($B1004,{1,2,3,4,5,6,7,8,9,10,11},1),"0123456789")))=11),1,0))</f>
        <v/>
      </c>
      <c r="G1004">
        <f>IF($F1004=1,VALUE(MID($B1004,4,7)),"")</f>
        <v/>
      </c>
      <c r="H1004">
        <f>IF($F1004=1,MOD($G1004,7),"")</f>
        <v/>
      </c>
    </row>
  </sheetData>
  <mergeCells count="2">
    <mergeCell ref="A3:D3"/>
    <mergeCell ref="A2:D2"/>
  </mergeCells>
  <conditionalFormatting sqref="A5:D1004">
    <cfRule type="expression" priority="1" dxfId="0" stopIfTrue="0">
      <formula>$D5="Geçerli"</formula>
    </cfRule>
    <cfRule type="expression" priority="2" dxfId="1" stopIfTrue="0">
      <formula>AND($D5&lt;&gt;"",$D5&lt;&gt;"Geçerli")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Konteyner ve AWB numarası kontrolü</t>
        </is>
      </c>
    </row>
    <row r="2">
      <c r="A2" s="2" t="inlineStr"/>
    </row>
    <row r="3">
      <c r="A3" s="10" t="inlineStr">
        <is>
          <t>Ne yapar</t>
        </is>
      </c>
    </row>
    <row r="4" ht="32" customHeight="1">
      <c r="A4" s="2" t="inlineStr">
        <is>
          <t>Konteyner numaralarının (ISO 6346) ve hava konşimento numaralarının (AWB) kontrol hanesini formüllerle denetler. Numaraları sarı hücrelere yapıştırırsınız, sonuç yanındaki sütunlarda görünür.</t>
        </is>
      </c>
    </row>
    <row r="5">
      <c r="A5" s="2" t="inlineStr"/>
    </row>
    <row r="6">
      <c r="A6" s="10" t="inlineStr">
        <is>
          <t>Sınırları</t>
        </is>
      </c>
    </row>
    <row r="7" ht="32" customHeight="1">
      <c r="A7" s="2" t="inlineStr">
        <is>
          <t>Geçerli bir kontrol hanesi yalnızca numaranın biçimce doğru olduğunu gösterir. Konteynerin var olduğunu, o sahibe ait olduğunu ya da AWB'nin gerçekten düzenlendiğini göstermez.</t>
        </is>
      </c>
    </row>
    <row r="8">
      <c r="A8" s="2" t="inlineStr">
        <is>
          <t>Her sayfa en çok 1000 numara denetler. Daha fazlası için formülleri aşağı doğru kopyalayın.</t>
        </is>
      </c>
    </row>
    <row r="9">
      <c r="A9" s="2" t="inlineStr">
        <is>
          <t>Boşluk, tire, nokta ve eğik çizgi silinir. Başka bir karakter varsa numara biçim hatalı sayılır.</t>
        </is>
      </c>
    </row>
    <row r="10">
      <c r="A10" s="2" t="inlineStr">
        <is>
          <t>Havayolu önekinin gerçek bir havayoluna ait olup olmadığı denetlenmez.</t>
        </is>
      </c>
    </row>
    <row r="11" ht="32" customHeight="1">
      <c r="A11" s="2" t="inlineStr">
        <is>
          <t>Dosya makro içermez. İndirdiğiniz dosya Korumalı Görünüm'de açılırsa "Düzenlemeyi Etkinleştir" düğmesine tıklayın.</t>
        </is>
      </c>
    </row>
    <row r="12">
      <c r="A12" s="2" t="inlineStr">
        <is>
          <t>Yardımcı hesaplar gizli sütunlardadır. Görmek için sütun başlıklarının üstündeki + işaretine tıklayın.</t>
        </is>
      </c>
    </row>
    <row r="13">
      <c r="A13" s="2" t="inlineStr"/>
    </row>
    <row r="14">
      <c r="A14" s="2" t="inlineStr">
        <is>
          <t>Sürüm tarihi: 2026-10-19</t>
        </is>
      </c>
    </row>
    <row r="15">
      <c r="A15" s="2" t="inlineStr">
        <is>
          <t>MIT lisansı</t>
        </is>
      </c>
    </row>
    <row r="16">
      <c r="A16" s="11" t="inlineStr">
        <is>
          <t>LogisticsIQ hazırladı: https://logisticsiq.org</t>
        </is>
      </c>
    </row>
  </sheetData>
  <hyperlinks>
    <hyperlink xmlns:r="http://schemas.openxmlformats.org/officeDocument/2006/relationships" ref="A1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LogisticsIQ</dc:creator>
  <dc:title>Konteyner ve AWB numarası kontrolü</dc:title>
  <dcterms:created xsi:type="dcterms:W3CDTF">2026-10-19T00:00:00Z</dcterms:created>
  <dcterms:modified xsi:type="dcterms:W3CDTF">2026-10-19T12:08:48Z</dcterms:modified>
</cp:coreProperties>
</file>