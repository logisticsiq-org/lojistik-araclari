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sapla" sheetId="1" state="visible" r:id="rId1"/>
    <sheet name="Tatiller" sheetId="2" state="visible" r:id="rId2"/>
    <sheet name="Hakkında" sheetId="3" state="visible" r:id="rId3"/>
  </sheets>
  <definedNames>
    <definedName name="TamGunTatiller">Tatiller!$G$2:$G$300</definedName>
    <definedName name="YarimGunTatiller">Tatiller!$H$2:$H$300</definedName>
    <definedName name="KapsamBas">Tatiller!$L$2</definedName>
    <definedName name="KapsamBit">Tatiller!$L$3</definedName>
    <definedName name="KapsamMetni">Tatiller!$L$4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dd.mm.yyyy;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sz val="12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165" fontId="0" fillId="2" borderId="0" pivotButton="0" quotePrefix="0" xfId="0"/>
    <xf numFmtId="165" fontId="0" fillId="0" borderId="0" pivotButton="0" quotePrefix="0" xfId="0"/>
    <xf numFmtId="1" fontId="0" fillId="2" borderId="0" pivotButton="0" quotePrefix="0" xfId="0"/>
    <xf numFmtId="165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4" fillId="0" borderId="0" pivotButton="0" quotePrefix="0" xfId="0"/>
    <xf numFmtId="165" fontId="0" fillId="0" borderId="0" applyAlignment="1" pivotButton="0" quotePrefix="0" xfId="0">
      <alignment horizontal="left"/>
    </xf>
    <xf numFmtId="0" fontId="4" fillId="3" borderId="0" applyAlignment="1" pivotButton="0" quotePrefix="0" xfId="0">
      <alignment vertical="top" wrapText="1"/>
    </xf>
    <xf numFmtId="0" fontId="4" fillId="3" borderId="0" pivotButton="0" quotePrefix="0" xfId="0"/>
    <xf numFmtId="166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logisticsiq.or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78" customWidth="1" min="3" max="3"/>
    <col width="3" customWidth="1" min="4" max="4"/>
    <col width="24" customWidth="1" min="5" max="5"/>
    <col width="12" customWidth="1" min="6" max="6"/>
    <col width="26" customWidth="1" min="7" max="7"/>
  </cols>
  <sheetData>
    <row r="1">
      <c r="A1" s="1" t="inlineStr">
        <is>
          <t>İş günü hesaplayıcı (Türkiye)</t>
        </is>
      </c>
    </row>
    <row r="2">
      <c r="A2" s="2" t="inlineStr">
        <is>
          <t>Sarı hücrelere yazın. Kalın yazılı hücreler sonuçtur. Ayrıntılar için Hakkında sayfasına bakın.</t>
        </is>
      </c>
    </row>
    <row r="3">
      <c r="E3" s="2" t="inlineStr">
        <is>
          <t>Yardımcı hücreler (değiştirmeyin)</t>
        </is>
      </c>
    </row>
    <row r="4">
      <c r="A4" t="inlineStr">
        <is>
          <t>Hafta sonu</t>
        </is>
      </c>
      <c r="B4" s="3" t="inlineStr">
        <is>
          <t>Cumartesi ve Pazar tatil</t>
        </is>
      </c>
      <c r="C4" s="2" t="inlineStr">
        <is>
          <t>Cumartesi günü çalışılıyorsa Yalnız Pazar tatil seçeneğini seçin.</t>
        </is>
      </c>
      <c r="E4" t="inlineStr">
        <is>
          <t>Hafta sonu kodu</t>
        </is>
      </c>
      <c r="F4">
        <f>IF(B4="Yalnız Pazar tatil",11,1)</f>
        <v/>
      </c>
    </row>
    <row r="5">
      <c r="A5" t="inlineStr">
        <is>
          <t>Tatil listesinin kapsamı</t>
        </is>
      </c>
      <c r="B5">
        <f>KapsamMetni</f>
        <v/>
      </c>
      <c r="C5" s="2" t="inlineStr">
        <is>
          <t>Yarım gün tatiller (bayram arifeleri, 28 Ekim) iş günü sayılır ve ayrıca gösterilir.</t>
        </is>
      </c>
    </row>
    <row r="7">
      <c r="A7" s="4" t="inlineStr">
        <is>
          <t>1. Başlangıç tarihine iş günü ekleme</t>
        </is>
      </c>
      <c r="B7" s="5" t="n"/>
      <c r="C7" s="5" t="n"/>
    </row>
    <row r="8">
      <c r="A8" t="inlineStr">
        <is>
          <t>Başlangıç tarihi</t>
        </is>
      </c>
      <c r="B8" s="6" t="n">
        <v>46167</v>
      </c>
      <c r="E8" t="inlineStr">
        <is>
          <t>Ham sonuç</t>
        </is>
      </c>
      <c r="F8" s="7">
        <f>IF(AND(ISNUMBER(B8),ISNUMBER(B9)),IFERROR(WORKDAY.INTL(B8,B9,F4,TamGunTatiller),""),"")</f>
        <v/>
      </c>
    </row>
    <row r="9">
      <c r="A9" t="inlineStr">
        <is>
          <t>Eklenecek iş günü sayısı</t>
        </is>
      </c>
      <c r="B9" s="8" t="n">
        <v>3</v>
      </c>
      <c r="C9" s="2" t="inlineStr">
        <is>
          <t>Geriye gitmek için eksi işaretli sayı yazın, örneğin -3. Başlangıç günü sayılmaz.</t>
        </is>
      </c>
    </row>
    <row r="10">
      <c r="A10" t="inlineStr">
        <is>
          <t>Uyarı</t>
        </is>
      </c>
      <c r="B10">
        <f>IF(OR(B8="",B9=""),"Başlangıç tarihini ve eklenecek iş günü sayısını girin.",IF(OR(NOT(ISNUMBER(B8)),NOT(ISNUMBER(B9))),"Başlangıç geçerli bir tarih, iş günü sayısı bir sayı olmalı.",IF(B9&lt;&gt;INT(B9),"İş günü sayısı tam sayı olmalı.",IF(OR(B8&lt;KapsamBas,B8&gt;KapsamBit),"Başlangıç tarihi kapsam dışında ("&amp;KapsamMetni&amp;"). Sonuç gösterilmiyor.",IF(OR(F8="",F8&lt;KapsamBas,F8&gt;KapsamBit),"Sonuç kapsam dışına çıkıyor ("&amp;KapsamMetni&amp;"). Sonuç gösterilmiyor.","Uyarı yok.")))))</f>
        <v/>
      </c>
    </row>
    <row r="11">
      <c r="A11" t="inlineStr">
        <is>
          <t>Sonuç tarihi</t>
        </is>
      </c>
      <c r="B11" s="9">
        <f>IF($B$10="Uyarı yok.",F8,"")</f>
        <v/>
      </c>
    </row>
    <row r="12">
      <c r="A12" t="inlineStr">
        <is>
          <t>Sonuç günü</t>
        </is>
      </c>
      <c r="B12" s="10">
        <f>IF($B$10="Uyarı yok.",CHOOSE(WEEKDAY(F8,2),"Pazartesi","Salı","Çarşamba","Perşembe","Cuma","Cumartesi","Pazar"),"")</f>
        <v/>
      </c>
    </row>
    <row r="13">
      <c r="A13" t="inlineStr">
        <is>
          <t>Aradaki yarım gün tatil sayısı (iş günü sayıldı)</t>
        </is>
      </c>
      <c r="B13" s="11">
        <f>IF($B$10="Uyarı yok.",COUNTIFS(YarimGunTatiller,"&gt;="&amp;MIN(B8,F8),YarimGunTatiller,"&lt;="&amp;MAX(B8,F8)),"")</f>
        <v/>
      </c>
    </row>
    <row r="15">
      <c r="A15" s="4" t="inlineStr">
        <is>
          <t>2. İki tarih arasındaki iş günü</t>
        </is>
      </c>
      <c r="B15" s="5" t="n"/>
      <c r="C15" s="5" t="n"/>
    </row>
    <row r="16">
      <c r="A16" t="inlineStr">
        <is>
          <t>İlk tarih</t>
        </is>
      </c>
      <c r="B16" s="6" t="n">
        <v>46143</v>
      </c>
    </row>
    <row r="17">
      <c r="A17" t="inlineStr">
        <is>
          <t>Son tarih</t>
        </is>
      </c>
      <c r="B17" s="6" t="n">
        <v>46173</v>
      </c>
      <c r="C17" s="2" t="inlineStr">
        <is>
          <t>İki tarih de sayıma dahildir.</t>
        </is>
      </c>
    </row>
    <row r="18">
      <c r="A18" t="inlineStr">
        <is>
          <t>Uyarı</t>
        </is>
      </c>
      <c r="B18">
        <f>IF(OR(B16="",B17=""),"İlk ve son tarihi girin.",IF(OR(NOT(ISNUMBER(B16)),NOT(ISNUMBER(B17))),"İlk ve son tarih geçerli birer tarih olmalı.",IF(OR(B16&lt;KapsamBas,B16&gt;KapsamBit,B17&lt;KapsamBas,B17&gt;KapsamBit),"Tarih kapsam dışında ("&amp;KapsamMetni&amp;"). Sonuç gösterilmiyor.",IF(B17&lt;B16,"Son tarih ilk tarihten önce olamaz. Sonuç gösterilmiyor.","Uyarı yok."))))</f>
        <v/>
      </c>
    </row>
    <row r="19">
      <c r="A19" t="inlineStr">
        <is>
          <t>İş günü sayısı</t>
        </is>
      </c>
      <c r="B19" s="11">
        <f>IF($B$18="Uyarı yok.",NETWORKDAYS.INTL(B16,B17,F4,TamGunTatiller),"")</f>
        <v/>
      </c>
    </row>
    <row r="20">
      <c r="A20" t="inlineStr">
        <is>
          <t>Takvim günü sayısı</t>
        </is>
      </c>
      <c r="B20" s="11">
        <f>IF($B$18="Uyarı yok.",B17-B16+1,"")</f>
        <v/>
      </c>
    </row>
    <row r="21">
      <c r="A21" t="inlineStr">
        <is>
          <t>Tam gün resmî tatil sayısı</t>
        </is>
      </c>
      <c r="B21" s="11">
        <f>IF($B$18="Uyarı yok.",COUNTIFS(TamGunTatiller,"&gt;="&amp;B16,TamGunTatiller,"&lt;="&amp;B17),"")</f>
        <v/>
      </c>
    </row>
    <row r="22">
      <c r="A22" t="inlineStr">
        <is>
          <t>Bunlardan iş günü sayısını düşüren</t>
        </is>
      </c>
      <c r="B22" s="11">
        <f>IF($B$18="Uyarı yok.",NETWORKDAYS.INTL(B16,B17,F4)-NETWORKDAYS.INTL(B16,B17,F4,TamGunTatiller),"")</f>
        <v/>
      </c>
      <c r="C22" s="2" t="inlineStr">
        <is>
          <t>Hafta sonuna denk gelen tatiller zaten iş günü olmadığı için düşürmez.</t>
        </is>
      </c>
    </row>
    <row r="23">
      <c r="A23" t="inlineStr">
        <is>
          <t>Yarım gün tatil sayısı (iş günü sayıldı)</t>
        </is>
      </c>
      <c r="B23" s="11">
        <f>IF($B$18="Uyarı yok.",COUNTIFS(YarimGunTatiller,"&gt;="&amp;B16,YarimGunTatiller,"&lt;="&amp;B17),"")</f>
        <v/>
      </c>
    </row>
    <row r="25">
      <c r="A25" s="4" t="inlineStr">
        <is>
          <t>Aralıktaki resmî tatiller (ikinci bloktaki tarihler)</t>
        </is>
      </c>
      <c r="B25" s="5" t="n"/>
      <c r="C25" s="5" t="n"/>
    </row>
    <row r="26">
      <c r="A26" s="12" t="inlineStr">
        <is>
          <t>Tatil</t>
        </is>
      </c>
      <c r="B26" s="12" t="inlineStr">
        <is>
          <t>Tarih</t>
        </is>
      </c>
      <c r="C26" s="12" t="inlineStr">
        <is>
          <t>Gün ve süre</t>
        </is>
      </c>
      <c r="F26" s="2" t="inlineStr">
        <is>
          <t>Sıra</t>
        </is>
      </c>
      <c r="G26" s="2" t="inlineStr">
        <is>
          <t>Tatiller sayfasındaki satır</t>
        </is>
      </c>
    </row>
    <row r="27">
      <c r="A27">
        <f>IF(G27="","",INDEX(Tatiller!$C$2:$C$300,G27))</f>
        <v/>
      </c>
      <c r="B27" s="13">
        <f>IF(G27="","",INDEX(Tatiller!$A$2:$A$300,G27))</f>
        <v/>
      </c>
      <c r="C27">
        <f>IF(G27="","",INDEX(Tatiller!$B$2:$B$300,G27)&amp;", "&amp;IF(INDEX(Tatiller!$D$2:$D$300,G27)="Yarım gün","yarım gün, iş günü sayılır","tam gün"))</f>
        <v/>
      </c>
      <c r="F27" s="2" t="n">
        <v>1</v>
      </c>
      <c r="G27" s="2">
        <f>IFERROR(MATCH(F27,Tatiller!$I$2:$I$300,0),"")</f>
        <v/>
      </c>
    </row>
    <row r="28">
      <c r="A28">
        <f>IF(G28="","",INDEX(Tatiller!$C$2:$C$300,G28))</f>
        <v/>
      </c>
      <c r="B28" s="13">
        <f>IF(G28="","",INDEX(Tatiller!$A$2:$A$300,G28))</f>
        <v/>
      </c>
      <c r="C28">
        <f>IF(G28="","",INDEX(Tatiller!$B$2:$B$300,G28)&amp;", "&amp;IF(INDEX(Tatiller!$D$2:$D$300,G28)="Yarım gün","yarım gün, iş günü sayılır","tam gün"))</f>
        <v/>
      </c>
      <c r="F28" s="2" t="n">
        <v>2</v>
      </c>
      <c r="G28" s="2">
        <f>IFERROR(MATCH(F28,Tatiller!$I$2:$I$300,0),"")</f>
        <v/>
      </c>
    </row>
    <row r="29">
      <c r="A29">
        <f>IF(G29="","",INDEX(Tatiller!$C$2:$C$300,G29))</f>
        <v/>
      </c>
      <c r="B29" s="13">
        <f>IF(G29="","",INDEX(Tatiller!$A$2:$A$300,G29))</f>
        <v/>
      </c>
      <c r="C29">
        <f>IF(G29="","",INDEX(Tatiller!$B$2:$B$300,G29)&amp;", "&amp;IF(INDEX(Tatiller!$D$2:$D$300,G29)="Yarım gün","yarım gün, iş günü sayılır","tam gün"))</f>
        <v/>
      </c>
      <c r="F29" s="2" t="n">
        <v>3</v>
      </c>
      <c r="G29" s="2">
        <f>IFERROR(MATCH(F29,Tatiller!$I$2:$I$300,0),"")</f>
        <v/>
      </c>
    </row>
    <row r="30">
      <c r="A30">
        <f>IF(G30="","",INDEX(Tatiller!$C$2:$C$300,G30))</f>
        <v/>
      </c>
      <c r="B30" s="13">
        <f>IF(G30="","",INDEX(Tatiller!$A$2:$A$300,G30))</f>
        <v/>
      </c>
      <c r="C30">
        <f>IF(G30="","",INDEX(Tatiller!$B$2:$B$300,G30)&amp;", "&amp;IF(INDEX(Tatiller!$D$2:$D$300,G30)="Yarım gün","yarım gün, iş günü sayılır","tam gün"))</f>
        <v/>
      </c>
      <c r="F30" s="2" t="n">
        <v>4</v>
      </c>
      <c r="G30" s="2">
        <f>IFERROR(MATCH(F30,Tatiller!$I$2:$I$300,0),"")</f>
        <v/>
      </c>
    </row>
    <row r="31">
      <c r="A31">
        <f>IF(G31="","",INDEX(Tatiller!$C$2:$C$300,G31))</f>
        <v/>
      </c>
      <c r="B31" s="13">
        <f>IF(G31="","",INDEX(Tatiller!$A$2:$A$300,G31))</f>
        <v/>
      </c>
      <c r="C31">
        <f>IF(G31="","",INDEX(Tatiller!$B$2:$B$300,G31)&amp;", "&amp;IF(INDEX(Tatiller!$D$2:$D$300,G31)="Yarım gün","yarım gün, iş günü sayılır","tam gün"))</f>
        <v/>
      </c>
      <c r="F31" s="2" t="n">
        <v>5</v>
      </c>
      <c r="G31" s="2">
        <f>IFERROR(MATCH(F31,Tatiller!$I$2:$I$300,0),"")</f>
        <v/>
      </c>
    </row>
    <row r="32">
      <c r="A32">
        <f>IF(G32="","",INDEX(Tatiller!$C$2:$C$300,G32))</f>
        <v/>
      </c>
      <c r="B32" s="13">
        <f>IF(G32="","",INDEX(Tatiller!$A$2:$A$300,G32))</f>
        <v/>
      </c>
      <c r="C32">
        <f>IF(G32="","",INDEX(Tatiller!$B$2:$B$300,G32)&amp;", "&amp;IF(INDEX(Tatiller!$D$2:$D$300,G32)="Yarım gün","yarım gün, iş günü sayılır","tam gün"))</f>
        <v/>
      </c>
      <c r="F32" s="2" t="n">
        <v>6</v>
      </c>
      <c r="G32" s="2">
        <f>IFERROR(MATCH(F32,Tatiller!$I$2:$I$300,0),"")</f>
        <v/>
      </c>
    </row>
    <row r="33">
      <c r="A33">
        <f>IF(G33="","",INDEX(Tatiller!$C$2:$C$300,G33))</f>
        <v/>
      </c>
      <c r="B33" s="13">
        <f>IF(G33="","",INDEX(Tatiller!$A$2:$A$300,G33))</f>
        <v/>
      </c>
      <c r="C33">
        <f>IF(G33="","",INDEX(Tatiller!$B$2:$B$300,G33)&amp;", "&amp;IF(INDEX(Tatiller!$D$2:$D$300,G33)="Yarım gün","yarım gün, iş günü sayılır","tam gün"))</f>
        <v/>
      </c>
      <c r="F33" s="2" t="n">
        <v>7</v>
      </c>
      <c r="G33" s="2">
        <f>IFERROR(MATCH(F33,Tatiller!$I$2:$I$300,0),"")</f>
        <v/>
      </c>
    </row>
    <row r="34">
      <c r="A34">
        <f>IF(G34="","",INDEX(Tatiller!$C$2:$C$300,G34))</f>
        <v/>
      </c>
      <c r="B34" s="13">
        <f>IF(G34="","",INDEX(Tatiller!$A$2:$A$300,G34))</f>
        <v/>
      </c>
      <c r="C34">
        <f>IF(G34="","",INDEX(Tatiller!$B$2:$B$300,G34)&amp;", "&amp;IF(INDEX(Tatiller!$D$2:$D$300,G34)="Yarım gün","yarım gün, iş günü sayılır","tam gün"))</f>
        <v/>
      </c>
      <c r="F34" s="2" t="n">
        <v>8</v>
      </c>
      <c r="G34" s="2">
        <f>IFERROR(MATCH(F34,Tatiller!$I$2:$I$300,0),"")</f>
        <v/>
      </c>
    </row>
    <row r="35">
      <c r="A35">
        <f>IF(G35="","",INDEX(Tatiller!$C$2:$C$300,G35))</f>
        <v/>
      </c>
      <c r="B35" s="13">
        <f>IF(G35="","",INDEX(Tatiller!$A$2:$A$300,G35))</f>
        <v/>
      </c>
      <c r="C35">
        <f>IF(G35="","",INDEX(Tatiller!$B$2:$B$300,G35)&amp;", "&amp;IF(INDEX(Tatiller!$D$2:$D$300,G35)="Yarım gün","yarım gün, iş günü sayılır","tam gün"))</f>
        <v/>
      </c>
      <c r="F35" s="2" t="n">
        <v>9</v>
      </c>
      <c r="G35" s="2">
        <f>IFERROR(MATCH(F35,Tatiller!$I$2:$I$300,0),"")</f>
        <v/>
      </c>
    </row>
    <row r="36">
      <c r="A36">
        <f>IF(G36="","",INDEX(Tatiller!$C$2:$C$300,G36))</f>
        <v/>
      </c>
      <c r="B36" s="13">
        <f>IF(G36="","",INDEX(Tatiller!$A$2:$A$300,G36))</f>
        <v/>
      </c>
      <c r="C36">
        <f>IF(G36="","",INDEX(Tatiller!$B$2:$B$300,G36)&amp;", "&amp;IF(INDEX(Tatiller!$D$2:$D$300,G36)="Yarım gün","yarım gün, iş günü sayılır","tam gün"))</f>
        <v/>
      </c>
      <c r="F36" s="2" t="n">
        <v>10</v>
      </c>
      <c r="G36" s="2">
        <f>IFERROR(MATCH(F36,Tatiller!$I$2:$I$300,0),"")</f>
        <v/>
      </c>
    </row>
    <row r="37">
      <c r="A37">
        <f>IF(G37="","",INDEX(Tatiller!$C$2:$C$300,G37))</f>
        <v/>
      </c>
      <c r="B37" s="13">
        <f>IF(G37="","",INDEX(Tatiller!$A$2:$A$300,G37))</f>
        <v/>
      </c>
      <c r="C37">
        <f>IF(G37="","",INDEX(Tatiller!$B$2:$B$300,G37)&amp;", "&amp;IF(INDEX(Tatiller!$D$2:$D$300,G37)="Yarım gün","yarım gün, iş günü sayılır","tam gün"))</f>
        <v/>
      </c>
      <c r="F37" s="2" t="n">
        <v>11</v>
      </c>
      <c r="G37" s="2">
        <f>IFERROR(MATCH(F37,Tatiller!$I$2:$I$300,0),"")</f>
        <v/>
      </c>
    </row>
    <row r="38">
      <c r="A38">
        <f>IF(G38="","",INDEX(Tatiller!$C$2:$C$300,G38))</f>
        <v/>
      </c>
      <c r="B38" s="13">
        <f>IF(G38="","",INDEX(Tatiller!$A$2:$A$300,G38))</f>
        <v/>
      </c>
      <c r="C38">
        <f>IF(G38="","",INDEX(Tatiller!$B$2:$B$300,G38)&amp;", "&amp;IF(INDEX(Tatiller!$D$2:$D$300,G38)="Yarım gün","yarım gün, iş günü sayılır","tam gün"))</f>
        <v/>
      </c>
      <c r="F38" s="2" t="n">
        <v>12</v>
      </c>
      <c r="G38" s="2">
        <f>IFERROR(MATCH(F38,Tatiller!$I$2:$I$300,0),"")</f>
        <v/>
      </c>
    </row>
    <row r="39">
      <c r="A39" s="2">
        <f>IF(MAX(Tatiller!$I$2:$I$300)&gt;12,"Aralıkta "&amp;MAX(Tatiller!$I$2:$I$300)&amp;" tatil kaydı var. Tamamı için Tatiller sayfasına bakın.","")</f>
        <v/>
      </c>
    </row>
  </sheetData>
  <conditionalFormatting sqref="B10">
    <cfRule type="expression" priority="1" dxfId="0">
      <formula>B10&lt;&gt;"Uyarı yok."</formula>
    </cfRule>
  </conditionalFormatting>
  <conditionalFormatting sqref="B18">
    <cfRule type="expression" priority="2" dxfId="0">
      <formula>B18&lt;&gt;"Uyarı yok."</formula>
    </cfRule>
  </conditionalFormatting>
  <dataValidations count="1">
    <dataValidation sqref="B4" showDropDown="0" showInputMessage="0" showErrorMessage="1" allowBlank="0" errorTitle="Hafta sonu" error="Listeden bir seçenek seçin." type="list">
      <formula1>"Cumartesi ve Pazar tatil,Yalnız Pazar tatil"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12" customWidth="1" min="4" max="4"/>
    <col width="56" customWidth="1" min="5" max="5"/>
    <col width="3" customWidth="1" min="6" max="6"/>
    <col width="22" customWidth="1" min="7" max="7"/>
    <col width="22" customWidth="1" min="8" max="8"/>
    <col width="22" customWidth="1" min="9" max="9"/>
    <col width="3" customWidth="1" min="10" max="10"/>
    <col width="30" customWidth="1" min="11" max="11"/>
    <col width="22" customWidth="1" min="12" max="12"/>
  </cols>
  <sheetData>
    <row r="1" ht="45" customHeight="1">
      <c r="A1" s="14" t="inlineStr">
        <is>
          <t>Tarih</t>
        </is>
      </c>
      <c r="B1" s="14" t="inlineStr">
        <is>
          <t>Gün</t>
        </is>
      </c>
      <c r="C1" s="14" t="inlineStr">
        <is>
          <t>Tatil adı</t>
        </is>
      </c>
      <c r="D1" s="14" t="inlineStr">
        <is>
          <t>Süre</t>
        </is>
      </c>
      <c r="E1" s="14" t="inlineStr">
        <is>
          <t>Kaynak</t>
        </is>
      </c>
      <c r="F1" t="inlineStr"/>
      <c r="G1" s="14" t="inlineStr">
        <is>
          <t>Tam gün tarihleri (formüller kullanır)</t>
        </is>
      </c>
      <c r="H1" s="14" t="inlineStr">
        <is>
          <t>Yarım gün tarihleri (formüller kullanır)</t>
        </is>
      </c>
      <c r="I1" s="14" t="inlineStr">
        <is>
          <t>Aralıktaki sıra (Hesapla sayfası kullanır)</t>
        </is>
      </c>
      <c r="K1" s="15" t="inlineStr">
        <is>
          <t>Kapsam ve yeni yıl ekleme</t>
        </is>
      </c>
      <c r="L1" s="5" t="n"/>
    </row>
    <row r="2">
      <c r="A2" s="6" t="n">
        <v>46023</v>
      </c>
      <c r="B2">
        <f>IF(A2="","",CHOOSE(WEEKDAY(A2,2),"Pazartesi","Salı","Çarşamba","Perşembe","Cuma","Cumartesi","Pazar"))</f>
        <v/>
      </c>
      <c r="C2" s="3" t="inlineStr">
        <is>
          <t>Yılbaşı</t>
        </is>
      </c>
      <c r="D2" s="3" t="inlineStr">
        <is>
          <t>Tam gün</t>
        </is>
      </c>
      <c r="E2" s="3" t="inlineStr">
        <is>
          <t>https://vakithesaplama.diyanet.gov.tr/icerik.php?icerik=158</t>
        </is>
      </c>
      <c r="G2" s="16">
        <f>IF(AND(D2="Tam gün",COUNTIFS($A$2:A2,A2,$D$2:D2,"Tam gün")=1),A2,0)</f>
        <v/>
      </c>
      <c r="H2" s="16">
        <f>IF(AND(D2="Yarım gün",COUNTIFS($A$2:A2,A2,$D$2:D2,"Yarım gün")=1),A2,0)</f>
        <v/>
      </c>
      <c r="I2" s="2">
        <f>IF(AND(ISNUMBER(A2),Hesapla!$B$18="Uyarı yok.",A2&gt;=Hesapla!$B$16,A2&lt;=Hesapla!$B$17),MAX(I$1:I1)+1,"")</f>
        <v/>
      </c>
      <c r="K2" t="inlineStr">
        <is>
          <t>Kapsamın ilk günü</t>
        </is>
      </c>
      <c r="L2" s="6" t="n">
        <v>46023</v>
      </c>
    </row>
    <row r="3">
      <c r="A3" s="6" t="n">
        <v>46100</v>
      </c>
      <c r="B3">
        <f>IF(A3="","",CHOOSE(WEEKDAY(A3,2),"Pazartesi","Salı","Çarşamba","Perşembe","Cuma","Cumartesi","Pazar"))</f>
        <v/>
      </c>
      <c r="C3" s="3" t="inlineStr">
        <is>
          <t>Ramazan Bayramı arifesi</t>
        </is>
      </c>
      <c r="D3" s="3" t="inlineStr">
        <is>
          <t>Yarım gün</t>
        </is>
      </c>
      <c r="E3" s="3" t="inlineStr">
        <is>
          <t>https://vakithesaplama.diyanet.gov.tr/icerik.php?icerik=158</t>
        </is>
      </c>
      <c r="G3" s="16">
        <f>IF(AND(D3="Tam gün",COUNTIFS($A$2:A3,A3,$D$2:D3,"Tam gün")=1),A3,0)</f>
        <v/>
      </c>
      <c r="H3" s="16">
        <f>IF(AND(D3="Yarım gün",COUNTIFS($A$2:A3,A3,$D$2:D3,"Yarım gün")=1),A3,0)</f>
        <v/>
      </c>
      <c r="I3" s="2">
        <f>IF(AND(ISNUMBER(A3),Hesapla!$B$18="Uyarı yok.",A3&gt;=Hesapla!$B$16,A3&lt;=Hesapla!$B$17),MAX(I$1:I2)+1,"")</f>
        <v/>
      </c>
      <c r="K3" t="inlineStr">
        <is>
          <t>Kapsamın son günü</t>
        </is>
      </c>
      <c r="L3" s="6" t="n">
        <v>47118</v>
      </c>
    </row>
    <row r="4">
      <c r="A4" s="6" t="n">
        <v>46101</v>
      </c>
      <c r="B4">
        <f>IF(A4="","",CHOOSE(WEEKDAY(A4,2),"Pazartesi","Salı","Çarşamba","Perşembe","Cuma","Cumartesi","Pazar"))</f>
        <v/>
      </c>
      <c r="C4" s="3" t="inlineStr">
        <is>
          <t>Ramazan Bayramı 1. gün</t>
        </is>
      </c>
      <c r="D4" s="3" t="inlineStr">
        <is>
          <t>Tam gün</t>
        </is>
      </c>
      <c r="E4" s="3" t="inlineStr">
        <is>
          <t>https://vakithesaplama.diyanet.gov.tr/icerik.php?icerik=158</t>
        </is>
      </c>
      <c r="G4" s="16">
        <f>IF(AND(D4="Tam gün",COUNTIFS($A$2:A4,A4,$D$2:D4,"Tam gün")=1),A4,0)</f>
        <v/>
      </c>
      <c r="H4" s="16">
        <f>IF(AND(D4="Yarım gün",COUNTIFS($A$2:A4,A4,$D$2:D4,"Yarım gün")=1),A4,0)</f>
        <v/>
      </c>
      <c r="I4" s="2">
        <f>IF(AND(ISNUMBER(A4),Hesapla!$B$18="Uyarı yok.",A4&gt;=Hesapla!$B$16,A4&lt;=Hesapla!$B$17),MAX(I$1:I3)+1,"")</f>
        <v/>
      </c>
      <c r="K4" t="inlineStr">
        <is>
          <t>Kapsam metni (otomatik)</t>
        </is>
      </c>
      <c r="L4" s="2">
        <f>RIGHT("0"&amp;DAY(L2),2)&amp;"."&amp;RIGHT("0"&amp;MONTH(L2),2)&amp;"."&amp;YEAR(L2)&amp;" ile "&amp;RIGHT("0"&amp;DAY(L3),2)&amp;"."&amp;RIGHT("0"&amp;MONTH(L3),2)&amp;"."&amp;YEAR(L3)</f>
        <v/>
      </c>
    </row>
    <row r="5">
      <c r="A5" s="6" t="n">
        <v>46102</v>
      </c>
      <c r="B5">
        <f>IF(A5="","",CHOOSE(WEEKDAY(A5,2),"Pazartesi","Salı","Çarşamba","Perşembe","Cuma","Cumartesi","Pazar"))</f>
        <v/>
      </c>
      <c r="C5" s="3" t="inlineStr">
        <is>
          <t>Ramazan Bayramı 2. gün</t>
        </is>
      </c>
      <c r="D5" s="3" t="inlineStr">
        <is>
          <t>Tam gün</t>
        </is>
      </c>
      <c r="E5" s="3" t="inlineStr">
        <is>
          <t>https://vakithesaplama.diyanet.gov.tr/icerik.php?icerik=158</t>
        </is>
      </c>
      <c r="G5" s="16">
        <f>IF(AND(D5="Tam gün",COUNTIFS($A$2:A5,A5,$D$2:D5,"Tam gün")=1),A5,0)</f>
        <v/>
      </c>
      <c r="H5" s="16">
        <f>IF(AND(D5="Yarım gün",COUNTIFS($A$2:A5,A5,$D$2:D5,"Yarım gün")=1),A5,0)</f>
        <v/>
      </c>
      <c r="I5" s="2">
        <f>IF(AND(ISNUMBER(A5),Hesapla!$B$18="Uyarı yok.",A5&gt;=Hesapla!$B$16,A5&lt;=Hesapla!$B$17),MAX(I$1:I4)+1,"")</f>
        <v/>
      </c>
    </row>
    <row r="6" ht="18" customHeight="1">
      <c r="A6" s="6" t="n">
        <v>46103</v>
      </c>
      <c r="B6">
        <f>IF(A6="","",CHOOSE(WEEKDAY(A6,2),"Pazartesi","Salı","Çarşamba","Perşembe","Cuma","Cumartesi","Pazar"))</f>
        <v/>
      </c>
      <c r="C6" s="3" t="inlineStr">
        <is>
          <t>Ramazan Bayramı 3. gün</t>
        </is>
      </c>
      <c r="D6" s="3" t="inlineStr">
        <is>
          <t>Tam gün</t>
        </is>
      </c>
      <c r="E6" s="3" t="inlineStr">
        <is>
          <t>https://vakithesaplama.diyanet.gov.tr/icerik.php?icerik=158</t>
        </is>
      </c>
      <c r="G6" s="16">
        <f>IF(AND(D6="Tam gün",COUNTIFS($A$2:A6,A6,$D$2:D6,"Tam gün")=1),A6,0)</f>
        <v/>
      </c>
      <c r="H6" s="16">
        <f>IF(AND(D6="Yarım gün",COUNTIFS($A$2:A6,A6,$D$2:D6,"Yarım gün")=1),A6,0)</f>
        <v/>
      </c>
      <c r="I6" s="2">
        <f>IF(AND(ISNUMBER(A6),Hesapla!$B$18="Uyarı yok.",A6&gt;=Hesapla!$B$16,A6&lt;=Hesapla!$B$17),MAX(I$1:I5)+1,"")</f>
        <v/>
      </c>
      <c r="K6" s="17" t="inlineStr">
        <is>
          <t>Yeni yılın tatilleri Diyanet tarafından yayımlandığında şunları yapın:</t>
        </is>
      </c>
    </row>
    <row r="7" ht="32" customHeight="1">
      <c r="A7" s="6" t="n">
        <v>46135</v>
      </c>
      <c r="B7">
        <f>IF(A7="","",CHOOSE(WEEKDAY(A7,2),"Pazartesi","Salı","Çarşamba","Perşembe","Cuma","Cumartesi","Pazar"))</f>
        <v/>
      </c>
      <c r="C7" s="3" t="inlineStr">
        <is>
          <t>Ulusal Egemenlik ve Çocuk Bayramı</t>
        </is>
      </c>
      <c r="D7" s="3" t="inlineStr">
        <is>
          <t>Tam gün</t>
        </is>
      </c>
      <c r="E7" s="3" t="inlineStr">
        <is>
          <t>https://vakithesaplama.diyanet.gov.tr/icerik.php?icerik=158</t>
        </is>
      </c>
      <c r="G7" s="16">
        <f>IF(AND(D7="Tam gün",COUNTIFS($A$2:A7,A7,$D$2:D7,"Tam gün")=1),A7,0)</f>
        <v/>
      </c>
      <c r="H7" s="16">
        <f>IF(AND(D7="Yarım gün",COUNTIFS($A$2:A7,A7,$D$2:D7,"Yarım gün")=1),A7,0)</f>
        <v/>
      </c>
      <c r="I7" s="2">
        <f>IF(AND(ISNUMBER(A7),Hesapla!$B$18="Uyarı yok.",A7&gt;=Hesapla!$B$16,A7&lt;=Hesapla!$B$17),MAX(I$1:I6)+1,"")</f>
        <v/>
      </c>
      <c r="K7" s="17" t="inlineStr">
        <is>
          <t>1. A, C, D ve E sütunlarında son dolu satırın altına her tatil için bir satır ekleyin. Tarihi A sütununa, adı C sütununa yazın, D sütunundan süreyi seçin.</t>
        </is>
      </c>
    </row>
    <row r="8" ht="32" customHeight="1">
      <c r="A8" s="6" t="n">
        <v>46143</v>
      </c>
      <c r="B8">
        <f>IF(A8="","",CHOOSE(WEEKDAY(A8,2),"Pazartesi","Salı","Çarşamba","Perşembe","Cuma","Cumartesi","Pazar"))</f>
        <v/>
      </c>
      <c r="C8" s="3" t="inlineStr">
        <is>
          <t>Emek ve Dayanışma Günü</t>
        </is>
      </c>
      <c r="D8" s="3" t="inlineStr">
        <is>
          <t>Tam gün</t>
        </is>
      </c>
      <c r="E8" s="3" t="inlineStr">
        <is>
          <t>https://vakithesaplama.diyanet.gov.tr/icerik.php?icerik=158</t>
        </is>
      </c>
      <c r="G8" s="16">
        <f>IF(AND(D8="Tam gün",COUNTIFS($A$2:A8,A8,$D$2:D8,"Tam gün")=1),A8,0)</f>
        <v/>
      </c>
      <c r="H8" s="16">
        <f>IF(AND(D8="Yarım gün",COUNTIFS($A$2:A8,A8,$D$2:D8,"Yarım gün")=1),A8,0)</f>
        <v/>
      </c>
      <c r="I8" s="2">
        <f>IF(AND(ISNUMBER(A8),Hesapla!$B$18="Uyarı yok.",A8&gt;=Hesapla!$B$16,A8&lt;=Hesapla!$B$17),MAX(I$1:I7)+1,"")</f>
        <v/>
      </c>
      <c r="K8" s="17" t="inlineStr">
        <is>
          <t>2. Bayram arifeleri ve 28 Ekim öğleden sonrası gibi yarım gün tatillerde süre olarak Yarım gün seçin.</t>
        </is>
      </c>
    </row>
    <row r="9" ht="32" customHeight="1">
      <c r="A9" s="6" t="n">
        <v>46161</v>
      </c>
      <c r="B9">
        <f>IF(A9="","",CHOOSE(WEEKDAY(A9,2),"Pazartesi","Salı","Çarşamba","Perşembe","Cuma","Cumartesi","Pazar"))</f>
        <v/>
      </c>
      <c r="C9" s="3" t="inlineStr">
        <is>
          <t>Atatürk'ü Anma, Gençlik ve Spor Bayramı</t>
        </is>
      </c>
      <c r="D9" s="3" t="inlineStr">
        <is>
          <t>Tam gün</t>
        </is>
      </c>
      <c r="E9" s="3" t="inlineStr">
        <is>
          <t>https://vakithesaplama.diyanet.gov.tr/icerik.php?icerik=158</t>
        </is>
      </c>
      <c r="G9" s="16">
        <f>IF(AND(D9="Tam gün",COUNTIFS($A$2:A9,A9,$D$2:D9,"Tam gün")=1),A9,0)</f>
        <v/>
      </c>
      <c r="H9" s="16">
        <f>IF(AND(D9="Yarım gün",COUNTIFS($A$2:A9,A9,$D$2:D9,"Yarım gün")=1),A9,0)</f>
        <v/>
      </c>
      <c r="I9" s="2">
        <f>IF(AND(ISNUMBER(A9),Hesapla!$B$18="Uyarı yok.",A9&gt;=Hesapla!$B$16,A9&lt;=Hesapla!$B$17),MAX(I$1:I8)+1,"")</f>
        <v/>
      </c>
      <c r="K9" s="17" t="inlineStr">
        <is>
          <t>3. Aynı güne iki tatil denk gelirse iki satır da yazılabilir. Gün yalnız bir kez sayılır.</t>
        </is>
      </c>
    </row>
    <row r="10" ht="32" customHeight="1">
      <c r="A10" s="6" t="n">
        <v>46168</v>
      </c>
      <c r="B10">
        <f>IF(A10="","",CHOOSE(WEEKDAY(A10,2),"Pazartesi","Salı","Çarşamba","Perşembe","Cuma","Cumartesi","Pazar"))</f>
        <v/>
      </c>
      <c r="C10" s="3" t="inlineStr">
        <is>
          <t>Kurban Bayramı arifesi</t>
        </is>
      </c>
      <c r="D10" s="3" t="inlineStr">
        <is>
          <t>Yarım gün</t>
        </is>
      </c>
      <c r="E10" s="3" t="inlineStr">
        <is>
          <t>https://vakithesaplama.diyanet.gov.tr/icerik.php?icerik=158</t>
        </is>
      </c>
      <c r="G10" s="16">
        <f>IF(AND(D10="Tam gün",COUNTIFS($A$2:A10,A10,$D$2:D10,"Tam gün")=1),A10,0)</f>
        <v/>
      </c>
      <c r="H10" s="16">
        <f>IF(AND(D10="Yarım gün",COUNTIFS($A$2:A10,A10,$D$2:D10,"Yarım gün")=1),A10,0)</f>
        <v/>
      </c>
      <c r="I10" s="2">
        <f>IF(AND(ISNUMBER(A10),Hesapla!$B$18="Uyarı yok.",A10&gt;=Hesapla!$B$16,A10&lt;=Hesapla!$B$17),MAX(I$1:I9)+1,"")</f>
        <v/>
      </c>
      <c r="K10" s="17" t="inlineStr">
        <is>
          <t>4. L3 hücresindeki kapsamın son gününü yeni yılın 31 Aralık tarihine ilerletin.</t>
        </is>
      </c>
    </row>
    <row r="11" ht="32" customHeight="1">
      <c r="A11" s="6" t="n">
        <v>46169</v>
      </c>
      <c r="B11">
        <f>IF(A11="","",CHOOSE(WEEKDAY(A11,2),"Pazartesi","Salı","Çarşamba","Perşembe","Cuma","Cumartesi","Pazar"))</f>
        <v/>
      </c>
      <c r="C11" s="3" t="inlineStr">
        <is>
          <t>Kurban Bayramı 1. gün</t>
        </is>
      </c>
      <c r="D11" s="3" t="inlineStr">
        <is>
          <t>Tam gün</t>
        </is>
      </c>
      <c r="E11" s="3" t="inlineStr">
        <is>
          <t>https://vakithesaplama.diyanet.gov.tr/icerik.php?icerik=158</t>
        </is>
      </c>
      <c r="G11" s="16">
        <f>IF(AND(D11="Tam gün",COUNTIFS($A$2:A11,A11,$D$2:D11,"Tam gün")=1),A11,0)</f>
        <v/>
      </c>
      <c r="H11" s="16">
        <f>IF(AND(D11="Yarım gün",COUNTIFS($A$2:A11,A11,$D$2:D11,"Yarım gün")=1),A11,0)</f>
        <v/>
      </c>
      <c r="I11" s="2">
        <f>IF(AND(ISNUMBER(A11),Hesapla!$B$18="Uyarı yok.",A11&gt;=Hesapla!$B$16,A11&lt;=Hesapla!$B$17),MAX(I$1:I10)+1,"")</f>
        <v/>
      </c>
      <c r="K11" s="17" t="inlineStr">
        <is>
          <t>G, H ve I sütunlarındaki formüllere dokunmayın. Satırlar 300. satıra kadar okunur.</t>
        </is>
      </c>
    </row>
    <row r="12" ht="32" customHeight="1">
      <c r="A12" s="6" t="n">
        <v>46170</v>
      </c>
      <c r="B12">
        <f>IF(A12="","",CHOOSE(WEEKDAY(A12,2),"Pazartesi","Salı","Çarşamba","Perşembe","Cuma","Cumartesi","Pazar"))</f>
        <v/>
      </c>
      <c r="C12" s="3" t="inlineStr">
        <is>
          <t>Kurban Bayramı 2. gün</t>
        </is>
      </c>
      <c r="D12" s="3" t="inlineStr">
        <is>
          <t>Tam gün</t>
        </is>
      </c>
      <c r="E12" s="3" t="inlineStr">
        <is>
          <t>https://vakithesaplama.diyanet.gov.tr/icerik.php?icerik=158</t>
        </is>
      </c>
      <c r="G12" s="16">
        <f>IF(AND(D12="Tam gün",COUNTIFS($A$2:A12,A12,$D$2:D12,"Tam gün")=1),A12,0)</f>
        <v/>
      </c>
      <c r="H12" s="16">
        <f>IF(AND(D12="Yarım gün",COUNTIFS($A$2:A12,A12,$D$2:D12,"Yarım gün")=1),A12,0)</f>
        <v/>
      </c>
      <c r="I12" s="2">
        <f>IF(AND(ISNUMBER(A12),Hesapla!$B$18="Uyarı yok.",A12&gt;=Hesapla!$B$16,A12&lt;=Hesapla!$B$17),MAX(I$1:I11)+1,"")</f>
        <v/>
      </c>
      <c r="K12" s="17" t="inlineStr">
        <is>
          <t>Kapsamın dışındaki tarihlerde Hesapla sayfası sonuç göstermez ve uyarı verir.</t>
        </is>
      </c>
    </row>
    <row r="13">
      <c r="A13" s="6" t="n">
        <v>46171</v>
      </c>
      <c r="B13">
        <f>IF(A13="","",CHOOSE(WEEKDAY(A13,2),"Pazartesi","Salı","Çarşamba","Perşembe","Cuma","Cumartesi","Pazar"))</f>
        <v/>
      </c>
      <c r="C13" s="3" t="inlineStr">
        <is>
          <t>Kurban Bayramı 3. gün</t>
        </is>
      </c>
      <c r="D13" s="3" t="inlineStr">
        <is>
          <t>Tam gün</t>
        </is>
      </c>
      <c r="E13" s="3" t="inlineStr">
        <is>
          <t>https://vakithesaplama.diyanet.gov.tr/icerik.php?icerik=158</t>
        </is>
      </c>
      <c r="G13" s="16">
        <f>IF(AND(D13="Tam gün",COUNTIFS($A$2:A13,A13,$D$2:D13,"Tam gün")=1),A13,0)</f>
        <v/>
      </c>
      <c r="H13" s="16">
        <f>IF(AND(D13="Yarım gün",COUNTIFS($A$2:A13,A13,$D$2:D13,"Yarım gün")=1),A13,0)</f>
        <v/>
      </c>
      <c r="I13" s="2">
        <f>IF(AND(ISNUMBER(A13),Hesapla!$B$18="Uyarı yok.",A13&gt;=Hesapla!$B$16,A13&lt;=Hesapla!$B$17),MAX(I$1:I12)+1,"")</f>
        <v/>
      </c>
    </row>
    <row r="14">
      <c r="A14" s="6" t="n">
        <v>46172</v>
      </c>
      <c r="B14">
        <f>IF(A14="","",CHOOSE(WEEKDAY(A14,2),"Pazartesi","Salı","Çarşamba","Perşembe","Cuma","Cumartesi","Pazar"))</f>
        <v/>
      </c>
      <c r="C14" s="3" t="inlineStr">
        <is>
          <t>Kurban Bayramı 4. gün</t>
        </is>
      </c>
      <c r="D14" s="3" t="inlineStr">
        <is>
          <t>Tam gün</t>
        </is>
      </c>
      <c r="E14" s="3" t="inlineStr">
        <is>
          <t>https://vakithesaplama.diyanet.gov.tr/icerik.php?icerik=158</t>
        </is>
      </c>
      <c r="G14" s="16">
        <f>IF(AND(D14="Tam gün",COUNTIFS($A$2:A14,A14,$D$2:D14,"Tam gün")=1),A14,0)</f>
        <v/>
      </c>
      <c r="H14" s="16">
        <f>IF(AND(D14="Yarım gün",COUNTIFS($A$2:A14,A14,$D$2:D14,"Yarım gün")=1),A14,0)</f>
        <v/>
      </c>
      <c r="I14" s="2">
        <f>IF(AND(ISNUMBER(A14),Hesapla!$B$18="Uyarı yok.",A14&gt;=Hesapla!$B$16,A14&lt;=Hesapla!$B$17),MAX(I$1:I13)+1,"")</f>
        <v/>
      </c>
    </row>
    <row r="15">
      <c r="A15" s="6" t="n">
        <v>46218</v>
      </c>
      <c r="B15">
        <f>IF(A15="","",CHOOSE(WEEKDAY(A15,2),"Pazartesi","Salı","Çarşamba","Perşembe","Cuma","Cumartesi","Pazar"))</f>
        <v/>
      </c>
      <c r="C15" s="3" t="inlineStr">
        <is>
          <t>Demokrasi ve Millî Birlik Günü</t>
        </is>
      </c>
      <c r="D15" s="3" t="inlineStr">
        <is>
          <t>Tam gün</t>
        </is>
      </c>
      <c r="E15" s="3" t="inlineStr">
        <is>
          <t>https://vakithesaplama.diyanet.gov.tr/icerik.php?icerik=158</t>
        </is>
      </c>
      <c r="G15" s="16">
        <f>IF(AND(D15="Tam gün",COUNTIFS($A$2:A15,A15,$D$2:D15,"Tam gün")=1),A15,0)</f>
        <v/>
      </c>
      <c r="H15" s="16">
        <f>IF(AND(D15="Yarım gün",COUNTIFS($A$2:A15,A15,$D$2:D15,"Yarım gün")=1),A15,0)</f>
        <v/>
      </c>
      <c r="I15" s="2">
        <f>IF(AND(ISNUMBER(A15),Hesapla!$B$18="Uyarı yok.",A15&gt;=Hesapla!$B$16,A15&lt;=Hesapla!$B$17),MAX(I$1:I14)+1,"")</f>
        <v/>
      </c>
    </row>
    <row r="16">
      <c r="A16" s="6" t="n">
        <v>46264</v>
      </c>
      <c r="B16">
        <f>IF(A16="","",CHOOSE(WEEKDAY(A16,2),"Pazartesi","Salı","Çarşamba","Perşembe","Cuma","Cumartesi","Pazar"))</f>
        <v/>
      </c>
      <c r="C16" s="3" t="inlineStr">
        <is>
          <t>Zafer Bayramı</t>
        </is>
      </c>
      <c r="D16" s="3" t="inlineStr">
        <is>
          <t>Tam gün</t>
        </is>
      </c>
      <c r="E16" s="3" t="inlineStr">
        <is>
          <t>https://vakithesaplama.diyanet.gov.tr/icerik.php?icerik=158</t>
        </is>
      </c>
      <c r="G16" s="16">
        <f>IF(AND(D16="Tam gün",COUNTIFS($A$2:A16,A16,$D$2:D16,"Tam gün")=1),A16,0)</f>
        <v/>
      </c>
      <c r="H16" s="16">
        <f>IF(AND(D16="Yarım gün",COUNTIFS($A$2:A16,A16,$D$2:D16,"Yarım gün")=1),A16,0)</f>
        <v/>
      </c>
      <c r="I16" s="2">
        <f>IF(AND(ISNUMBER(A16),Hesapla!$B$18="Uyarı yok.",A16&gt;=Hesapla!$B$16,A16&lt;=Hesapla!$B$17),MAX(I$1:I15)+1,"")</f>
        <v/>
      </c>
    </row>
    <row r="17">
      <c r="A17" s="6" t="n">
        <v>46323</v>
      </c>
      <c r="B17">
        <f>IF(A17="","",CHOOSE(WEEKDAY(A17,2),"Pazartesi","Salı","Çarşamba","Perşembe","Cuma","Cumartesi","Pazar"))</f>
        <v/>
      </c>
      <c r="C17" s="3" t="inlineStr">
        <is>
          <t>Cumhuriyet Bayramı arifesi</t>
        </is>
      </c>
      <c r="D17" s="3" t="inlineStr">
        <is>
          <t>Yarım gün</t>
        </is>
      </c>
      <c r="E17" s="3" t="inlineStr">
        <is>
          <t>https://vakithesaplama.diyanet.gov.tr/icerik.php?icerik=158</t>
        </is>
      </c>
      <c r="G17" s="16">
        <f>IF(AND(D17="Tam gün",COUNTIFS($A$2:A17,A17,$D$2:D17,"Tam gün")=1),A17,0)</f>
        <v/>
      </c>
      <c r="H17" s="16">
        <f>IF(AND(D17="Yarım gün",COUNTIFS($A$2:A17,A17,$D$2:D17,"Yarım gün")=1),A17,0)</f>
        <v/>
      </c>
      <c r="I17" s="2">
        <f>IF(AND(ISNUMBER(A17),Hesapla!$B$18="Uyarı yok.",A17&gt;=Hesapla!$B$16,A17&lt;=Hesapla!$B$17),MAX(I$1:I16)+1,"")</f>
        <v/>
      </c>
    </row>
    <row r="18">
      <c r="A18" s="6" t="n">
        <v>46324</v>
      </c>
      <c r="B18">
        <f>IF(A18="","",CHOOSE(WEEKDAY(A18,2),"Pazartesi","Salı","Çarşamba","Perşembe","Cuma","Cumartesi","Pazar"))</f>
        <v/>
      </c>
      <c r="C18" s="3" t="inlineStr">
        <is>
          <t>Cumhuriyet Bayramı</t>
        </is>
      </c>
      <c r="D18" s="3" t="inlineStr">
        <is>
          <t>Tam gün</t>
        </is>
      </c>
      <c r="E18" s="3" t="inlineStr">
        <is>
          <t>https://vakithesaplama.diyanet.gov.tr/icerik.php?icerik=158</t>
        </is>
      </c>
      <c r="G18" s="16">
        <f>IF(AND(D18="Tam gün",COUNTIFS($A$2:A18,A18,$D$2:D18,"Tam gün")=1),A18,0)</f>
        <v/>
      </c>
      <c r="H18" s="16">
        <f>IF(AND(D18="Yarım gün",COUNTIFS($A$2:A18,A18,$D$2:D18,"Yarım gün")=1),A18,0)</f>
        <v/>
      </c>
      <c r="I18" s="2">
        <f>IF(AND(ISNUMBER(A18),Hesapla!$B$18="Uyarı yok.",A18&gt;=Hesapla!$B$16,A18&lt;=Hesapla!$B$17),MAX(I$1:I17)+1,"")</f>
        <v/>
      </c>
    </row>
    <row r="19">
      <c r="A19" s="6" t="n">
        <v>46388</v>
      </c>
      <c r="B19">
        <f>IF(A19="","",CHOOSE(WEEKDAY(A19,2),"Pazartesi","Salı","Çarşamba","Perşembe","Cuma","Cumartesi","Pazar"))</f>
        <v/>
      </c>
      <c r="C19" s="3" t="inlineStr">
        <is>
          <t>Yılbaşı</t>
        </is>
      </c>
      <c r="D19" s="3" t="inlineStr">
        <is>
          <t>Tam gün</t>
        </is>
      </c>
      <c r="E19" s="3" t="inlineStr">
        <is>
          <t>https://vakithesaplama.diyanet.gov.tr/icerik.php?icerik=159</t>
        </is>
      </c>
      <c r="G19" s="16">
        <f>IF(AND(D19="Tam gün",COUNTIFS($A$2:A19,A19,$D$2:D19,"Tam gün")=1),A19,0)</f>
        <v/>
      </c>
      <c r="H19" s="16">
        <f>IF(AND(D19="Yarım gün",COUNTIFS($A$2:A19,A19,$D$2:D19,"Yarım gün")=1),A19,0)</f>
        <v/>
      </c>
      <c r="I19" s="2">
        <f>IF(AND(ISNUMBER(A19),Hesapla!$B$18="Uyarı yok.",A19&gt;=Hesapla!$B$16,A19&lt;=Hesapla!$B$17),MAX(I$1:I18)+1,"")</f>
        <v/>
      </c>
    </row>
    <row r="20">
      <c r="A20" s="6" t="n">
        <v>46454</v>
      </c>
      <c r="B20">
        <f>IF(A20="","",CHOOSE(WEEKDAY(A20,2),"Pazartesi","Salı","Çarşamba","Perşembe","Cuma","Cumartesi","Pazar"))</f>
        <v/>
      </c>
      <c r="C20" s="3" t="inlineStr">
        <is>
          <t>Ramazan Bayramı arifesi</t>
        </is>
      </c>
      <c r="D20" s="3" t="inlineStr">
        <is>
          <t>Yarım gün</t>
        </is>
      </c>
      <c r="E20" s="3" t="inlineStr">
        <is>
          <t>https://vakithesaplama.diyanet.gov.tr/icerik.php?icerik=159</t>
        </is>
      </c>
      <c r="G20" s="16">
        <f>IF(AND(D20="Tam gün",COUNTIFS($A$2:A20,A20,$D$2:D20,"Tam gün")=1),A20,0)</f>
        <v/>
      </c>
      <c r="H20" s="16">
        <f>IF(AND(D20="Yarım gün",COUNTIFS($A$2:A20,A20,$D$2:D20,"Yarım gün")=1),A20,0)</f>
        <v/>
      </c>
      <c r="I20" s="2">
        <f>IF(AND(ISNUMBER(A20),Hesapla!$B$18="Uyarı yok.",A20&gt;=Hesapla!$B$16,A20&lt;=Hesapla!$B$17),MAX(I$1:I19)+1,"")</f>
        <v/>
      </c>
    </row>
    <row r="21">
      <c r="A21" s="6" t="n">
        <v>46455</v>
      </c>
      <c r="B21">
        <f>IF(A21="","",CHOOSE(WEEKDAY(A21,2),"Pazartesi","Salı","Çarşamba","Perşembe","Cuma","Cumartesi","Pazar"))</f>
        <v/>
      </c>
      <c r="C21" s="3" t="inlineStr">
        <is>
          <t>Ramazan Bayramı 1. gün</t>
        </is>
      </c>
      <c r="D21" s="3" t="inlineStr">
        <is>
          <t>Tam gün</t>
        </is>
      </c>
      <c r="E21" s="3" t="inlineStr">
        <is>
          <t>https://vakithesaplama.diyanet.gov.tr/icerik.php?icerik=159</t>
        </is>
      </c>
      <c r="G21" s="16">
        <f>IF(AND(D21="Tam gün",COUNTIFS($A$2:A21,A21,$D$2:D21,"Tam gün")=1),A21,0)</f>
        <v/>
      </c>
      <c r="H21" s="16">
        <f>IF(AND(D21="Yarım gün",COUNTIFS($A$2:A21,A21,$D$2:D21,"Yarım gün")=1),A21,0)</f>
        <v/>
      </c>
      <c r="I21" s="2">
        <f>IF(AND(ISNUMBER(A21),Hesapla!$B$18="Uyarı yok.",A21&gt;=Hesapla!$B$16,A21&lt;=Hesapla!$B$17),MAX(I$1:I20)+1,"")</f>
        <v/>
      </c>
    </row>
    <row r="22">
      <c r="A22" s="6" t="n">
        <v>46456</v>
      </c>
      <c r="B22">
        <f>IF(A22="","",CHOOSE(WEEKDAY(A22,2),"Pazartesi","Salı","Çarşamba","Perşembe","Cuma","Cumartesi","Pazar"))</f>
        <v/>
      </c>
      <c r="C22" s="3" t="inlineStr">
        <is>
          <t>Ramazan Bayramı 2. gün</t>
        </is>
      </c>
      <c r="D22" s="3" t="inlineStr">
        <is>
          <t>Tam gün</t>
        </is>
      </c>
      <c r="E22" s="3" t="inlineStr">
        <is>
          <t>https://vakithesaplama.diyanet.gov.tr/icerik.php?icerik=159</t>
        </is>
      </c>
      <c r="G22" s="16">
        <f>IF(AND(D22="Tam gün",COUNTIFS($A$2:A22,A22,$D$2:D22,"Tam gün")=1),A22,0)</f>
        <v/>
      </c>
      <c r="H22" s="16">
        <f>IF(AND(D22="Yarım gün",COUNTIFS($A$2:A22,A22,$D$2:D22,"Yarım gün")=1),A22,0)</f>
        <v/>
      </c>
      <c r="I22" s="2">
        <f>IF(AND(ISNUMBER(A22),Hesapla!$B$18="Uyarı yok.",A22&gt;=Hesapla!$B$16,A22&lt;=Hesapla!$B$17),MAX(I$1:I21)+1,"")</f>
        <v/>
      </c>
    </row>
    <row r="23">
      <c r="A23" s="6" t="n">
        <v>46457</v>
      </c>
      <c r="B23">
        <f>IF(A23="","",CHOOSE(WEEKDAY(A23,2),"Pazartesi","Salı","Çarşamba","Perşembe","Cuma","Cumartesi","Pazar"))</f>
        <v/>
      </c>
      <c r="C23" s="3" t="inlineStr">
        <is>
          <t>Ramazan Bayramı 3. gün</t>
        </is>
      </c>
      <c r="D23" s="3" t="inlineStr">
        <is>
          <t>Tam gün</t>
        </is>
      </c>
      <c r="E23" s="3" t="inlineStr">
        <is>
          <t>https://vakithesaplama.diyanet.gov.tr/icerik.php?icerik=159</t>
        </is>
      </c>
      <c r="G23" s="16">
        <f>IF(AND(D23="Tam gün",COUNTIFS($A$2:A23,A23,$D$2:D23,"Tam gün")=1),A23,0)</f>
        <v/>
      </c>
      <c r="H23" s="16">
        <f>IF(AND(D23="Yarım gün",COUNTIFS($A$2:A23,A23,$D$2:D23,"Yarım gün")=1),A23,0)</f>
        <v/>
      </c>
      <c r="I23" s="2">
        <f>IF(AND(ISNUMBER(A23),Hesapla!$B$18="Uyarı yok.",A23&gt;=Hesapla!$B$16,A23&lt;=Hesapla!$B$17),MAX(I$1:I22)+1,"")</f>
        <v/>
      </c>
    </row>
    <row r="24">
      <c r="A24" s="6" t="n">
        <v>46500</v>
      </c>
      <c r="B24">
        <f>IF(A24="","",CHOOSE(WEEKDAY(A24,2),"Pazartesi","Salı","Çarşamba","Perşembe","Cuma","Cumartesi","Pazar"))</f>
        <v/>
      </c>
      <c r="C24" s="3" t="inlineStr">
        <is>
          <t>Ulusal Egemenlik ve Çocuk Bayramı</t>
        </is>
      </c>
      <c r="D24" s="3" t="inlineStr">
        <is>
          <t>Tam gün</t>
        </is>
      </c>
      <c r="E24" s="3" t="inlineStr">
        <is>
          <t>https://vakithesaplama.diyanet.gov.tr/icerik.php?icerik=159</t>
        </is>
      </c>
      <c r="G24" s="16">
        <f>IF(AND(D24="Tam gün",COUNTIFS($A$2:A24,A24,$D$2:D24,"Tam gün")=1),A24,0)</f>
        <v/>
      </c>
      <c r="H24" s="16">
        <f>IF(AND(D24="Yarım gün",COUNTIFS($A$2:A24,A24,$D$2:D24,"Yarım gün")=1),A24,0)</f>
        <v/>
      </c>
      <c r="I24" s="2">
        <f>IF(AND(ISNUMBER(A24),Hesapla!$B$18="Uyarı yok.",A24&gt;=Hesapla!$B$16,A24&lt;=Hesapla!$B$17),MAX(I$1:I23)+1,"")</f>
        <v/>
      </c>
    </row>
    <row r="25">
      <c r="A25" s="6" t="n">
        <v>46508</v>
      </c>
      <c r="B25">
        <f>IF(A25="","",CHOOSE(WEEKDAY(A25,2),"Pazartesi","Salı","Çarşamba","Perşembe","Cuma","Cumartesi","Pazar"))</f>
        <v/>
      </c>
      <c r="C25" s="3" t="inlineStr">
        <is>
          <t>Emek ve Dayanışma Günü</t>
        </is>
      </c>
      <c r="D25" s="3" t="inlineStr">
        <is>
          <t>Tam gün</t>
        </is>
      </c>
      <c r="E25" s="3" t="inlineStr">
        <is>
          <t>https://vakithesaplama.diyanet.gov.tr/icerik.php?icerik=159</t>
        </is>
      </c>
      <c r="G25" s="16">
        <f>IF(AND(D25="Tam gün",COUNTIFS($A$2:A25,A25,$D$2:D25,"Tam gün")=1),A25,0)</f>
        <v/>
      </c>
      <c r="H25" s="16">
        <f>IF(AND(D25="Yarım gün",COUNTIFS($A$2:A25,A25,$D$2:D25,"Yarım gün")=1),A25,0)</f>
        <v/>
      </c>
      <c r="I25" s="2">
        <f>IF(AND(ISNUMBER(A25),Hesapla!$B$18="Uyarı yok.",A25&gt;=Hesapla!$B$16,A25&lt;=Hesapla!$B$17),MAX(I$1:I24)+1,"")</f>
        <v/>
      </c>
    </row>
    <row r="26">
      <c r="A26" s="6" t="n">
        <v>46522</v>
      </c>
      <c r="B26">
        <f>IF(A26="","",CHOOSE(WEEKDAY(A26,2),"Pazartesi","Salı","Çarşamba","Perşembe","Cuma","Cumartesi","Pazar"))</f>
        <v/>
      </c>
      <c r="C26" s="3" t="inlineStr">
        <is>
          <t>Kurban Bayramı arifesi</t>
        </is>
      </c>
      <c r="D26" s="3" t="inlineStr">
        <is>
          <t>Yarım gün</t>
        </is>
      </c>
      <c r="E26" s="3" t="inlineStr">
        <is>
          <t>https://vakithesaplama.diyanet.gov.tr/icerik.php?icerik=159</t>
        </is>
      </c>
      <c r="G26" s="16">
        <f>IF(AND(D26="Tam gün",COUNTIFS($A$2:A26,A26,$D$2:D26,"Tam gün")=1),A26,0)</f>
        <v/>
      </c>
      <c r="H26" s="16">
        <f>IF(AND(D26="Yarım gün",COUNTIFS($A$2:A26,A26,$D$2:D26,"Yarım gün")=1),A26,0)</f>
        <v/>
      </c>
      <c r="I26" s="2">
        <f>IF(AND(ISNUMBER(A26),Hesapla!$B$18="Uyarı yok.",A26&gt;=Hesapla!$B$16,A26&lt;=Hesapla!$B$17),MAX(I$1:I25)+1,"")</f>
        <v/>
      </c>
    </row>
    <row r="27">
      <c r="A27" s="6" t="n">
        <v>46523</v>
      </c>
      <c r="B27">
        <f>IF(A27="","",CHOOSE(WEEKDAY(A27,2),"Pazartesi","Salı","Çarşamba","Perşembe","Cuma","Cumartesi","Pazar"))</f>
        <v/>
      </c>
      <c r="C27" s="3" t="inlineStr">
        <is>
          <t>Kurban Bayramı 1. gün</t>
        </is>
      </c>
      <c r="D27" s="3" t="inlineStr">
        <is>
          <t>Tam gün</t>
        </is>
      </c>
      <c r="E27" s="3" t="inlineStr">
        <is>
          <t>https://vakithesaplama.diyanet.gov.tr/icerik.php?icerik=159</t>
        </is>
      </c>
      <c r="G27" s="16">
        <f>IF(AND(D27="Tam gün",COUNTIFS($A$2:A27,A27,$D$2:D27,"Tam gün")=1),A27,0)</f>
        <v/>
      </c>
      <c r="H27" s="16">
        <f>IF(AND(D27="Yarım gün",COUNTIFS($A$2:A27,A27,$D$2:D27,"Yarım gün")=1),A27,0)</f>
        <v/>
      </c>
      <c r="I27" s="2">
        <f>IF(AND(ISNUMBER(A27),Hesapla!$B$18="Uyarı yok.",A27&gt;=Hesapla!$B$16,A27&lt;=Hesapla!$B$17),MAX(I$1:I26)+1,"")</f>
        <v/>
      </c>
    </row>
    <row r="28">
      <c r="A28" s="6" t="n">
        <v>46524</v>
      </c>
      <c r="B28">
        <f>IF(A28="","",CHOOSE(WEEKDAY(A28,2),"Pazartesi","Salı","Çarşamba","Perşembe","Cuma","Cumartesi","Pazar"))</f>
        <v/>
      </c>
      <c r="C28" s="3" t="inlineStr">
        <is>
          <t>Kurban Bayramı 2. gün</t>
        </is>
      </c>
      <c r="D28" s="3" t="inlineStr">
        <is>
          <t>Tam gün</t>
        </is>
      </c>
      <c r="E28" s="3" t="inlineStr">
        <is>
          <t>https://vakithesaplama.diyanet.gov.tr/icerik.php?icerik=159</t>
        </is>
      </c>
      <c r="G28" s="16">
        <f>IF(AND(D28="Tam gün",COUNTIFS($A$2:A28,A28,$D$2:D28,"Tam gün")=1),A28,0)</f>
        <v/>
      </c>
      <c r="H28" s="16">
        <f>IF(AND(D28="Yarım gün",COUNTIFS($A$2:A28,A28,$D$2:D28,"Yarım gün")=1),A28,0)</f>
        <v/>
      </c>
      <c r="I28" s="2">
        <f>IF(AND(ISNUMBER(A28),Hesapla!$B$18="Uyarı yok.",A28&gt;=Hesapla!$B$16,A28&lt;=Hesapla!$B$17),MAX(I$1:I27)+1,"")</f>
        <v/>
      </c>
    </row>
    <row r="29">
      <c r="A29" s="6" t="n">
        <v>46525</v>
      </c>
      <c r="B29">
        <f>IF(A29="","",CHOOSE(WEEKDAY(A29,2),"Pazartesi","Salı","Çarşamba","Perşembe","Cuma","Cumartesi","Pazar"))</f>
        <v/>
      </c>
      <c r="C29" s="3" t="inlineStr">
        <is>
          <t>Kurban Bayramı 3. gün</t>
        </is>
      </c>
      <c r="D29" s="3" t="inlineStr">
        <is>
          <t>Tam gün</t>
        </is>
      </c>
      <c r="E29" s="3" t="inlineStr">
        <is>
          <t>https://vakithesaplama.diyanet.gov.tr/icerik.php?icerik=159</t>
        </is>
      </c>
      <c r="G29" s="16">
        <f>IF(AND(D29="Tam gün",COUNTIFS($A$2:A29,A29,$D$2:D29,"Tam gün")=1),A29,0)</f>
        <v/>
      </c>
      <c r="H29" s="16">
        <f>IF(AND(D29="Yarım gün",COUNTIFS($A$2:A29,A29,$D$2:D29,"Yarım gün")=1),A29,0)</f>
        <v/>
      </c>
      <c r="I29" s="2">
        <f>IF(AND(ISNUMBER(A29),Hesapla!$B$18="Uyarı yok.",A29&gt;=Hesapla!$B$16,A29&lt;=Hesapla!$B$17),MAX(I$1:I28)+1,"")</f>
        <v/>
      </c>
    </row>
    <row r="30">
      <c r="A30" s="6" t="n">
        <v>46526</v>
      </c>
      <c r="B30">
        <f>IF(A30="","",CHOOSE(WEEKDAY(A30,2),"Pazartesi","Salı","Çarşamba","Perşembe","Cuma","Cumartesi","Pazar"))</f>
        <v/>
      </c>
      <c r="C30" s="3" t="inlineStr">
        <is>
          <t>Atatürk'ü Anma, Gençlik ve Spor Bayramı</t>
        </is>
      </c>
      <c r="D30" s="3" t="inlineStr">
        <is>
          <t>Tam gün</t>
        </is>
      </c>
      <c r="E30" s="3" t="inlineStr">
        <is>
          <t>https://vakithesaplama.diyanet.gov.tr/icerik.php?icerik=159</t>
        </is>
      </c>
      <c r="G30" s="16">
        <f>IF(AND(D30="Tam gün",COUNTIFS($A$2:A30,A30,$D$2:D30,"Tam gün")=1),A30,0)</f>
        <v/>
      </c>
      <c r="H30" s="16">
        <f>IF(AND(D30="Yarım gün",COUNTIFS($A$2:A30,A30,$D$2:D30,"Yarım gün")=1),A30,0)</f>
        <v/>
      </c>
      <c r="I30" s="2">
        <f>IF(AND(ISNUMBER(A30),Hesapla!$B$18="Uyarı yok.",A30&gt;=Hesapla!$B$16,A30&lt;=Hesapla!$B$17),MAX(I$1:I29)+1,"")</f>
        <v/>
      </c>
    </row>
    <row r="31">
      <c r="A31" s="6" t="n">
        <v>46526</v>
      </c>
      <c r="B31">
        <f>IF(A31="","",CHOOSE(WEEKDAY(A31,2),"Pazartesi","Salı","Çarşamba","Perşembe","Cuma","Cumartesi","Pazar"))</f>
        <v/>
      </c>
      <c r="C31" s="3" t="inlineStr">
        <is>
          <t>Kurban Bayramı 4. gün</t>
        </is>
      </c>
      <c r="D31" s="3" t="inlineStr">
        <is>
          <t>Tam gün</t>
        </is>
      </c>
      <c r="E31" s="3" t="inlineStr">
        <is>
          <t>https://vakithesaplama.diyanet.gov.tr/icerik.php?icerik=159</t>
        </is>
      </c>
      <c r="G31" s="16">
        <f>IF(AND(D31="Tam gün",COUNTIFS($A$2:A31,A31,$D$2:D31,"Tam gün")=1),A31,0)</f>
        <v/>
      </c>
      <c r="H31" s="16">
        <f>IF(AND(D31="Yarım gün",COUNTIFS($A$2:A31,A31,$D$2:D31,"Yarım gün")=1),A31,0)</f>
        <v/>
      </c>
      <c r="I31" s="2">
        <f>IF(AND(ISNUMBER(A31),Hesapla!$B$18="Uyarı yok.",A31&gt;=Hesapla!$B$16,A31&lt;=Hesapla!$B$17),MAX(I$1:I30)+1,"")</f>
        <v/>
      </c>
    </row>
    <row r="32">
      <c r="A32" s="6" t="n">
        <v>46583</v>
      </c>
      <c r="B32">
        <f>IF(A32="","",CHOOSE(WEEKDAY(A32,2),"Pazartesi","Salı","Çarşamba","Perşembe","Cuma","Cumartesi","Pazar"))</f>
        <v/>
      </c>
      <c r="C32" s="3" t="inlineStr">
        <is>
          <t>Demokrasi ve Millî Birlik Günü</t>
        </is>
      </c>
      <c r="D32" s="3" t="inlineStr">
        <is>
          <t>Tam gün</t>
        </is>
      </c>
      <c r="E32" s="3" t="inlineStr">
        <is>
          <t>https://vakithesaplama.diyanet.gov.tr/icerik.php?icerik=159</t>
        </is>
      </c>
      <c r="G32" s="16">
        <f>IF(AND(D32="Tam gün",COUNTIFS($A$2:A32,A32,$D$2:D32,"Tam gün")=1),A32,0)</f>
        <v/>
      </c>
      <c r="H32" s="16">
        <f>IF(AND(D32="Yarım gün",COUNTIFS($A$2:A32,A32,$D$2:D32,"Yarım gün")=1),A32,0)</f>
        <v/>
      </c>
      <c r="I32" s="2">
        <f>IF(AND(ISNUMBER(A32),Hesapla!$B$18="Uyarı yok.",A32&gt;=Hesapla!$B$16,A32&lt;=Hesapla!$B$17),MAX(I$1:I31)+1,"")</f>
        <v/>
      </c>
    </row>
    <row r="33">
      <c r="A33" s="6" t="n">
        <v>46629</v>
      </c>
      <c r="B33">
        <f>IF(A33="","",CHOOSE(WEEKDAY(A33,2),"Pazartesi","Salı","Çarşamba","Perşembe","Cuma","Cumartesi","Pazar"))</f>
        <v/>
      </c>
      <c r="C33" s="3" t="inlineStr">
        <is>
          <t>Zafer Bayramı</t>
        </is>
      </c>
      <c r="D33" s="3" t="inlineStr">
        <is>
          <t>Tam gün</t>
        </is>
      </c>
      <c r="E33" s="3" t="inlineStr">
        <is>
          <t>https://vakithesaplama.diyanet.gov.tr/icerik.php?icerik=159</t>
        </is>
      </c>
      <c r="G33" s="16">
        <f>IF(AND(D33="Tam gün",COUNTIFS($A$2:A33,A33,$D$2:D33,"Tam gün")=1),A33,0)</f>
        <v/>
      </c>
      <c r="H33" s="16">
        <f>IF(AND(D33="Yarım gün",COUNTIFS($A$2:A33,A33,$D$2:D33,"Yarım gün")=1),A33,0)</f>
        <v/>
      </c>
      <c r="I33" s="2">
        <f>IF(AND(ISNUMBER(A33),Hesapla!$B$18="Uyarı yok.",A33&gt;=Hesapla!$B$16,A33&lt;=Hesapla!$B$17),MAX(I$1:I32)+1,"")</f>
        <v/>
      </c>
    </row>
    <row r="34">
      <c r="A34" s="6" t="n">
        <v>46688</v>
      </c>
      <c r="B34">
        <f>IF(A34="","",CHOOSE(WEEKDAY(A34,2),"Pazartesi","Salı","Çarşamba","Perşembe","Cuma","Cumartesi","Pazar"))</f>
        <v/>
      </c>
      <c r="C34" s="3" t="inlineStr">
        <is>
          <t>Cumhuriyet Bayramı arifesi</t>
        </is>
      </c>
      <c r="D34" s="3" t="inlineStr">
        <is>
          <t>Yarım gün</t>
        </is>
      </c>
      <c r="E34" s="3" t="inlineStr">
        <is>
          <t>https://vakithesaplama.diyanet.gov.tr/icerik.php?icerik=159</t>
        </is>
      </c>
      <c r="G34" s="16">
        <f>IF(AND(D34="Tam gün",COUNTIFS($A$2:A34,A34,$D$2:D34,"Tam gün")=1),A34,0)</f>
        <v/>
      </c>
      <c r="H34" s="16">
        <f>IF(AND(D34="Yarım gün",COUNTIFS($A$2:A34,A34,$D$2:D34,"Yarım gün")=1),A34,0)</f>
        <v/>
      </c>
      <c r="I34" s="2">
        <f>IF(AND(ISNUMBER(A34),Hesapla!$B$18="Uyarı yok.",A34&gt;=Hesapla!$B$16,A34&lt;=Hesapla!$B$17),MAX(I$1:I33)+1,"")</f>
        <v/>
      </c>
    </row>
    <row r="35">
      <c r="A35" s="6" t="n">
        <v>46689</v>
      </c>
      <c r="B35">
        <f>IF(A35="","",CHOOSE(WEEKDAY(A35,2),"Pazartesi","Salı","Çarşamba","Perşembe","Cuma","Cumartesi","Pazar"))</f>
        <v/>
      </c>
      <c r="C35" s="3" t="inlineStr">
        <is>
          <t>Cumhuriyet Bayramı</t>
        </is>
      </c>
      <c r="D35" s="3" t="inlineStr">
        <is>
          <t>Tam gün</t>
        </is>
      </c>
      <c r="E35" s="3" t="inlineStr">
        <is>
          <t>https://vakithesaplama.diyanet.gov.tr/icerik.php?icerik=159</t>
        </is>
      </c>
      <c r="G35" s="16">
        <f>IF(AND(D35="Tam gün",COUNTIFS($A$2:A35,A35,$D$2:D35,"Tam gün")=1),A35,0)</f>
        <v/>
      </c>
      <c r="H35" s="16">
        <f>IF(AND(D35="Yarım gün",COUNTIFS($A$2:A35,A35,$D$2:D35,"Yarım gün")=1),A35,0)</f>
        <v/>
      </c>
      <c r="I35" s="2">
        <f>IF(AND(ISNUMBER(A35),Hesapla!$B$18="Uyarı yok.",A35&gt;=Hesapla!$B$16,A35&lt;=Hesapla!$B$17),MAX(I$1:I34)+1,"")</f>
        <v/>
      </c>
    </row>
    <row r="36">
      <c r="A36" s="6" t="n">
        <v>46753</v>
      </c>
      <c r="B36">
        <f>IF(A36="","",CHOOSE(WEEKDAY(A36,2),"Pazartesi","Salı","Çarşamba","Perşembe","Cuma","Cumartesi","Pazar"))</f>
        <v/>
      </c>
      <c r="C36" s="3" t="inlineStr">
        <is>
          <t>Yılbaşı</t>
        </is>
      </c>
      <c r="D36" s="3" t="inlineStr">
        <is>
          <t>Tam gün</t>
        </is>
      </c>
      <c r="E36" s="3" t="inlineStr">
        <is>
          <t>https://vakithesaplama.diyanet.gov.tr/icerik.php?icerik=193</t>
        </is>
      </c>
      <c r="G36" s="16">
        <f>IF(AND(D36="Tam gün",COUNTIFS($A$2:A36,A36,$D$2:D36,"Tam gün")=1),A36,0)</f>
        <v/>
      </c>
      <c r="H36" s="16">
        <f>IF(AND(D36="Yarım gün",COUNTIFS($A$2:A36,A36,$D$2:D36,"Yarım gün")=1),A36,0)</f>
        <v/>
      </c>
      <c r="I36" s="2">
        <f>IF(AND(ISNUMBER(A36),Hesapla!$B$18="Uyarı yok.",A36&gt;=Hesapla!$B$16,A36&lt;=Hesapla!$B$17),MAX(I$1:I35)+1,"")</f>
        <v/>
      </c>
    </row>
    <row r="37">
      <c r="A37" s="6" t="n">
        <v>46808</v>
      </c>
      <c r="B37">
        <f>IF(A37="","",CHOOSE(WEEKDAY(A37,2),"Pazartesi","Salı","Çarşamba","Perşembe","Cuma","Cumartesi","Pazar"))</f>
        <v/>
      </c>
      <c r="C37" s="3" t="inlineStr">
        <is>
          <t>Ramazan Bayramı arifesi</t>
        </is>
      </c>
      <c r="D37" s="3" t="inlineStr">
        <is>
          <t>Yarım gün</t>
        </is>
      </c>
      <c r="E37" s="3" t="inlineStr">
        <is>
          <t>https://vakithesaplama.diyanet.gov.tr/icerik.php?icerik=193</t>
        </is>
      </c>
      <c r="G37" s="16">
        <f>IF(AND(D37="Tam gün",COUNTIFS($A$2:A37,A37,$D$2:D37,"Tam gün")=1),A37,0)</f>
        <v/>
      </c>
      <c r="H37" s="16">
        <f>IF(AND(D37="Yarım gün",COUNTIFS($A$2:A37,A37,$D$2:D37,"Yarım gün")=1),A37,0)</f>
        <v/>
      </c>
      <c r="I37" s="2">
        <f>IF(AND(ISNUMBER(A37),Hesapla!$B$18="Uyarı yok.",A37&gt;=Hesapla!$B$16,A37&lt;=Hesapla!$B$17),MAX(I$1:I36)+1,"")</f>
        <v/>
      </c>
    </row>
    <row r="38">
      <c r="A38" s="6" t="n">
        <v>46809</v>
      </c>
      <c r="B38">
        <f>IF(A38="","",CHOOSE(WEEKDAY(A38,2),"Pazartesi","Salı","Çarşamba","Perşembe","Cuma","Cumartesi","Pazar"))</f>
        <v/>
      </c>
      <c r="C38" s="3" t="inlineStr">
        <is>
          <t>Ramazan Bayramı 1. gün</t>
        </is>
      </c>
      <c r="D38" s="3" t="inlineStr">
        <is>
          <t>Tam gün</t>
        </is>
      </c>
      <c r="E38" s="3" t="inlineStr">
        <is>
          <t>https://vakithesaplama.diyanet.gov.tr/icerik.php?icerik=193</t>
        </is>
      </c>
      <c r="G38" s="16">
        <f>IF(AND(D38="Tam gün",COUNTIFS($A$2:A38,A38,$D$2:D38,"Tam gün")=1),A38,0)</f>
        <v/>
      </c>
      <c r="H38" s="16">
        <f>IF(AND(D38="Yarım gün",COUNTIFS($A$2:A38,A38,$D$2:D38,"Yarım gün")=1),A38,0)</f>
        <v/>
      </c>
      <c r="I38" s="2">
        <f>IF(AND(ISNUMBER(A38),Hesapla!$B$18="Uyarı yok.",A38&gt;=Hesapla!$B$16,A38&lt;=Hesapla!$B$17),MAX(I$1:I37)+1,"")</f>
        <v/>
      </c>
    </row>
    <row r="39">
      <c r="A39" s="6" t="n">
        <v>46810</v>
      </c>
      <c r="B39">
        <f>IF(A39="","",CHOOSE(WEEKDAY(A39,2),"Pazartesi","Salı","Çarşamba","Perşembe","Cuma","Cumartesi","Pazar"))</f>
        <v/>
      </c>
      <c r="C39" s="3" t="inlineStr">
        <is>
          <t>Ramazan Bayramı 2. gün</t>
        </is>
      </c>
      <c r="D39" s="3" t="inlineStr">
        <is>
          <t>Tam gün</t>
        </is>
      </c>
      <c r="E39" s="3" t="inlineStr">
        <is>
          <t>https://vakithesaplama.diyanet.gov.tr/icerik.php?icerik=193</t>
        </is>
      </c>
      <c r="G39" s="16">
        <f>IF(AND(D39="Tam gün",COUNTIFS($A$2:A39,A39,$D$2:D39,"Tam gün")=1),A39,0)</f>
        <v/>
      </c>
      <c r="H39" s="16">
        <f>IF(AND(D39="Yarım gün",COUNTIFS($A$2:A39,A39,$D$2:D39,"Yarım gün")=1),A39,0)</f>
        <v/>
      </c>
      <c r="I39" s="2">
        <f>IF(AND(ISNUMBER(A39),Hesapla!$B$18="Uyarı yok.",A39&gt;=Hesapla!$B$16,A39&lt;=Hesapla!$B$17),MAX(I$1:I38)+1,"")</f>
        <v/>
      </c>
    </row>
    <row r="40">
      <c r="A40" s="6" t="n">
        <v>46811</v>
      </c>
      <c r="B40">
        <f>IF(A40="","",CHOOSE(WEEKDAY(A40,2),"Pazartesi","Salı","Çarşamba","Perşembe","Cuma","Cumartesi","Pazar"))</f>
        <v/>
      </c>
      <c r="C40" s="3" t="inlineStr">
        <is>
          <t>Ramazan Bayramı 3. gün</t>
        </is>
      </c>
      <c r="D40" s="3" t="inlineStr">
        <is>
          <t>Tam gün</t>
        </is>
      </c>
      <c r="E40" s="3" t="inlineStr">
        <is>
          <t>https://vakithesaplama.diyanet.gov.tr/icerik.php?icerik=193</t>
        </is>
      </c>
      <c r="G40" s="16">
        <f>IF(AND(D40="Tam gün",COUNTIFS($A$2:A40,A40,$D$2:D40,"Tam gün")=1),A40,0)</f>
        <v/>
      </c>
      <c r="H40" s="16">
        <f>IF(AND(D40="Yarım gün",COUNTIFS($A$2:A40,A40,$D$2:D40,"Yarım gün")=1),A40,0)</f>
        <v/>
      </c>
      <c r="I40" s="2">
        <f>IF(AND(ISNUMBER(A40),Hesapla!$B$18="Uyarı yok.",A40&gt;=Hesapla!$B$16,A40&lt;=Hesapla!$B$17),MAX(I$1:I39)+1,"")</f>
        <v/>
      </c>
    </row>
    <row r="41">
      <c r="A41" s="6" t="n">
        <v>46866</v>
      </c>
      <c r="B41">
        <f>IF(A41="","",CHOOSE(WEEKDAY(A41,2),"Pazartesi","Salı","Çarşamba","Perşembe","Cuma","Cumartesi","Pazar"))</f>
        <v/>
      </c>
      <c r="C41" s="3" t="inlineStr">
        <is>
          <t>Ulusal Egemenlik ve Çocuk Bayramı</t>
        </is>
      </c>
      <c r="D41" s="3" t="inlineStr">
        <is>
          <t>Tam gün</t>
        </is>
      </c>
      <c r="E41" s="3" t="inlineStr">
        <is>
          <t>https://vakithesaplama.diyanet.gov.tr/icerik.php?icerik=193</t>
        </is>
      </c>
      <c r="G41" s="16">
        <f>IF(AND(D41="Tam gün",COUNTIFS($A$2:A41,A41,$D$2:D41,"Tam gün")=1),A41,0)</f>
        <v/>
      </c>
      <c r="H41" s="16">
        <f>IF(AND(D41="Yarım gün",COUNTIFS($A$2:A41,A41,$D$2:D41,"Yarım gün")=1),A41,0)</f>
        <v/>
      </c>
      <c r="I41" s="2">
        <f>IF(AND(ISNUMBER(A41),Hesapla!$B$18="Uyarı yok.",A41&gt;=Hesapla!$B$16,A41&lt;=Hesapla!$B$17),MAX(I$1:I40)+1,"")</f>
        <v/>
      </c>
    </row>
    <row r="42">
      <c r="A42" s="6" t="n">
        <v>46874</v>
      </c>
      <c r="B42">
        <f>IF(A42="","",CHOOSE(WEEKDAY(A42,2),"Pazartesi","Salı","Çarşamba","Perşembe","Cuma","Cumartesi","Pazar"))</f>
        <v/>
      </c>
      <c r="C42" s="3" t="inlineStr">
        <is>
          <t>Emek ve Dayanışma Günü</t>
        </is>
      </c>
      <c r="D42" s="3" t="inlineStr">
        <is>
          <t>Tam gün</t>
        </is>
      </c>
      <c r="E42" s="3" t="inlineStr">
        <is>
          <t>https://vakithesaplama.diyanet.gov.tr/icerik.php?icerik=193</t>
        </is>
      </c>
      <c r="G42" s="16">
        <f>IF(AND(D42="Tam gün",COUNTIFS($A$2:A42,A42,$D$2:D42,"Tam gün")=1),A42,0)</f>
        <v/>
      </c>
      <c r="H42" s="16">
        <f>IF(AND(D42="Yarım gün",COUNTIFS($A$2:A42,A42,$D$2:D42,"Yarım gün")=1),A42,0)</f>
        <v/>
      </c>
      <c r="I42" s="2">
        <f>IF(AND(ISNUMBER(A42),Hesapla!$B$18="Uyarı yok.",A42&gt;=Hesapla!$B$16,A42&lt;=Hesapla!$B$17),MAX(I$1:I41)+1,"")</f>
        <v/>
      </c>
    </row>
    <row r="43">
      <c r="A43" s="6" t="n">
        <v>46877</v>
      </c>
      <c r="B43">
        <f>IF(A43="","",CHOOSE(WEEKDAY(A43,2),"Pazartesi","Salı","Çarşamba","Perşembe","Cuma","Cumartesi","Pazar"))</f>
        <v/>
      </c>
      <c r="C43" s="3" t="inlineStr">
        <is>
          <t>Kurban Bayramı arifesi</t>
        </is>
      </c>
      <c r="D43" s="3" t="inlineStr">
        <is>
          <t>Yarım gün</t>
        </is>
      </c>
      <c r="E43" s="3" t="inlineStr">
        <is>
          <t>https://vakithesaplama.diyanet.gov.tr/icerik.php?icerik=193</t>
        </is>
      </c>
      <c r="G43" s="16">
        <f>IF(AND(D43="Tam gün",COUNTIFS($A$2:A43,A43,$D$2:D43,"Tam gün")=1),A43,0)</f>
        <v/>
      </c>
      <c r="H43" s="16">
        <f>IF(AND(D43="Yarım gün",COUNTIFS($A$2:A43,A43,$D$2:D43,"Yarım gün")=1),A43,0)</f>
        <v/>
      </c>
      <c r="I43" s="2">
        <f>IF(AND(ISNUMBER(A43),Hesapla!$B$18="Uyarı yok.",A43&gt;=Hesapla!$B$16,A43&lt;=Hesapla!$B$17),MAX(I$1:I42)+1,"")</f>
        <v/>
      </c>
    </row>
    <row r="44">
      <c r="A44" s="6" t="n">
        <v>46878</v>
      </c>
      <c r="B44">
        <f>IF(A44="","",CHOOSE(WEEKDAY(A44,2),"Pazartesi","Salı","Çarşamba","Perşembe","Cuma","Cumartesi","Pazar"))</f>
        <v/>
      </c>
      <c r="C44" s="3" t="inlineStr">
        <is>
          <t>Kurban Bayramı 1. gün</t>
        </is>
      </c>
      <c r="D44" s="3" t="inlineStr">
        <is>
          <t>Tam gün</t>
        </is>
      </c>
      <c r="E44" s="3" t="inlineStr">
        <is>
          <t>https://vakithesaplama.diyanet.gov.tr/icerik.php?icerik=193</t>
        </is>
      </c>
      <c r="G44" s="16">
        <f>IF(AND(D44="Tam gün",COUNTIFS($A$2:A44,A44,$D$2:D44,"Tam gün")=1),A44,0)</f>
        <v/>
      </c>
      <c r="H44" s="16">
        <f>IF(AND(D44="Yarım gün",COUNTIFS($A$2:A44,A44,$D$2:D44,"Yarım gün")=1),A44,0)</f>
        <v/>
      </c>
      <c r="I44" s="2">
        <f>IF(AND(ISNUMBER(A44),Hesapla!$B$18="Uyarı yok.",A44&gt;=Hesapla!$B$16,A44&lt;=Hesapla!$B$17),MAX(I$1:I43)+1,"")</f>
        <v/>
      </c>
    </row>
    <row r="45">
      <c r="A45" s="6" t="n">
        <v>46879</v>
      </c>
      <c r="B45">
        <f>IF(A45="","",CHOOSE(WEEKDAY(A45,2),"Pazartesi","Salı","Çarşamba","Perşembe","Cuma","Cumartesi","Pazar"))</f>
        <v/>
      </c>
      <c r="C45" s="3" t="inlineStr">
        <is>
          <t>Kurban Bayramı 2. gün</t>
        </is>
      </c>
      <c r="D45" s="3" t="inlineStr">
        <is>
          <t>Tam gün</t>
        </is>
      </c>
      <c r="E45" s="3" t="inlineStr">
        <is>
          <t>https://vakithesaplama.diyanet.gov.tr/icerik.php?icerik=193</t>
        </is>
      </c>
      <c r="G45" s="16">
        <f>IF(AND(D45="Tam gün",COUNTIFS($A$2:A45,A45,$D$2:D45,"Tam gün")=1),A45,0)</f>
        <v/>
      </c>
      <c r="H45" s="16">
        <f>IF(AND(D45="Yarım gün",COUNTIFS($A$2:A45,A45,$D$2:D45,"Yarım gün")=1),A45,0)</f>
        <v/>
      </c>
      <c r="I45" s="2">
        <f>IF(AND(ISNUMBER(A45),Hesapla!$B$18="Uyarı yok.",A45&gt;=Hesapla!$B$16,A45&lt;=Hesapla!$B$17),MAX(I$1:I44)+1,"")</f>
        <v/>
      </c>
    </row>
    <row r="46">
      <c r="A46" s="6" t="n">
        <v>46880</v>
      </c>
      <c r="B46">
        <f>IF(A46="","",CHOOSE(WEEKDAY(A46,2),"Pazartesi","Salı","Çarşamba","Perşembe","Cuma","Cumartesi","Pazar"))</f>
        <v/>
      </c>
      <c r="C46" s="3" t="inlineStr">
        <is>
          <t>Kurban Bayramı 3. gün</t>
        </is>
      </c>
      <c r="D46" s="3" t="inlineStr">
        <is>
          <t>Tam gün</t>
        </is>
      </c>
      <c r="E46" s="3" t="inlineStr">
        <is>
          <t>https://vakithesaplama.diyanet.gov.tr/icerik.php?icerik=193</t>
        </is>
      </c>
      <c r="G46" s="16">
        <f>IF(AND(D46="Tam gün",COUNTIFS($A$2:A46,A46,$D$2:D46,"Tam gün")=1),A46,0)</f>
        <v/>
      </c>
      <c r="H46" s="16">
        <f>IF(AND(D46="Yarım gün",COUNTIFS($A$2:A46,A46,$D$2:D46,"Yarım gün")=1),A46,0)</f>
        <v/>
      </c>
      <c r="I46" s="2">
        <f>IF(AND(ISNUMBER(A46),Hesapla!$B$18="Uyarı yok.",A46&gt;=Hesapla!$B$16,A46&lt;=Hesapla!$B$17),MAX(I$1:I45)+1,"")</f>
        <v/>
      </c>
    </row>
    <row r="47">
      <c r="A47" s="6" t="n">
        <v>46881</v>
      </c>
      <c r="B47">
        <f>IF(A47="","",CHOOSE(WEEKDAY(A47,2),"Pazartesi","Salı","Çarşamba","Perşembe","Cuma","Cumartesi","Pazar"))</f>
        <v/>
      </c>
      <c r="C47" s="3" t="inlineStr">
        <is>
          <t>Kurban Bayramı 4. gün</t>
        </is>
      </c>
      <c r="D47" s="3" t="inlineStr">
        <is>
          <t>Tam gün</t>
        </is>
      </c>
      <c r="E47" s="3" t="inlineStr">
        <is>
          <t>https://vakithesaplama.diyanet.gov.tr/icerik.php?icerik=193</t>
        </is>
      </c>
      <c r="G47" s="16">
        <f>IF(AND(D47="Tam gün",COUNTIFS($A$2:A47,A47,$D$2:D47,"Tam gün")=1),A47,0)</f>
        <v/>
      </c>
      <c r="H47" s="16">
        <f>IF(AND(D47="Yarım gün",COUNTIFS($A$2:A47,A47,$D$2:D47,"Yarım gün")=1),A47,0)</f>
        <v/>
      </c>
      <c r="I47" s="2">
        <f>IF(AND(ISNUMBER(A47),Hesapla!$B$18="Uyarı yok.",A47&gt;=Hesapla!$B$16,A47&lt;=Hesapla!$B$17),MAX(I$1:I46)+1,"")</f>
        <v/>
      </c>
    </row>
    <row r="48">
      <c r="A48" s="6" t="n">
        <v>46892</v>
      </c>
      <c r="B48">
        <f>IF(A48="","",CHOOSE(WEEKDAY(A48,2),"Pazartesi","Salı","Çarşamba","Perşembe","Cuma","Cumartesi","Pazar"))</f>
        <v/>
      </c>
      <c r="C48" s="3" t="inlineStr">
        <is>
          <t>Atatürk'ü Anma, Gençlik ve Spor Bayramı</t>
        </is>
      </c>
      <c r="D48" s="3" t="inlineStr">
        <is>
          <t>Tam gün</t>
        </is>
      </c>
      <c r="E48" s="3" t="inlineStr">
        <is>
          <t>https://vakithesaplama.diyanet.gov.tr/icerik.php?icerik=193</t>
        </is>
      </c>
      <c r="G48" s="16">
        <f>IF(AND(D48="Tam gün",COUNTIFS($A$2:A48,A48,$D$2:D48,"Tam gün")=1),A48,0)</f>
        <v/>
      </c>
      <c r="H48" s="16">
        <f>IF(AND(D48="Yarım gün",COUNTIFS($A$2:A48,A48,$D$2:D48,"Yarım gün")=1),A48,0)</f>
        <v/>
      </c>
      <c r="I48" s="2">
        <f>IF(AND(ISNUMBER(A48),Hesapla!$B$18="Uyarı yok.",A48&gt;=Hesapla!$B$16,A48&lt;=Hesapla!$B$17),MAX(I$1:I47)+1,"")</f>
        <v/>
      </c>
    </row>
    <row r="49">
      <c r="A49" s="6" t="n">
        <v>46949</v>
      </c>
      <c r="B49">
        <f>IF(A49="","",CHOOSE(WEEKDAY(A49,2),"Pazartesi","Salı","Çarşamba","Perşembe","Cuma","Cumartesi","Pazar"))</f>
        <v/>
      </c>
      <c r="C49" s="3" t="inlineStr">
        <is>
          <t>Demokrasi ve Millî Birlik Günü</t>
        </is>
      </c>
      <c r="D49" s="3" t="inlineStr">
        <is>
          <t>Tam gün</t>
        </is>
      </c>
      <c r="E49" s="3" t="inlineStr">
        <is>
          <t>https://vakithesaplama.diyanet.gov.tr/icerik.php?icerik=193</t>
        </is>
      </c>
      <c r="G49" s="16">
        <f>IF(AND(D49="Tam gün",COUNTIFS($A$2:A49,A49,$D$2:D49,"Tam gün")=1),A49,0)</f>
        <v/>
      </c>
      <c r="H49" s="16">
        <f>IF(AND(D49="Yarım gün",COUNTIFS($A$2:A49,A49,$D$2:D49,"Yarım gün")=1),A49,0)</f>
        <v/>
      </c>
      <c r="I49" s="2">
        <f>IF(AND(ISNUMBER(A49),Hesapla!$B$18="Uyarı yok.",A49&gt;=Hesapla!$B$16,A49&lt;=Hesapla!$B$17),MAX(I$1:I48)+1,"")</f>
        <v/>
      </c>
    </row>
    <row r="50">
      <c r="A50" s="6" t="n">
        <v>46995</v>
      </c>
      <c r="B50">
        <f>IF(A50="","",CHOOSE(WEEKDAY(A50,2),"Pazartesi","Salı","Çarşamba","Perşembe","Cuma","Cumartesi","Pazar"))</f>
        <v/>
      </c>
      <c r="C50" s="3" t="inlineStr">
        <is>
          <t>Zafer Bayramı</t>
        </is>
      </c>
      <c r="D50" s="3" t="inlineStr">
        <is>
          <t>Tam gün</t>
        </is>
      </c>
      <c r="E50" s="3" t="inlineStr">
        <is>
          <t>https://vakithesaplama.diyanet.gov.tr/icerik.php?icerik=193</t>
        </is>
      </c>
      <c r="G50" s="16">
        <f>IF(AND(D50="Tam gün",COUNTIFS($A$2:A50,A50,$D$2:D50,"Tam gün")=1),A50,0)</f>
        <v/>
      </c>
      <c r="H50" s="16">
        <f>IF(AND(D50="Yarım gün",COUNTIFS($A$2:A50,A50,$D$2:D50,"Yarım gün")=1),A50,0)</f>
        <v/>
      </c>
      <c r="I50" s="2">
        <f>IF(AND(ISNUMBER(A50),Hesapla!$B$18="Uyarı yok.",A50&gt;=Hesapla!$B$16,A50&lt;=Hesapla!$B$17),MAX(I$1:I49)+1,"")</f>
        <v/>
      </c>
    </row>
    <row r="51">
      <c r="A51" s="6" t="n">
        <v>47054</v>
      </c>
      <c r="B51">
        <f>IF(A51="","",CHOOSE(WEEKDAY(A51,2),"Pazartesi","Salı","Çarşamba","Perşembe","Cuma","Cumartesi","Pazar"))</f>
        <v/>
      </c>
      <c r="C51" s="3" t="inlineStr">
        <is>
          <t>Cumhuriyet Bayramı arifesi</t>
        </is>
      </c>
      <c r="D51" s="3" t="inlineStr">
        <is>
          <t>Yarım gün</t>
        </is>
      </c>
      <c r="E51" s="3" t="inlineStr">
        <is>
          <t>https://vakithesaplama.diyanet.gov.tr/icerik.php?icerik=193</t>
        </is>
      </c>
      <c r="G51" s="16">
        <f>IF(AND(D51="Tam gün",COUNTIFS($A$2:A51,A51,$D$2:D51,"Tam gün")=1),A51,0)</f>
        <v/>
      </c>
      <c r="H51" s="16">
        <f>IF(AND(D51="Yarım gün",COUNTIFS($A$2:A51,A51,$D$2:D51,"Yarım gün")=1),A51,0)</f>
        <v/>
      </c>
      <c r="I51" s="2">
        <f>IF(AND(ISNUMBER(A51),Hesapla!$B$18="Uyarı yok.",A51&gt;=Hesapla!$B$16,A51&lt;=Hesapla!$B$17),MAX(I$1:I50)+1,"")</f>
        <v/>
      </c>
    </row>
    <row r="52">
      <c r="A52" s="6" t="n">
        <v>47055</v>
      </c>
      <c r="B52">
        <f>IF(A52="","",CHOOSE(WEEKDAY(A52,2),"Pazartesi","Salı","Çarşamba","Perşembe","Cuma","Cumartesi","Pazar"))</f>
        <v/>
      </c>
      <c r="C52" s="3" t="inlineStr">
        <is>
          <t>Cumhuriyet Bayramı</t>
        </is>
      </c>
      <c r="D52" s="3" t="inlineStr">
        <is>
          <t>Tam gün</t>
        </is>
      </c>
      <c r="E52" s="3" t="inlineStr">
        <is>
          <t>https://vakithesaplama.diyanet.gov.tr/icerik.php?icerik=193</t>
        </is>
      </c>
      <c r="G52" s="16">
        <f>IF(AND(D52="Tam gün",COUNTIFS($A$2:A52,A52,$D$2:D52,"Tam gün")=1),A52,0)</f>
        <v/>
      </c>
      <c r="H52" s="16">
        <f>IF(AND(D52="Yarım gün",COUNTIFS($A$2:A52,A52,$D$2:D52,"Yarım gün")=1),A52,0)</f>
        <v/>
      </c>
      <c r="I52" s="2">
        <f>IF(AND(ISNUMBER(A52),Hesapla!$B$18="Uyarı yok.",A52&gt;=Hesapla!$B$16,A52&lt;=Hesapla!$B$17),MAX(I$1:I51)+1,"")</f>
        <v/>
      </c>
    </row>
    <row r="53">
      <c r="A53" s="6" t="n"/>
      <c r="B53">
        <f>IF(A53="","",CHOOSE(WEEKDAY(A53,2),"Pazartesi","Salı","Çarşamba","Perşembe","Cuma","Cumartesi","Pazar"))</f>
        <v/>
      </c>
      <c r="C53" s="3" t="n"/>
      <c r="D53" s="3" t="n"/>
      <c r="E53" s="3" t="n"/>
      <c r="G53" s="16">
        <f>IF(AND(D53="Tam gün",COUNTIFS($A$2:A53,A53,$D$2:D53,"Tam gün")=1),A53,0)</f>
        <v/>
      </c>
      <c r="H53" s="16">
        <f>IF(AND(D53="Yarım gün",COUNTIFS($A$2:A53,A53,$D$2:D53,"Yarım gün")=1),A53,0)</f>
        <v/>
      </c>
      <c r="I53" s="2">
        <f>IF(AND(ISNUMBER(A53),Hesapla!$B$18="Uyarı yok.",A53&gt;=Hesapla!$B$16,A53&lt;=Hesapla!$B$17),MAX(I$1:I52)+1,"")</f>
        <v/>
      </c>
    </row>
    <row r="54">
      <c r="A54" s="6" t="n"/>
      <c r="B54">
        <f>IF(A54="","",CHOOSE(WEEKDAY(A54,2),"Pazartesi","Salı","Çarşamba","Perşembe","Cuma","Cumartesi","Pazar"))</f>
        <v/>
      </c>
      <c r="C54" s="3" t="n"/>
      <c r="D54" s="3" t="n"/>
      <c r="E54" s="3" t="n"/>
      <c r="G54" s="16">
        <f>IF(AND(D54="Tam gün",COUNTIFS($A$2:A54,A54,$D$2:D54,"Tam gün")=1),A54,0)</f>
        <v/>
      </c>
      <c r="H54" s="16">
        <f>IF(AND(D54="Yarım gün",COUNTIFS($A$2:A54,A54,$D$2:D54,"Yarım gün")=1),A54,0)</f>
        <v/>
      </c>
      <c r="I54" s="2">
        <f>IF(AND(ISNUMBER(A54),Hesapla!$B$18="Uyarı yok.",A54&gt;=Hesapla!$B$16,A54&lt;=Hesapla!$B$17),MAX(I$1:I53)+1,"")</f>
        <v/>
      </c>
    </row>
    <row r="55">
      <c r="A55" s="6" t="n"/>
      <c r="B55">
        <f>IF(A55="","",CHOOSE(WEEKDAY(A55,2),"Pazartesi","Salı","Çarşamba","Perşembe","Cuma","Cumartesi","Pazar"))</f>
        <v/>
      </c>
      <c r="C55" s="3" t="n"/>
      <c r="D55" s="3" t="n"/>
      <c r="E55" s="3" t="n"/>
      <c r="G55" s="16">
        <f>IF(AND(D55="Tam gün",COUNTIFS($A$2:A55,A55,$D$2:D55,"Tam gün")=1),A55,0)</f>
        <v/>
      </c>
      <c r="H55" s="16">
        <f>IF(AND(D55="Yarım gün",COUNTIFS($A$2:A55,A55,$D$2:D55,"Yarım gün")=1),A55,0)</f>
        <v/>
      </c>
      <c r="I55" s="2">
        <f>IF(AND(ISNUMBER(A55),Hesapla!$B$18="Uyarı yok.",A55&gt;=Hesapla!$B$16,A55&lt;=Hesapla!$B$17),MAX(I$1:I54)+1,"")</f>
        <v/>
      </c>
    </row>
    <row r="56">
      <c r="A56" s="6" t="n"/>
      <c r="B56">
        <f>IF(A56="","",CHOOSE(WEEKDAY(A56,2),"Pazartesi","Salı","Çarşamba","Perşembe","Cuma","Cumartesi","Pazar"))</f>
        <v/>
      </c>
      <c r="C56" s="3" t="n"/>
      <c r="D56" s="3" t="n"/>
      <c r="E56" s="3" t="n"/>
      <c r="G56" s="16">
        <f>IF(AND(D56="Tam gün",COUNTIFS($A$2:A56,A56,$D$2:D56,"Tam gün")=1),A56,0)</f>
        <v/>
      </c>
      <c r="H56" s="16">
        <f>IF(AND(D56="Yarım gün",COUNTIFS($A$2:A56,A56,$D$2:D56,"Yarım gün")=1),A56,0)</f>
        <v/>
      </c>
      <c r="I56" s="2">
        <f>IF(AND(ISNUMBER(A56),Hesapla!$B$18="Uyarı yok.",A56&gt;=Hesapla!$B$16,A56&lt;=Hesapla!$B$17),MAX(I$1:I55)+1,"")</f>
        <v/>
      </c>
    </row>
    <row r="57">
      <c r="A57" s="6" t="n"/>
      <c r="B57">
        <f>IF(A57="","",CHOOSE(WEEKDAY(A57,2),"Pazartesi","Salı","Çarşamba","Perşembe","Cuma","Cumartesi","Pazar"))</f>
        <v/>
      </c>
      <c r="C57" s="3" t="n"/>
      <c r="D57" s="3" t="n"/>
      <c r="E57" s="3" t="n"/>
      <c r="G57" s="16">
        <f>IF(AND(D57="Tam gün",COUNTIFS($A$2:A57,A57,$D$2:D57,"Tam gün")=1),A57,0)</f>
        <v/>
      </c>
      <c r="H57" s="16">
        <f>IF(AND(D57="Yarım gün",COUNTIFS($A$2:A57,A57,$D$2:D57,"Yarım gün")=1),A57,0)</f>
        <v/>
      </c>
      <c r="I57" s="2">
        <f>IF(AND(ISNUMBER(A57),Hesapla!$B$18="Uyarı yok.",A57&gt;=Hesapla!$B$16,A57&lt;=Hesapla!$B$17),MAX(I$1:I56)+1,"")</f>
        <v/>
      </c>
    </row>
    <row r="58">
      <c r="A58" s="6" t="n"/>
      <c r="B58">
        <f>IF(A58="","",CHOOSE(WEEKDAY(A58,2),"Pazartesi","Salı","Çarşamba","Perşembe","Cuma","Cumartesi","Pazar"))</f>
        <v/>
      </c>
      <c r="C58" s="3" t="n"/>
      <c r="D58" s="3" t="n"/>
      <c r="E58" s="3" t="n"/>
      <c r="G58" s="16">
        <f>IF(AND(D58="Tam gün",COUNTIFS($A$2:A58,A58,$D$2:D58,"Tam gün")=1),A58,0)</f>
        <v/>
      </c>
      <c r="H58" s="16">
        <f>IF(AND(D58="Yarım gün",COUNTIFS($A$2:A58,A58,$D$2:D58,"Yarım gün")=1),A58,0)</f>
        <v/>
      </c>
      <c r="I58" s="2">
        <f>IF(AND(ISNUMBER(A58),Hesapla!$B$18="Uyarı yok.",A58&gt;=Hesapla!$B$16,A58&lt;=Hesapla!$B$17),MAX(I$1:I57)+1,"")</f>
        <v/>
      </c>
    </row>
    <row r="59">
      <c r="A59" s="6" t="n"/>
      <c r="B59">
        <f>IF(A59="","",CHOOSE(WEEKDAY(A59,2),"Pazartesi","Salı","Çarşamba","Perşembe","Cuma","Cumartesi","Pazar"))</f>
        <v/>
      </c>
      <c r="C59" s="3" t="n"/>
      <c r="D59" s="3" t="n"/>
      <c r="E59" s="3" t="n"/>
      <c r="G59" s="16">
        <f>IF(AND(D59="Tam gün",COUNTIFS($A$2:A59,A59,$D$2:D59,"Tam gün")=1),A59,0)</f>
        <v/>
      </c>
      <c r="H59" s="16">
        <f>IF(AND(D59="Yarım gün",COUNTIFS($A$2:A59,A59,$D$2:D59,"Yarım gün")=1),A59,0)</f>
        <v/>
      </c>
      <c r="I59" s="2">
        <f>IF(AND(ISNUMBER(A59),Hesapla!$B$18="Uyarı yok.",A59&gt;=Hesapla!$B$16,A59&lt;=Hesapla!$B$17),MAX(I$1:I58)+1,"")</f>
        <v/>
      </c>
    </row>
    <row r="60">
      <c r="A60" s="6" t="n"/>
      <c r="B60">
        <f>IF(A60="","",CHOOSE(WEEKDAY(A60,2),"Pazartesi","Salı","Çarşamba","Perşembe","Cuma","Cumartesi","Pazar"))</f>
        <v/>
      </c>
      <c r="C60" s="3" t="n"/>
      <c r="D60" s="3" t="n"/>
      <c r="E60" s="3" t="n"/>
      <c r="G60" s="16">
        <f>IF(AND(D60="Tam gün",COUNTIFS($A$2:A60,A60,$D$2:D60,"Tam gün")=1),A60,0)</f>
        <v/>
      </c>
      <c r="H60" s="16">
        <f>IF(AND(D60="Yarım gün",COUNTIFS($A$2:A60,A60,$D$2:D60,"Yarım gün")=1),A60,0)</f>
        <v/>
      </c>
      <c r="I60" s="2">
        <f>IF(AND(ISNUMBER(A60),Hesapla!$B$18="Uyarı yok.",A60&gt;=Hesapla!$B$16,A60&lt;=Hesapla!$B$17),MAX(I$1:I59)+1,"")</f>
        <v/>
      </c>
    </row>
    <row r="61">
      <c r="A61" s="6" t="n"/>
      <c r="B61">
        <f>IF(A61="","",CHOOSE(WEEKDAY(A61,2),"Pazartesi","Salı","Çarşamba","Perşembe","Cuma","Cumartesi","Pazar"))</f>
        <v/>
      </c>
      <c r="C61" s="3" t="n"/>
      <c r="D61" s="3" t="n"/>
      <c r="E61" s="3" t="n"/>
      <c r="G61" s="16">
        <f>IF(AND(D61="Tam gün",COUNTIFS($A$2:A61,A61,$D$2:D61,"Tam gün")=1),A61,0)</f>
        <v/>
      </c>
      <c r="H61" s="16">
        <f>IF(AND(D61="Yarım gün",COUNTIFS($A$2:A61,A61,$D$2:D61,"Yarım gün")=1),A61,0)</f>
        <v/>
      </c>
      <c r="I61" s="2">
        <f>IF(AND(ISNUMBER(A61),Hesapla!$B$18="Uyarı yok.",A61&gt;=Hesapla!$B$16,A61&lt;=Hesapla!$B$17),MAX(I$1:I60)+1,"")</f>
        <v/>
      </c>
    </row>
    <row r="62">
      <c r="A62" s="6" t="n"/>
      <c r="B62">
        <f>IF(A62="","",CHOOSE(WEEKDAY(A62,2),"Pazartesi","Salı","Çarşamba","Perşembe","Cuma","Cumartesi","Pazar"))</f>
        <v/>
      </c>
      <c r="C62" s="3" t="n"/>
      <c r="D62" s="3" t="n"/>
      <c r="E62" s="3" t="n"/>
      <c r="G62" s="16">
        <f>IF(AND(D62="Tam gün",COUNTIFS($A$2:A62,A62,$D$2:D62,"Tam gün")=1),A62,0)</f>
        <v/>
      </c>
      <c r="H62" s="16">
        <f>IF(AND(D62="Yarım gün",COUNTIFS($A$2:A62,A62,$D$2:D62,"Yarım gün")=1),A62,0)</f>
        <v/>
      </c>
      <c r="I62" s="2">
        <f>IF(AND(ISNUMBER(A62),Hesapla!$B$18="Uyarı yok.",A62&gt;=Hesapla!$B$16,A62&lt;=Hesapla!$B$17),MAX(I$1:I61)+1,"")</f>
        <v/>
      </c>
    </row>
    <row r="63">
      <c r="A63" s="6" t="n"/>
      <c r="B63">
        <f>IF(A63="","",CHOOSE(WEEKDAY(A63,2),"Pazartesi","Salı","Çarşamba","Perşembe","Cuma","Cumartesi","Pazar"))</f>
        <v/>
      </c>
      <c r="C63" s="3" t="n"/>
      <c r="D63" s="3" t="n"/>
      <c r="E63" s="3" t="n"/>
      <c r="G63" s="16">
        <f>IF(AND(D63="Tam gün",COUNTIFS($A$2:A63,A63,$D$2:D63,"Tam gün")=1),A63,0)</f>
        <v/>
      </c>
      <c r="H63" s="16">
        <f>IF(AND(D63="Yarım gün",COUNTIFS($A$2:A63,A63,$D$2:D63,"Yarım gün")=1),A63,0)</f>
        <v/>
      </c>
      <c r="I63" s="2">
        <f>IF(AND(ISNUMBER(A63),Hesapla!$B$18="Uyarı yok.",A63&gt;=Hesapla!$B$16,A63&lt;=Hesapla!$B$17),MAX(I$1:I62)+1,"")</f>
        <v/>
      </c>
    </row>
    <row r="64">
      <c r="A64" s="6" t="n"/>
      <c r="B64">
        <f>IF(A64="","",CHOOSE(WEEKDAY(A64,2),"Pazartesi","Salı","Çarşamba","Perşembe","Cuma","Cumartesi","Pazar"))</f>
        <v/>
      </c>
      <c r="C64" s="3" t="n"/>
      <c r="D64" s="3" t="n"/>
      <c r="E64" s="3" t="n"/>
      <c r="G64" s="16">
        <f>IF(AND(D64="Tam gün",COUNTIFS($A$2:A64,A64,$D$2:D64,"Tam gün")=1),A64,0)</f>
        <v/>
      </c>
      <c r="H64" s="16">
        <f>IF(AND(D64="Yarım gün",COUNTIFS($A$2:A64,A64,$D$2:D64,"Yarım gün")=1),A64,0)</f>
        <v/>
      </c>
      <c r="I64" s="2">
        <f>IF(AND(ISNUMBER(A64),Hesapla!$B$18="Uyarı yok.",A64&gt;=Hesapla!$B$16,A64&lt;=Hesapla!$B$17),MAX(I$1:I63)+1,"")</f>
        <v/>
      </c>
    </row>
    <row r="65">
      <c r="A65" s="6" t="n"/>
      <c r="B65">
        <f>IF(A65="","",CHOOSE(WEEKDAY(A65,2),"Pazartesi","Salı","Çarşamba","Perşembe","Cuma","Cumartesi","Pazar"))</f>
        <v/>
      </c>
      <c r="C65" s="3" t="n"/>
      <c r="D65" s="3" t="n"/>
      <c r="E65" s="3" t="n"/>
      <c r="G65" s="16">
        <f>IF(AND(D65="Tam gün",COUNTIFS($A$2:A65,A65,$D$2:D65,"Tam gün")=1),A65,0)</f>
        <v/>
      </c>
      <c r="H65" s="16">
        <f>IF(AND(D65="Yarım gün",COUNTIFS($A$2:A65,A65,$D$2:D65,"Yarım gün")=1),A65,0)</f>
        <v/>
      </c>
      <c r="I65" s="2">
        <f>IF(AND(ISNUMBER(A65),Hesapla!$B$18="Uyarı yok.",A65&gt;=Hesapla!$B$16,A65&lt;=Hesapla!$B$17),MAX(I$1:I64)+1,"")</f>
        <v/>
      </c>
    </row>
    <row r="66">
      <c r="A66" s="6" t="n"/>
      <c r="B66">
        <f>IF(A66="","",CHOOSE(WEEKDAY(A66,2),"Pazartesi","Salı","Çarşamba","Perşembe","Cuma","Cumartesi","Pazar"))</f>
        <v/>
      </c>
      <c r="C66" s="3" t="n"/>
      <c r="D66" s="3" t="n"/>
      <c r="E66" s="3" t="n"/>
      <c r="G66" s="16">
        <f>IF(AND(D66="Tam gün",COUNTIFS($A$2:A66,A66,$D$2:D66,"Tam gün")=1),A66,0)</f>
        <v/>
      </c>
      <c r="H66" s="16">
        <f>IF(AND(D66="Yarım gün",COUNTIFS($A$2:A66,A66,$D$2:D66,"Yarım gün")=1),A66,0)</f>
        <v/>
      </c>
      <c r="I66" s="2">
        <f>IF(AND(ISNUMBER(A66),Hesapla!$B$18="Uyarı yok.",A66&gt;=Hesapla!$B$16,A66&lt;=Hesapla!$B$17),MAX(I$1:I65)+1,"")</f>
        <v/>
      </c>
    </row>
    <row r="67">
      <c r="A67" s="6" t="n"/>
      <c r="B67">
        <f>IF(A67="","",CHOOSE(WEEKDAY(A67,2),"Pazartesi","Salı","Çarşamba","Perşembe","Cuma","Cumartesi","Pazar"))</f>
        <v/>
      </c>
      <c r="C67" s="3" t="n"/>
      <c r="D67" s="3" t="n"/>
      <c r="E67" s="3" t="n"/>
      <c r="G67" s="16">
        <f>IF(AND(D67="Tam gün",COUNTIFS($A$2:A67,A67,$D$2:D67,"Tam gün")=1),A67,0)</f>
        <v/>
      </c>
      <c r="H67" s="16">
        <f>IF(AND(D67="Yarım gün",COUNTIFS($A$2:A67,A67,$D$2:D67,"Yarım gün")=1),A67,0)</f>
        <v/>
      </c>
      <c r="I67" s="2">
        <f>IF(AND(ISNUMBER(A67),Hesapla!$B$18="Uyarı yok.",A67&gt;=Hesapla!$B$16,A67&lt;=Hesapla!$B$17),MAX(I$1:I66)+1,"")</f>
        <v/>
      </c>
    </row>
    <row r="68">
      <c r="A68" s="6" t="n"/>
      <c r="B68">
        <f>IF(A68="","",CHOOSE(WEEKDAY(A68,2),"Pazartesi","Salı","Çarşamba","Perşembe","Cuma","Cumartesi","Pazar"))</f>
        <v/>
      </c>
      <c r="C68" s="3" t="n"/>
      <c r="D68" s="3" t="n"/>
      <c r="E68" s="3" t="n"/>
      <c r="G68" s="16">
        <f>IF(AND(D68="Tam gün",COUNTIFS($A$2:A68,A68,$D$2:D68,"Tam gün")=1),A68,0)</f>
        <v/>
      </c>
      <c r="H68" s="16">
        <f>IF(AND(D68="Yarım gün",COUNTIFS($A$2:A68,A68,$D$2:D68,"Yarım gün")=1),A68,0)</f>
        <v/>
      </c>
      <c r="I68" s="2">
        <f>IF(AND(ISNUMBER(A68),Hesapla!$B$18="Uyarı yok.",A68&gt;=Hesapla!$B$16,A68&lt;=Hesapla!$B$17),MAX(I$1:I67)+1,"")</f>
        <v/>
      </c>
    </row>
    <row r="69">
      <c r="A69" s="6" t="n"/>
      <c r="B69">
        <f>IF(A69="","",CHOOSE(WEEKDAY(A69,2),"Pazartesi","Salı","Çarşamba","Perşembe","Cuma","Cumartesi","Pazar"))</f>
        <v/>
      </c>
      <c r="C69" s="3" t="n"/>
      <c r="D69" s="3" t="n"/>
      <c r="E69" s="3" t="n"/>
      <c r="G69" s="16">
        <f>IF(AND(D69="Tam gün",COUNTIFS($A$2:A69,A69,$D$2:D69,"Tam gün")=1),A69,0)</f>
        <v/>
      </c>
      <c r="H69" s="16">
        <f>IF(AND(D69="Yarım gün",COUNTIFS($A$2:A69,A69,$D$2:D69,"Yarım gün")=1),A69,0)</f>
        <v/>
      </c>
      <c r="I69" s="2">
        <f>IF(AND(ISNUMBER(A69),Hesapla!$B$18="Uyarı yok.",A69&gt;=Hesapla!$B$16,A69&lt;=Hesapla!$B$17),MAX(I$1:I68)+1,"")</f>
        <v/>
      </c>
    </row>
    <row r="70">
      <c r="A70" s="6" t="n"/>
      <c r="B70">
        <f>IF(A70="","",CHOOSE(WEEKDAY(A70,2),"Pazartesi","Salı","Çarşamba","Perşembe","Cuma","Cumartesi","Pazar"))</f>
        <v/>
      </c>
      <c r="C70" s="3" t="n"/>
      <c r="D70" s="3" t="n"/>
      <c r="E70" s="3" t="n"/>
      <c r="G70" s="16">
        <f>IF(AND(D70="Tam gün",COUNTIFS($A$2:A70,A70,$D$2:D70,"Tam gün")=1),A70,0)</f>
        <v/>
      </c>
      <c r="H70" s="16">
        <f>IF(AND(D70="Yarım gün",COUNTIFS($A$2:A70,A70,$D$2:D70,"Yarım gün")=1),A70,0)</f>
        <v/>
      </c>
      <c r="I70" s="2">
        <f>IF(AND(ISNUMBER(A70),Hesapla!$B$18="Uyarı yok.",A70&gt;=Hesapla!$B$16,A70&lt;=Hesapla!$B$17),MAX(I$1:I69)+1,"")</f>
        <v/>
      </c>
    </row>
    <row r="71">
      <c r="A71" s="6" t="n"/>
      <c r="B71">
        <f>IF(A71="","",CHOOSE(WEEKDAY(A71,2),"Pazartesi","Salı","Çarşamba","Perşembe","Cuma","Cumartesi","Pazar"))</f>
        <v/>
      </c>
      <c r="C71" s="3" t="n"/>
      <c r="D71" s="3" t="n"/>
      <c r="E71" s="3" t="n"/>
      <c r="G71" s="16">
        <f>IF(AND(D71="Tam gün",COUNTIFS($A$2:A71,A71,$D$2:D71,"Tam gün")=1),A71,0)</f>
        <v/>
      </c>
      <c r="H71" s="16">
        <f>IF(AND(D71="Yarım gün",COUNTIFS($A$2:A71,A71,$D$2:D71,"Yarım gün")=1),A71,0)</f>
        <v/>
      </c>
      <c r="I71" s="2">
        <f>IF(AND(ISNUMBER(A71),Hesapla!$B$18="Uyarı yok.",A71&gt;=Hesapla!$B$16,A71&lt;=Hesapla!$B$17),MAX(I$1:I70)+1,"")</f>
        <v/>
      </c>
    </row>
    <row r="72">
      <c r="A72" s="6" t="n"/>
      <c r="B72">
        <f>IF(A72="","",CHOOSE(WEEKDAY(A72,2),"Pazartesi","Salı","Çarşamba","Perşembe","Cuma","Cumartesi","Pazar"))</f>
        <v/>
      </c>
      <c r="C72" s="3" t="n"/>
      <c r="D72" s="3" t="n"/>
      <c r="E72" s="3" t="n"/>
      <c r="G72" s="16">
        <f>IF(AND(D72="Tam gün",COUNTIFS($A$2:A72,A72,$D$2:D72,"Tam gün")=1),A72,0)</f>
        <v/>
      </c>
      <c r="H72" s="16">
        <f>IF(AND(D72="Yarım gün",COUNTIFS($A$2:A72,A72,$D$2:D72,"Yarım gün")=1),A72,0)</f>
        <v/>
      </c>
      <c r="I72" s="2">
        <f>IF(AND(ISNUMBER(A72),Hesapla!$B$18="Uyarı yok.",A72&gt;=Hesapla!$B$16,A72&lt;=Hesapla!$B$17),MAX(I$1:I71)+1,"")</f>
        <v/>
      </c>
    </row>
    <row r="73">
      <c r="A73" s="6" t="n"/>
      <c r="B73">
        <f>IF(A73="","",CHOOSE(WEEKDAY(A73,2),"Pazartesi","Salı","Çarşamba","Perşembe","Cuma","Cumartesi","Pazar"))</f>
        <v/>
      </c>
      <c r="C73" s="3" t="n"/>
      <c r="D73" s="3" t="n"/>
      <c r="E73" s="3" t="n"/>
      <c r="G73" s="16">
        <f>IF(AND(D73="Tam gün",COUNTIFS($A$2:A73,A73,$D$2:D73,"Tam gün")=1),A73,0)</f>
        <v/>
      </c>
      <c r="H73" s="16">
        <f>IF(AND(D73="Yarım gün",COUNTIFS($A$2:A73,A73,$D$2:D73,"Yarım gün")=1),A73,0)</f>
        <v/>
      </c>
      <c r="I73" s="2">
        <f>IF(AND(ISNUMBER(A73),Hesapla!$B$18="Uyarı yok.",A73&gt;=Hesapla!$B$16,A73&lt;=Hesapla!$B$17),MAX(I$1:I72)+1,"")</f>
        <v/>
      </c>
    </row>
    <row r="74">
      <c r="A74" s="6" t="n"/>
      <c r="B74">
        <f>IF(A74="","",CHOOSE(WEEKDAY(A74,2),"Pazartesi","Salı","Çarşamba","Perşembe","Cuma","Cumartesi","Pazar"))</f>
        <v/>
      </c>
      <c r="C74" s="3" t="n"/>
      <c r="D74" s="3" t="n"/>
      <c r="E74" s="3" t="n"/>
      <c r="G74" s="16">
        <f>IF(AND(D74="Tam gün",COUNTIFS($A$2:A74,A74,$D$2:D74,"Tam gün")=1),A74,0)</f>
        <v/>
      </c>
      <c r="H74" s="16">
        <f>IF(AND(D74="Yarım gün",COUNTIFS($A$2:A74,A74,$D$2:D74,"Yarım gün")=1),A74,0)</f>
        <v/>
      </c>
      <c r="I74" s="2">
        <f>IF(AND(ISNUMBER(A74),Hesapla!$B$18="Uyarı yok.",A74&gt;=Hesapla!$B$16,A74&lt;=Hesapla!$B$17),MAX(I$1:I73)+1,"")</f>
        <v/>
      </c>
    </row>
    <row r="75">
      <c r="A75" s="6" t="n"/>
      <c r="B75">
        <f>IF(A75="","",CHOOSE(WEEKDAY(A75,2),"Pazartesi","Salı","Çarşamba","Perşembe","Cuma","Cumartesi","Pazar"))</f>
        <v/>
      </c>
      <c r="C75" s="3" t="n"/>
      <c r="D75" s="3" t="n"/>
      <c r="E75" s="3" t="n"/>
      <c r="G75" s="16">
        <f>IF(AND(D75="Tam gün",COUNTIFS($A$2:A75,A75,$D$2:D75,"Tam gün")=1),A75,0)</f>
        <v/>
      </c>
      <c r="H75" s="16">
        <f>IF(AND(D75="Yarım gün",COUNTIFS($A$2:A75,A75,$D$2:D75,"Yarım gün")=1),A75,0)</f>
        <v/>
      </c>
      <c r="I75" s="2">
        <f>IF(AND(ISNUMBER(A75),Hesapla!$B$18="Uyarı yok.",A75&gt;=Hesapla!$B$16,A75&lt;=Hesapla!$B$17),MAX(I$1:I74)+1,"")</f>
        <v/>
      </c>
    </row>
    <row r="76">
      <c r="A76" s="6" t="n"/>
      <c r="B76">
        <f>IF(A76="","",CHOOSE(WEEKDAY(A76,2),"Pazartesi","Salı","Çarşamba","Perşembe","Cuma","Cumartesi","Pazar"))</f>
        <v/>
      </c>
      <c r="C76" s="3" t="n"/>
      <c r="D76" s="3" t="n"/>
      <c r="E76" s="3" t="n"/>
      <c r="G76" s="16">
        <f>IF(AND(D76="Tam gün",COUNTIFS($A$2:A76,A76,$D$2:D76,"Tam gün")=1),A76,0)</f>
        <v/>
      </c>
      <c r="H76" s="16">
        <f>IF(AND(D76="Yarım gün",COUNTIFS($A$2:A76,A76,$D$2:D76,"Yarım gün")=1),A76,0)</f>
        <v/>
      </c>
      <c r="I76" s="2">
        <f>IF(AND(ISNUMBER(A76),Hesapla!$B$18="Uyarı yok.",A76&gt;=Hesapla!$B$16,A76&lt;=Hesapla!$B$17),MAX(I$1:I75)+1,"")</f>
        <v/>
      </c>
    </row>
    <row r="77">
      <c r="A77" s="6" t="n"/>
      <c r="B77">
        <f>IF(A77="","",CHOOSE(WEEKDAY(A77,2),"Pazartesi","Salı","Çarşamba","Perşembe","Cuma","Cumartesi","Pazar"))</f>
        <v/>
      </c>
      <c r="C77" s="3" t="n"/>
      <c r="D77" s="3" t="n"/>
      <c r="E77" s="3" t="n"/>
      <c r="G77" s="16">
        <f>IF(AND(D77="Tam gün",COUNTIFS($A$2:A77,A77,$D$2:D77,"Tam gün")=1),A77,0)</f>
        <v/>
      </c>
      <c r="H77" s="16">
        <f>IF(AND(D77="Yarım gün",COUNTIFS($A$2:A77,A77,$D$2:D77,"Yarım gün")=1),A77,0)</f>
        <v/>
      </c>
      <c r="I77" s="2">
        <f>IF(AND(ISNUMBER(A77),Hesapla!$B$18="Uyarı yok.",A77&gt;=Hesapla!$B$16,A77&lt;=Hesapla!$B$17),MAX(I$1:I76)+1,"")</f>
        <v/>
      </c>
    </row>
    <row r="78">
      <c r="A78" s="6" t="n"/>
      <c r="B78">
        <f>IF(A78="","",CHOOSE(WEEKDAY(A78,2),"Pazartesi","Salı","Çarşamba","Perşembe","Cuma","Cumartesi","Pazar"))</f>
        <v/>
      </c>
      <c r="C78" s="3" t="n"/>
      <c r="D78" s="3" t="n"/>
      <c r="E78" s="3" t="n"/>
      <c r="G78" s="16">
        <f>IF(AND(D78="Tam gün",COUNTIFS($A$2:A78,A78,$D$2:D78,"Tam gün")=1),A78,0)</f>
        <v/>
      </c>
      <c r="H78" s="16">
        <f>IF(AND(D78="Yarım gün",COUNTIFS($A$2:A78,A78,$D$2:D78,"Yarım gün")=1),A78,0)</f>
        <v/>
      </c>
      <c r="I78" s="2">
        <f>IF(AND(ISNUMBER(A78),Hesapla!$B$18="Uyarı yok.",A78&gt;=Hesapla!$B$16,A78&lt;=Hesapla!$B$17),MAX(I$1:I77)+1,"")</f>
        <v/>
      </c>
    </row>
    <row r="79">
      <c r="A79" s="6" t="n"/>
      <c r="B79">
        <f>IF(A79="","",CHOOSE(WEEKDAY(A79,2),"Pazartesi","Salı","Çarşamba","Perşembe","Cuma","Cumartesi","Pazar"))</f>
        <v/>
      </c>
      <c r="C79" s="3" t="n"/>
      <c r="D79" s="3" t="n"/>
      <c r="E79" s="3" t="n"/>
      <c r="G79" s="16">
        <f>IF(AND(D79="Tam gün",COUNTIFS($A$2:A79,A79,$D$2:D79,"Tam gün")=1),A79,0)</f>
        <v/>
      </c>
      <c r="H79" s="16">
        <f>IF(AND(D79="Yarım gün",COUNTIFS($A$2:A79,A79,$D$2:D79,"Yarım gün")=1),A79,0)</f>
        <v/>
      </c>
      <c r="I79" s="2">
        <f>IF(AND(ISNUMBER(A79),Hesapla!$B$18="Uyarı yok.",A79&gt;=Hesapla!$B$16,A79&lt;=Hesapla!$B$17),MAX(I$1:I78)+1,"")</f>
        <v/>
      </c>
    </row>
    <row r="80">
      <c r="A80" s="6" t="n"/>
      <c r="B80">
        <f>IF(A80="","",CHOOSE(WEEKDAY(A80,2),"Pazartesi","Salı","Çarşamba","Perşembe","Cuma","Cumartesi","Pazar"))</f>
        <v/>
      </c>
      <c r="C80" s="3" t="n"/>
      <c r="D80" s="3" t="n"/>
      <c r="E80" s="3" t="n"/>
      <c r="G80" s="16">
        <f>IF(AND(D80="Tam gün",COUNTIFS($A$2:A80,A80,$D$2:D80,"Tam gün")=1),A80,0)</f>
        <v/>
      </c>
      <c r="H80" s="16">
        <f>IF(AND(D80="Yarım gün",COUNTIFS($A$2:A80,A80,$D$2:D80,"Yarım gün")=1),A80,0)</f>
        <v/>
      </c>
      <c r="I80" s="2">
        <f>IF(AND(ISNUMBER(A80),Hesapla!$B$18="Uyarı yok.",A80&gt;=Hesapla!$B$16,A80&lt;=Hesapla!$B$17),MAX(I$1:I79)+1,"")</f>
        <v/>
      </c>
    </row>
    <row r="81">
      <c r="A81" s="6" t="n"/>
      <c r="B81">
        <f>IF(A81="","",CHOOSE(WEEKDAY(A81,2),"Pazartesi","Salı","Çarşamba","Perşembe","Cuma","Cumartesi","Pazar"))</f>
        <v/>
      </c>
      <c r="C81" s="3" t="n"/>
      <c r="D81" s="3" t="n"/>
      <c r="E81" s="3" t="n"/>
      <c r="G81" s="16">
        <f>IF(AND(D81="Tam gün",COUNTIFS($A$2:A81,A81,$D$2:D81,"Tam gün")=1),A81,0)</f>
        <v/>
      </c>
      <c r="H81" s="16">
        <f>IF(AND(D81="Yarım gün",COUNTIFS($A$2:A81,A81,$D$2:D81,"Yarım gün")=1),A81,0)</f>
        <v/>
      </c>
      <c r="I81" s="2">
        <f>IF(AND(ISNUMBER(A81),Hesapla!$B$18="Uyarı yok.",A81&gt;=Hesapla!$B$16,A81&lt;=Hesapla!$B$17),MAX(I$1:I80)+1,"")</f>
        <v/>
      </c>
    </row>
    <row r="82">
      <c r="A82" s="6" t="n"/>
      <c r="B82">
        <f>IF(A82="","",CHOOSE(WEEKDAY(A82,2),"Pazartesi","Salı","Çarşamba","Perşembe","Cuma","Cumartesi","Pazar"))</f>
        <v/>
      </c>
      <c r="C82" s="3" t="n"/>
      <c r="D82" s="3" t="n"/>
      <c r="E82" s="3" t="n"/>
      <c r="G82" s="16">
        <f>IF(AND(D82="Tam gün",COUNTIFS($A$2:A82,A82,$D$2:D82,"Tam gün")=1),A82,0)</f>
        <v/>
      </c>
      <c r="H82" s="16">
        <f>IF(AND(D82="Yarım gün",COUNTIFS($A$2:A82,A82,$D$2:D82,"Yarım gün")=1),A82,0)</f>
        <v/>
      </c>
      <c r="I82" s="2">
        <f>IF(AND(ISNUMBER(A82),Hesapla!$B$18="Uyarı yok.",A82&gt;=Hesapla!$B$16,A82&lt;=Hesapla!$B$17),MAX(I$1:I81)+1,"")</f>
        <v/>
      </c>
    </row>
    <row r="83">
      <c r="A83" s="7" t="n"/>
      <c r="B83">
        <f>IF(A83="","",CHOOSE(WEEKDAY(A83,2),"Pazartesi","Salı","Çarşamba","Perşembe","Cuma","Cumartesi","Pazar"))</f>
        <v/>
      </c>
      <c r="G83" s="16">
        <f>IF(AND(D83="Tam gün",COUNTIFS($A$2:A83,A83,$D$2:D83,"Tam gün")=1),A83,0)</f>
        <v/>
      </c>
      <c r="H83" s="16">
        <f>IF(AND(D83="Yarım gün",COUNTIFS($A$2:A83,A83,$D$2:D83,"Yarım gün")=1),A83,0)</f>
        <v/>
      </c>
      <c r="I83" s="2">
        <f>IF(AND(ISNUMBER(A83),Hesapla!$B$18="Uyarı yok.",A83&gt;=Hesapla!$B$16,A83&lt;=Hesapla!$B$17),MAX(I$1:I82)+1,"")</f>
        <v/>
      </c>
    </row>
    <row r="84">
      <c r="A84" s="7" t="n"/>
      <c r="B84">
        <f>IF(A84="","",CHOOSE(WEEKDAY(A84,2),"Pazartesi","Salı","Çarşamba","Perşembe","Cuma","Cumartesi","Pazar"))</f>
        <v/>
      </c>
      <c r="G84" s="16">
        <f>IF(AND(D84="Tam gün",COUNTIFS($A$2:A84,A84,$D$2:D84,"Tam gün")=1),A84,0)</f>
        <v/>
      </c>
      <c r="H84" s="16">
        <f>IF(AND(D84="Yarım gün",COUNTIFS($A$2:A84,A84,$D$2:D84,"Yarım gün")=1),A84,0)</f>
        <v/>
      </c>
      <c r="I84" s="2">
        <f>IF(AND(ISNUMBER(A84),Hesapla!$B$18="Uyarı yok.",A84&gt;=Hesapla!$B$16,A84&lt;=Hesapla!$B$17),MAX(I$1:I83)+1,"")</f>
        <v/>
      </c>
    </row>
    <row r="85">
      <c r="A85" s="7" t="n"/>
      <c r="B85">
        <f>IF(A85="","",CHOOSE(WEEKDAY(A85,2),"Pazartesi","Salı","Çarşamba","Perşembe","Cuma","Cumartesi","Pazar"))</f>
        <v/>
      </c>
      <c r="G85" s="16">
        <f>IF(AND(D85="Tam gün",COUNTIFS($A$2:A85,A85,$D$2:D85,"Tam gün")=1),A85,0)</f>
        <v/>
      </c>
      <c r="H85" s="16">
        <f>IF(AND(D85="Yarım gün",COUNTIFS($A$2:A85,A85,$D$2:D85,"Yarım gün")=1),A85,0)</f>
        <v/>
      </c>
      <c r="I85" s="2">
        <f>IF(AND(ISNUMBER(A85),Hesapla!$B$18="Uyarı yok.",A85&gt;=Hesapla!$B$16,A85&lt;=Hesapla!$B$17),MAX(I$1:I84)+1,"")</f>
        <v/>
      </c>
    </row>
    <row r="86">
      <c r="A86" s="7" t="n"/>
      <c r="B86">
        <f>IF(A86="","",CHOOSE(WEEKDAY(A86,2),"Pazartesi","Salı","Çarşamba","Perşembe","Cuma","Cumartesi","Pazar"))</f>
        <v/>
      </c>
      <c r="G86" s="16">
        <f>IF(AND(D86="Tam gün",COUNTIFS($A$2:A86,A86,$D$2:D86,"Tam gün")=1),A86,0)</f>
        <v/>
      </c>
      <c r="H86" s="16">
        <f>IF(AND(D86="Yarım gün",COUNTIFS($A$2:A86,A86,$D$2:D86,"Yarım gün")=1),A86,0)</f>
        <v/>
      </c>
      <c r="I86" s="2">
        <f>IF(AND(ISNUMBER(A86),Hesapla!$B$18="Uyarı yok.",A86&gt;=Hesapla!$B$16,A86&lt;=Hesapla!$B$17),MAX(I$1:I85)+1,"")</f>
        <v/>
      </c>
    </row>
    <row r="87">
      <c r="A87" s="7" t="n"/>
      <c r="B87">
        <f>IF(A87="","",CHOOSE(WEEKDAY(A87,2),"Pazartesi","Salı","Çarşamba","Perşembe","Cuma","Cumartesi","Pazar"))</f>
        <v/>
      </c>
      <c r="G87" s="16">
        <f>IF(AND(D87="Tam gün",COUNTIFS($A$2:A87,A87,$D$2:D87,"Tam gün")=1),A87,0)</f>
        <v/>
      </c>
      <c r="H87" s="16">
        <f>IF(AND(D87="Yarım gün",COUNTIFS($A$2:A87,A87,$D$2:D87,"Yarım gün")=1),A87,0)</f>
        <v/>
      </c>
      <c r="I87" s="2">
        <f>IF(AND(ISNUMBER(A87),Hesapla!$B$18="Uyarı yok.",A87&gt;=Hesapla!$B$16,A87&lt;=Hesapla!$B$17),MAX(I$1:I86)+1,"")</f>
        <v/>
      </c>
    </row>
    <row r="88">
      <c r="A88" s="7" t="n"/>
      <c r="B88">
        <f>IF(A88="","",CHOOSE(WEEKDAY(A88,2),"Pazartesi","Salı","Çarşamba","Perşembe","Cuma","Cumartesi","Pazar"))</f>
        <v/>
      </c>
      <c r="G88" s="16">
        <f>IF(AND(D88="Tam gün",COUNTIFS($A$2:A88,A88,$D$2:D88,"Tam gün")=1),A88,0)</f>
        <v/>
      </c>
      <c r="H88" s="16">
        <f>IF(AND(D88="Yarım gün",COUNTIFS($A$2:A88,A88,$D$2:D88,"Yarım gün")=1),A88,0)</f>
        <v/>
      </c>
      <c r="I88" s="2">
        <f>IF(AND(ISNUMBER(A88),Hesapla!$B$18="Uyarı yok.",A88&gt;=Hesapla!$B$16,A88&lt;=Hesapla!$B$17),MAX(I$1:I87)+1,"")</f>
        <v/>
      </c>
    </row>
    <row r="89">
      <c r="A89" s="7" t="n"/>
      <c r="B89">
        <f>IF(A89="","",CHOOSE(WEEKDAY(A89,2),"Pazartesi","Salı","Çarşamba","Perşembe","Cuma","Cumartesi","Pazar"))</f>
        <v/>
      </c>
      <c r="G89" s="16">
        <f>IF(AND(D89="Tam gün",COUNTIFS($A$2:A89,A89,$D$2:D89,"Tam gün")=1),A89,0)</f>
        <v/>
      </c>
      <c r="H89" s="16">
        <f>IF(AND(D89="Yarım gün",COUNTIFS($A$2:A89,A89,$D$2:D89,"Yarım gün")=1),A89,0)</f>
        <v/>
      </c>
      <c r="I89" s="2">
        <f>IF(AND(ISNUMBER(A89),Hesapla!$B$18="Uyarı yok.",A89&gt;=Hesapla!$B$16,A89&lt;=Hesapla!$B$17),MAX(I$1:I88)+1,"")</f>
        <v/>
      </c>
    </row>
    <row r="90">
      <c r="A90" s="7" t="n"/>
      <c r="B90">
        <f>IF(A90="","",CHOOSE(WEEKDAY(A90,2),"Pazartesi","Salı","Çarşamba","Perşembe","Cuma","Cumartesi","Pazar"))</f>
        <v/>
      </c>
      <c r="G90" s="16">
        <f>IF(AND(D90="Tam gün",COUNTIFS($A$2:A90,A90,$D$2:D90,"Tam gün")=1),A90,0)</f>
        <v/>
      </c>
      <c r="H90" s="16">
        <f>IF(AND(D90="Yarım gün",COUNTIFS($A$2:A90,A90,$D$2:D90,"Yarım gün")=1),A90,0)</f>
        <v/>
      </c>
      <c r="I90" s="2">
        <f>IF(AND(ISNUMBER(A90),Hesapla!$B$18="Uyarı yok.",A90&gt;=Hesapla!$B$16,A90&lt;=Hesapla!$B$17),MAX(I$1:I89)+1,"")</f>
        <v/>
      </c>
    </row>
    <row r="91">
      <c r="A91" s="7" t="n"/>
      <c r="B91">
        <f>IF(A91="","",CHOOSE(WEEKDAY(A91,2),"Pazartesi","Salı","Çarşamba","Perşembe","Cuma","Cumartesi","Pazar"))</f>
        <v/>
      </c>
      <c r="G91" s="16">
        <f>IF(AND(D91="Tam gün",COUNTIFS($A$2:A91,A91,$D$2:D91,"Tam gün")=1),A91,0)</f>
        <v/>
      </c>
      <c r="H91" s="16">
        <f>IF(AND(D91="Yarım gün",COUNTIFS($A$2:A91,A91,$D$2:D91,"Yarım gün")=1),A91,0)</f>
        <v/>
      </c>
      <c r="I91" s="2">
        <f>IF(AND(ISNUMBER(A91),Hesapla!$B$18="Uyarı yok.",A91&gt;=Hesapla!$B$16,A91&lt;=Hesapla!$B$17),MAX(I$1:I90)+1,"")</f>
        <v/>
      </c>
    </row>
    <row r="92">
      <c r="A92" s="7" t="n"/>
      <c r="B92">
        <f>IF(A92="","",CHOOSE(WEEKDAY(A92,2),"Pazartesi","Salı","Çarşamba","Perşembe","Cuma","Cumartesi","Pazar"))</f>
        <v/>
      </c>
      <c r="G92" s="16">
        <f>IF(AND(D92="Tam gün",COUNTIFS($A$2:A92,A92,$D$2:D92,"Tam gün")=1),A92,0)</f>
        <v/>
      </c>
      <c r="H92" s="16">
        <f>IF(AND(D92="Yarım gün",COUNTIFS($A$2:A92,A92,$D$2:D92,"Yarım gün")=1),A92,0)</f>
        <v/>
      </c>
      <c r="I92" s="2">
        <f>IF(AND(ISNUMBER(A92),Hesapla!$B$18="Uyarı yok.",A92&gt;=Hesapla!$B$16,A92&lt;=Hesapla!$B$17),MAX(I$1:I91)+1,"")</f>
        <v/>
      </c>
    </row>
    <row r="93">
      <c r="A93" s="7" t="n"/>
      <c r="B93">
        <f>IF(A93="","",CHOOSE(WEEKDAY(A93,2),"Pazartesi","Salı","Çarşamba","Perşembe","Cuma","Cumartesi","Pazar"))</f>
        <v/>
      </c>
      <c r="G93" s="16">
        <f>IF(AND(D93="Tam gün",COUNTIFS($A$2:A93,A93,$D$2:D93,"Tam gün")=1),A93,0)</f>
        <v/>
      </c>
      <c r="H93" s="16">
        <f>IF(AND(D93="Yarım gün",COUNTIFS($A$2:A93,A93,$D$2:D93,"Yarım gün")=1),A93,0)</f>
        <v/>
      </c>
      <c r="I93" s="2">
        <f>IF(AND(ISNUMBER(A93),Hesapla!$B$18="Uyarı yok.",A93&gt;=Hesapla!$B$16,A93&lt;=Hesapla!$B$17),MAX(I$1:I92)+1,"")</f>
        <v/>
      </c>
    </row>
    <row r="94">
      <c r="A94" s="7" t="n"/>
      <c r="B94">
        <f>IF(A94="","",CHOOSE(WEEKDAY(A94,2),"Pazartesi","Salı","Çarşamba","Perşembe","Cuma","Cumartesi","Pazar"))</f>
        <v/>
      </c>
      <c r="G94" s="16">
        <f>IF(AND(D94="Tam gün",COUNTIFS($A$2:A94,A94,$D$2:D94,"Tam gün")=1),A94,0)</f>
        <v/>
      </c>
      <c r="H94" s="16">
        <f>IF(AND(D94="Yarım gün",COUNTIFS($A$2:A94,A94,$D$2:D94,"Yarım gün")=1),A94,0)</f>
        <v/>
      </c>
      <c r="I94" s="2">
        <f>IF(AND(ISNUMBER(A94),Hesapla!$B$18="Uyarı yok.",A94&gt;=Hesapla!$B$16,A94&lt;=Hesapla!$B$17),MAX(I$1:I93)+1,"")</f>
        <v/>
      </c>
    </row>
    <row r="95">
      <c r="A95" s="7" t="n"/>
      <c r="B95">
        <f>IF(A95="","",CHOOSE(WEEKDAY(A95,2),"Pazartesi","Salı","Çarşamba","Perşembe","Cuma","Cumartesi","Pazar"))</f>
        <v/>
      </c>
      <c r="G95" s="16">
        <f>IF(AND(D95="Tam gün",COUNTIFS($A$2:A95,A95,$D$2:D95,"Tam gün")=1),A95,0)</f>
        <v/>
      </c>
      <c r="H95" s="16">
        <f>IF(AND(D95="Yarım gün",COUNTIFS($A$2:A95,A95,$D$2:D95,"Yarım gün")=1),A95,0)</f>
        <v/>
      </c>
      <c r="I95" s="2">
        <f>IF(AND(ISNUMBER(A95),Hesapla!$B$18="Uyarı yok.",A95&gt;=Hesapla!$B$16,A95&lt;=Hesapla!$B$17),MAX(I$1:I94)+1,"")</f>
        <v/>
      </c>
    </row>
    <row r="96">
      <c r="A96" s="7" t="n"/>
      <c r="B96">
        <f>IF(A96="","",CHOOSE(WEEKDAY(A96,2),"Pazartesi","Salı","Çarşamba","Perşembe","Cuma","Cumartesi","Pazar"))</f>
        <v/>
      </c>
      <c r="G96" s="16">
        <f>IF(AND(D96="Tam gün",COUNTIFS($A$2:A96,A96,$D$2:D96,"Tam gün")=1),A96,0)</f>
        <v/>
      </c>
      <c r="H96" s="16">
        <f>IF(AND(D96="Yarım gün",COUNTIFS($A$2:A96,A96,$D$2:D96,"Yarım gün")=1),A96,0)</f>
        <v/>
      </c>
      <c r="I96" s="2">
        <f>IF(AND(ISNUMBER(A96),Hesapla!$B$18="Uyarı yok.",A96&gt;=Hesapla!$B$16,A96&lt;=Hesapla!$B$17),MAX(I$1:I95)+1,"")</f>
        <v/>
      </c>
    </row>
    <row r="97">
      <c r="A97" s="7" t="n"/>
      <c r="B97">
        <f>IF(A97="","",CHOOSE(WEEKDAY(A97,2),"Pazartesi","Salı","Çarşamba","Perşembe","Cuma","Cumartesi","Pazar"))</f>
        <v/>
      </c>
      <c r="G97" s="16">
        <f>IF(AND(D97="Tam gün",COUNTIFS($A$2:A97,A97,$D$2:D97,"Tam gün")=1),A97,0)</f>
        <v/>
      </c>
      <c r="H97" s="16">
        <f>IF(AND(D97="Yarım gün",COUNTIFS($A$2:A97,A97,$D$2:D97,"Yarım gün")=1),A97,0)</f>
        <v/>
      </c>
      <c r="I97" s="2">
        <f>IF(AND(ISNUMBER(A97),Hesapla!$B$18="Uyarı yok.",A97&gt;=Hesapla!$B$16,A97&lt;=Hesapla!$B$17),MAX(I$1:I96)+1,"")</f>
        <v/>
      </c>
    </row>
    <row r="98">
      <c r="A98" s="7" t="n"/>
      <c r="B98">
        <f>IF(A98="","",CHOOSE(WEEKDAY(A98,2),"Pazartesi","Salı","Çarşamba","Perşembe","Cuma","Cumartesi","Pazar"))</f>
        <v/>
      </c>
      <c r="G98" s="16">
        <f>IF(AND(D98="Tam gün",COUNTIFS($A$2:A98,A98,$D$2:D98,"Tam gün")=1),A98,0)</f>
        <v/>
      </c>
      <c r="H98" s="16">
        <f>IF(AND(D98="Yarım gün",COUNTIFS($A$2:A98,A98,$D$2:D98,"Yarım gün")=1),A98,0)</f>
        <v/>
      </c>
      <c r="I98" s="2">
        <f>IF(AND(ISNUMBER(A98),Hesapla!$B$18="Uyarı yok.",A98&gt;=Hesapla!$B$16,A98&lt;=Hesapla!$B$17),MAX(I$1:I97)+1,"")</f>
        <v/>
      </c>
    </row>
    <row r="99">
      <c r="A99" s="7" t="n"/>
      <c r="B99">
        <f>IF(A99="","",CHOOSE(WEEKDAY(A99,2),"Pazartesi","Salı","Çarşamba","Perşembe","Cuma","Cumartesi","Pazar"))</f>
        <v/>
      </c>
      <c r="G99" s="16">
        <f>IF(AND(D99="Tam gün",COUNTIFS($A$2:A99,A99,$D$2:D99,"Tam gün")=1),A99,0)</f>
        <v/>
      </c>
      <c r="H99" s="16">
        <f>IF(AND(D99="Yarım gün",COUNTIFS($A$2:A99,A99,$D$2:D99,"Yarım gün")=1),A99,0)</f>
        <v/>
      </c>
      <c r="I99" s="2">
        <f>IF(AND(ISNUMBER(A99),Hesapla!$B$18="Uyarı yok.",A99&gt;=Hesapla!$B$16,A99&lt;=Hesapla!$B$17),MAX(I$1:I98)+1,"")</f>
        <v/>
      </c>
    </row>
    <row r="100">
      <c r="A100" s="7" t="n"/>
      <c r="B100">
        <f>IF(A100="","",CHOOSE(WEEKDAY(A100,2),"Pazartesi","Salı","Çarşamba","Perşembe","Cuma","Cumartesi","Pazar"))</f>
        <v/>
      </c>
      <c r="G100" s="16">
        <f>IF(AND(D100="Tam gün",COUNTIFS($A$2:A100,A100,$D$2:D100,"Tam gün")=1),A100,0)</f>
        <v/>
      </c>
      <c r="H100" s="16">
        <f>IF(AND(D100="Yarım gün",COUNTIFS($A$2:A100,A100,$D$2:D100,"Yarım gün")=1),A100,0)</f>
        <v/>
      </c>
      <c r="I100" s="2">
        <f>IF(AND(ISNUMBER(A100),Hesapla!$B$18="Uyarı yok.",A100&gt;=Hesapla!$B$16,A100&lt;=Hesapla!$B$17),MAX(I$1:I99)+1,"")</f>
        <v/>
      </c>
    </row>
    <row r="101">
      <c r="A101" s="7" t="n"/>
      <c r="B101">
        <f>IF(A101="","",CHOOSE(WEEKDAY(A101,2),"Pazartesi","Salı","Çarşamba","Perşembe","Cuma","Cumartesi","Pazar"))</f>
        <v/>
      </c>
      <c r="G101" s="16">
        <f>IF(AND(D101="Tam gün",COUNTIFS($A$2:A101,A101,$D$2:D101,"Tam gün")=1),A101,0)</f>
        <v/>
      </c>
      <c r="H101" s="16">
        <f>IF(AND(D101="Yarım gün",COUNTIFS($A$2:A101,A101,$D$2:D101,"Yarım gün")=1),A101,0)</f>
        <v/>
      </c>
      <c r="I101" s="2">
        <f>IF(AND(ISNUMBER(A101),Hesapla!$B$18="Uyarı yok.",A101&gt;=Hesapla!$B$16,A101&lt;=Hesapla!$B$17),MAX(I$1:I100)+1,"")</f>
        <v/>
      </c>
    </row>
    <row r="102">
      <c r="A102" s="7" t="n"/>
      <c r="B102">
        <f>IF(A102="","",CHOOSE(WEEKDAY(A102,2),"Pazartesi","Salı","Çarşamba","Perşembe","Cuma","Cumartesi","Pazar"))</f>
        <v/>
      </c>
      <c r="G102" s="16">
        <f>IF(AND(D102="Tam gün",COUNTIFS($A$2:A102,A102,$D$2:D102,"Tam gün")=1),A102,0)</f>
        <v/>
      </c>
      <c r="H102" s="16">
        <f>IF(AND(D102="Yarım gün",COUNTIFS($A$2:A102,A102,$D$2:D102,"Yarım gün")=1),A102,0)</f>
        <v/>
      </c>
      <c r="I102" s="2">
        <f>IF(AND(ISNUMBER(A102),Hesapla!$B$18="Uyarı yok.",A102&gt;=Hesapla!$B$16,A102&lt;=Hesapla!$B$17),MAX(I$1:I101)+1,"")</f>
        <v/>
      </c>
    </row>
    <row r="103">
      <c r="A103" s="7" t="n"/>
      <c r="B103">
        <f>IF(A103="","",CHOOSE(WEEKDAY(A103,2),"Pazartesi","Salı","Çarşamba","Perşembe","Cuma","Cumartesi","Pazar"))</f>
        <v/>
      </c>
      <c r="G103" s="16">
        <f>IF(AND(D103="Tam gün",COUNTIFS($A$2:A103,A103,$D$2:D103,"Tam gün")=1),A103,0)</f>
        <v/>
      </c>
      <c r="H103" s="16">
        <f>IF(AND(D103="Yarım gün",COUNTIFS($A$2:A103,A103,$D$2:D103,"Yarım gün")=1),A103,0)</f>
        <v/>
      </c>
      <c r="I103" s="2">
        <f>IF(AND(ISNUMBER(A103),Hesapla!$B$18="Uyarı yok.",A103&gt;=Hesapla!$B$16,A103&lt;=Hesapla!$B$17),MAX(I$1:I102)+1,"")</f>
        <v/>
      </c>
    </row>
    <row r="104">
      <c r="A104" s="7" t="n"/>
      <c r="B104">
        <f>IF(A104="","",CHOOSE(WEEKDAY(A104,2),"Pazartesi","Salı","Çarşamba","Perşembe","Cuma","Cumartesi","Pazar"))</f>
        <v/>
      </c>
      <c r="G104" s="16">
        <f>IF(AND(D104="Tam gün",COUNTIFS($A$2:A104,A104,$D$2:D104,"Tam gün")=1),A104,0)</f>
        <v/>
      </c>
      <c r="H104" s="16">
        <f>IF(AND(D104="Yarım gün",COUNTIFS($A$2:A104,A104,$D$2:D104,"Yarım gün")=1),A104,0)</f>
        <v/>
      </c>
      <c r="I104" s="2">
        <f>IF(AND(ISNUMBER(A104),Hesapla!$B$18="Uyarı yok.",A104&gt;=Hesapla!$B$16,A104&lt;=Hesapla!$B$17),MAX(I$1:I103)+1,"")</f>
        <v/>
      </c>
    </row>
    <row r="105">
      <c r="A105" s="7" t="n"/>
      <c r="B105">
        <f>IF(A105="","",CHOOSE(WEEKDAY(A105,2),"Pazartesi","Salı","Çarşamba","Perşembe","Cuma","Cumartesi","Pazar"))</f>
        <v/>
      </c>
      <c r="G105" s="16">
        <f>IF(AND(D105="Tam gün",COUNTIFS($A$2:A105,A105,$D$2:D105,"Tam gün")=1),A105,0)</f>
        <v/>
      </c>
      <c r="H105" s="16">
        <f>IF(AND(D105="Yarım gün",COUNTIFS($A$2:A105,A105,$D$2:D105,"Yarım gün")=1),A105,0)</f>
        <v/>
      </c>
      <c r="I105" s="2">
        <f>IF(AND(ISNUMBER(A105),Hesapla!$B$18="Uyarı yok.",A105&gt;=Hesapla!$B$16,A105&lt;=Hesapla!$B$17),MAX(I$1:I104)+1,"")</f>
        <v/>
      </c>
    </row>
    <row r="106">
      <c r="A106" s="7" t="n"/>
      <c r="B106">
        <f>IF(A106="","",CHOOSE(WEEKDAY(A106,2),"Pazartesi","Salı","Çarşamba","Perşembe","Cuma","Cumartesi","Pazar"))</f>
        <v/>
      </c>
      <c r="G106" s="16">
        <f>IF(AND(D106="Tam gün",COUNTIFS($A$2:A106,A106,$D$2:D106,"Tam gün")=1),A106,0)</f>
        <v/>
      </c>
      <c r="H106" s="16">
        <f>IF(AND(D106="Yarım gün",COUNTIFS($A$2:A106,A106,$D$2:D106,"Yarım gün")=1),A106,0)</f>
        <v/>
      </c>
      <c r="I106" s="2">
        <f>IF(AND(ISNUMBER(A106),Hesapla!$B$18="Uyarı yok.",A106&gt;=Hesapla!$B$16,A106&lt;=Hesapla!$B$17),MAX(I$1:I105)+1,"")</f>
        <v/>
      </c>
    </row>
    <row r="107">
      <c r="A107" s="7" t="n"/>
      <c r="B107">
        <f>IF(A107="","",CHOOSE(WEEKDAY(A107,2),"Pazartesi","Salı","Çarşamba","Perşembe","Cuma","Cumartesi","Pazar"))</f>
        <v/>
      </c>
      <c r="G107" s="16">
        <f>IF(AND(D107="Tam gün",COUNTIFS($A$2:A107,A107,$D$2:D107,"Tam gün")=1),A107,0)</f>
        <v/>
      </c>
      <c r="H107" s="16">
        <f>IF(AND(D107="Yarım gün",COUNTIFS($A$2:A107,A107,$D$2:D107,"Yarım gün")=1),A107,0)</f>
        <v/>
      </c>
      <c r="I107" s="2">
        <f>IF(AND(ISNUMBER(A107),Hesapla!$B$18="Uyarı yok.",A107&gt;=Hesapla!$B$16,A107&lt;=Hesapla!$B$17),MAX(I$1:I106)+1,"")</f>
        <v/>
      </c>
    </row>
    <row r="108">
      <c r="A108" s="7" t="n"/>
      <c r="B108">
        <f>IF(A108="","",CHOOSE(WEEKDAY(A108,2),"Pazartesi","Salı","Çarşamba","Perşembe","Cuma","Cumartesi","Pazar"))</f>
        <v/>
      </c>
      <c r="G108" s="16">
        <f>IF(AND(D108="Tam gün",COUNTIFS($A$2:A108,A108,$D$2:D108,"Tam gün")=1),A108,0)</f>
        <v/>
      </c>
      <c r="H108" s="16">
        <f>IF(AND(D108="Yarım gün",COUNTIFS($A$2:A108,A108,$D$2:D108,"Yarım gün")=1),A108,0)</f>
        <v/>
      </c>
      <c r="I108" s="2">
        <f>IF(AND(ISNUMBER(A108),Hesapla!$B$18="Uyarı yok.",A108&gt;=Hesapla!$B$16,A108&lt;=Hesapla!$B$17),MAX(I$1:I107)+1,"")</f>
        <v/>
      </c>
    </row>
    <row r="109">
      <c r="A109" s="7" t="n"/>
      <c r="B109">
        <f>IF(A109="","",CHOOSE(WEEKDAY(A109,2),"Pazartesi","Salı","Çarşamba","Perşembe","Cuma","Cumartesi","Pazar"))</f>
        <v/>
      </c>
      <c r="G109" s="16">
        <f>IF(AND(D109="Tam gün",COUNTIFS($A$2:A109,A109,$D$2:D109,"Tam gün")=1),A109,0)</f>
        <v/>
      </c>
      <c r="H109" s="16">
        <f>IF(AND(D109="Yarım gün",COUNTIFS($A$2:A109,A109,$D$2:D109,"Yarım gün")=1),A109,0)</f>
        <v/>
      </c>
      <c r="I109" s="2">
        <f>IF(AND(ISNUMBER(A109),Hesapla!$B$18="Uyarı yok.",A109&gt;=Hesapla!$B$16,A109&lt;=Hesapla!$B$17),MAX(I$1:I108)+1,"")</f>
        <v/>
      </c>
    </row>
    <row r="110">
      <c r="A110" s="7" t="n"/>
      <c r="B110">
        <f>IF(A110="","",CHOOSE(WEEKDAY(A110,2),"Pazartesi","Salı","Çarşamba","Perşembe","Cuma","Cumartesi","Pazar"))</f>
        <v/>
      </c>
      <c r="G110" s="16">
        <f>IF(AND(D110="Tam gün",COUNTIFS($A$2:A110,A110,$D$2:D110,"Tam gün")=1),A110,0)</f>
        <v/>
      </c>
      <c r="H110" s="16">
        <f>IF(AND(D110="Yarım gün",COUNTIFS($A$2:A110,A110,$D$2:D110,"Yarım gün")=1),A110,0)</f>
        <v/>
      </c>
      <c r="I110" s="2">
        <f>IF(AND(ISNUMBER(A110),Hesapla!$B$18="Uyarı yok.",A110&gt;=Hesapla!$B$16,A110&lt;=Hesapla!$B$17),MAX(I$1:I109)+1,"")</f>
        <v/>
      </c>
    </row>
    <row r="111">
      <c r="A111" s="7" t="n"/>
      <c r="B111">
        <f>IF(A111="","",CHOOSE(WEEKDAY(A111,2),"Pazartesi","Salı","Çarşamba","Perşembe","Cuma","Cumartesi","Pazar"))</f>
        <v/>
      </c>
      <c r="G111" s="16">
        <f>IF(AND(D111="Tam gün",COUNTIFS($A$2:A111,A111,$D$2:D111,"Tam gün")=1),A111,0)</f>
        <v/>
      </c>
      <c r="H111" s="16">
        <f>IF(AND(D111="Yarım gün",COUNTIFS($A$2:A111,A111,$D$2:D111,"Yarım gün")=1),A111,0)</f>
        <v/>
      </c>
      <c r="I111" s="2">
        <f>IF(AND(ISNUMBER(A111),Hesapla!$B$18="Uyarı yok.",A111&gt;=Hesapla!$B$16,A111&lt;=Hesapla!$B$17),MAX(I$1:I110)+1,"")</f>
        <v/>
      </c>
    </row>
    <row r="112">
      <c r="A112" s="7" t="n"/>
      <c r="B112">
        <f>IF(A112="","",CHOOSE(WEEKDAY(A112,2),"Pazartesi","Salı","Çarşamba","Perşembe","Cuma","Cumartesi","Pazar"))</f>
        <v/>
      </c>
      <c r="G112" s="16">
        <f>IF(AND(D112="Tam gün",COUNTIFS($A$2:A112,A112,$D$2:D112,"Tam gün")=1),A112,0)</f>
        <v/>
      </c>
      <c r="H112" s="16">
        <f>IF(AND(D112="Yarım gün",COUNTIFS($A$2:A112,A112,$D$2:D112,"Yarım gün")=1),A112,0)</f>
        <v/>
      </c>
      <c r="I112" s="2">
        <f>IF(AND(ISNUMBER(A112),Hesapla!$B$18="Uyarı yok.",A112&gt;=Hesapla!$B$16,A112&lt;=Hesapla!$B$17),MAX(I$1:I111)+1,"")</f>
        <v/>
      </c>
    </row>
    <row r="113">
      <c r="A113" s="7" t="n"/>
      <c r="B113">
        <f>IF(A113="","",CHOOSE(WEEKDAY(A113,2),"Pazartesi","Salı","Çarşamba","Perşembe","Cuma","Cumartesi","Pazar"))</f>
        <v/>
      </c>
      <c r="G113" s="16">
        <f>IF(AND(D113="Tam gün",COUNTIFS($A$2:A113,A113,$D$2:D113,"Tam gün")=1),A113,0)</f>
        <v/>
      </c>
      <c r="H113" s="16">
        <f>IF(AND(D113="Yarım gün",COUNTIFS($A$2:A113,A113,$D$2:D113,"Yarım gün")=1),A113,0)</f>
        <v/>
      </c>
      <c r="I113" s="2">
        <f>IF(AND(ISNUMBER(A113),Hesapla!$B$18="Uyarı yok.",A113&gt;=Hesapla!$B$16,A113&lt;=Hesapla!$B$17),MAX(I$1:I112)+1,"")</f>
        <v/>
      </c>
    </row>
    <row r="114">
      <c r="A114" s="7" t="n"/>
      <c r="B114">
        <f>IF(A114="","",CHOOSE(WEEKDAY(A114,2),"Pazartesi","Salı","Çarşamba","Perşembe","Cuma","Cumartesi","Pazar"))</f>
        <v/>
      </c>
      <c r="G114" s="16">
        <f>IF(AND(D114="Tam gün",COUNTIFS($A$2:A114,A114,$D$2:D114,"Tam gün")=1),A114,0)</f>
        <v/>
      </c>
      <c r="H114" s="16">
        <f>IF(AND(D114="Yarım gün",COUNTIFS($A$2:A114,A114,$D$2:D114,"Yarım gün")=1),A114,0)</f>
        <v/>
      </c>
      <c r="I114" s="2">
        <f>IF(AND(ISNUMBER(A114),Hesapla!$B$18="Uyarı yok.",A114&gt;=Hesapla!$B$16,A114&lt;=Hesapla!$B$17),MAX(I$1:I113)+1,"")</f>
        <v/>
      </c>
    </row>
    <row r="115">
      <c r="A115" s="7" t="n"/>
      <c r="B115">
        <f>IF(A115="","",CHOOSE(WEEKDAY(A115,2),"Pazartesi","Salı","Çarşamba","Perşembe","Cuma","Cumartesi","Pazar"))</f>
        <v/>
      </c>
      <c r="G115" s="16">
        <f>IF(AND(D115="Tam gün",COUNTIFS($A$2:A115,A115,$D$2:D115,"Tam gün")=1),A115,0)</f>
        <v/>
      </c>
      <c r="H115" s="16">
        <f>IF(AND(D115="Yarım gün",COUNTIFS($A$2:A115,A115,$D$2:D115,"Yarım gün")=1),A115,0)</f>
        <v/>
      </c>
      <c r="I115" s="2">
        <f>IF(AND(ISNUMBER(A115),Hesapla!$B$18="Uyarı yok.",A115&gt;=Hesapla!$B$16,A115&lt;=Hesapla!$B$17),MAX(I$1:I114)+1,"")</f>
        <v/>
      </c>
    </row>
    <row r="116">
      <c r="A116" s="7" t="n"/>
      <c r="B116">
        <f>IF(A116="","",CHOOSE(WEEKDAY(A116,2),"Pazartesi","Salı","Çarşamba","Perşembe","Cuma","Cumartesi","Pazar"))</f>
        <v/>
      </c>
      <c r="G116" s="16">
        <f>IF(AND(D116="Tam gün",COUNTIFS($A$2:A116,A116,$D$2:D116,"Tam gün")=1),A116,0)</f>
        <v/>
      </c>
      <c r="H116" s="16">
        <f>IF(AND(D116="Yarım gün",COUNTIFS($A$2:A116,A116,$D$2:D116,"Yarım gün")=1),A116,0)</f>
        <v/>
      </c>
      <c r="I116" s="2">
        <f>IF(AND(ISNUMBER(A116),Hesapla!$B$18="Uyarı yok.",A116&gt;=Hesapla!$B$16,A116&lt;=Hesapla!$B$17),MAX(I$1:I115)+1,"")</f>
        <v/>
      </c>
    </row>
    <row r="117">
      <c r="A117" s="7" t="n"/>
      <c r="B117">
        <f>IF(A117="","",CHOOSE(WEEKDAY(A117,2),"Pazartesi","Salı","Çarşamba","Perşembe","Cuma","Cumartesi","Pazar"))</f>
        <v/>
      </c>
      <c r="G117" s="16">
        <f>IF(AND(D117="Tam gün",COUNTIFS($A$2:A117,A117,$D$2:D117,"Tam gün")=1),A117,0)</f>
        <v/>
      </c>
      <c r="H117" s="16">
        <f>IF(AND(D117="Yarım gün",COUNTIFS($A$2:A117,A117,$D$2:D117,"Yarım gün")=1),A117,0)</f>
        <v/>
      </c>
      <c r="I117" s="2">
        <f>IF(AND(ISNUMBER(A117),Hesapla!$B$18="Uyarı yok.",A117&gt;=Hesapla!$B$16,A117&lt;=Hesapla!$B$17),MAX(I$1:I116)+1,"")</f>
        <v/>
      </c>
    </row>
    <row r="118">
      <c r="A118" s="7" t="n"/>
      <c r="B118">
        <f>IF(A118="","",CHOOSE(WEEKDAY(A118,2),"Pazartesi","Salı","Çarşamba","Perşembe","Cuma","Cumartesi","Pazar"))</f>
        <v/>
      </c>
      <c r="G118" s="16">
        <f>IF(AND(D118="Tam gün",COUNTIFS($A$2:A118,A118,$D$2:D118,"Tam gün")=1),A118,0)</f>
        <v/>
      </c>
      <c r="H118" s="16">
        <f>IF(AND(D118="Yarım gün",COUNTIFS($A$2:A118,A118,$D$2:D118,"Yarım gün")=1),A118,0)</f>
        <v/>
      </c>
      <c r="I118" s="2">
        <f>IF(AND(ISNUMBER(A118),Hesapla!$B$18="Uyarı yok.",A118&gt;=Hesapla!$B$16,A118&lt;=Hesapla!$B$17),MAX(I$1:I117)+1,"")</f>
        <v/>
      </c>
    </row>
    <row r="119">
      <c r="A119" s="7" t="n"/>
      <c r="B119">
        <f>IF(A119="","",CHOOSE(WEEKDAY(A119,2),"Pazartesi","Salı","Çarşamba","Perşembe","Cuma","Cumartesi","Pazar"))</f>
        <v/>
      </c>
      <c r="G119" s="16">
        <f>IF(AND(D119="Tam gün",COUNTIFS($A$2:A119,A119,$D$2:D119,"Tam gün")=1),A119,0)</f>
        <v/>
      </c>
      <c r="H119" s="16">
        <f>IF(AND(D119="Yarım gün",COUNTIFS($A$2:A119,A119,$D$2:D119,"Yarım gün")=1),A119,0)</f>
        <v/>
      </c>
      <c r="I119" s="2">
        <f>IF(AND(ISNUMBER(A119),Hesapla!$B$18="Uyarı yok.",A119&gt;=Hesapla!$B$16,A119&lt;=Hesapla!$B$17),MAX(I$1:I118)+1,"")</f>
        <v/>
      </c>
    </row>
    <row r="120">
      <c r="A120" s="7" t="n"/>
      <c r="B120">
        <f>IF(A120="","",CHOOSE(WEEKDAY(A120,2),"Pazartesi","Salı","Çarşamba","Perşembe","Cuma","Cumartesi","Pazar"))</f>
        <v/>
      </c>
      <c r="G120" s="16">
        <f>IF(AND(D120="Tam gün",COUNTIFS($A$2:A120,A120,$D$2:D120,"Tam gün")=1),A120,0)</f>
        <v/>
      </c>
      <c r="H120" s="16">
        <f>IF(AND(D120="Yarım gün",COUNTIFS($A$2:A120,A120,$D$2:D120,"Yarım gün")=1),A120,0)</f>
        <v/>
      </c>
      <c r="I120" s="2">
        <f>IF(AND(ISNUMBER(A120),Hesapla!$B$18="Uyarı yok.",A120&gt;=Hesapla!$B$16,A120&lt;=Hesapla!$B$17),MAX(I$1:I119)+1,"")</f>
        <v/>
      </c>
    </row>
    <row r="121">
      <c r="A121" s="7" t="n"/>
      <c r="B121">
        <f>IF(A121="","",CHOOSE(WEEKDAY(A121,2),"Pazartesi","Salı","Çarşamba","Perşembe","Cuma","Cumartesi","Pazar"))</f>
        <v/>
      </c>
      <c r="G121" s="16">
        <f>IF(AND(D121="Tam gün",COUNTIFS($A$2:A121,A121,$D$2:D121,"Tam gün")=1),A121,0)</f>
        <v/>
      </c>
      <c r="H121" s="16">
        <f>IF(AND(D121="Yarım gün",COUNTIFS($A$2:A121,A121,$D$2:D121,"Yarım gün")=1),A121,0)</f>
        <v/>
      </c>
      <c r="I121" s="2">
        <f>IF(AND(ISNUMBER(A121),Hesapla!$B$18="Uyarı yok.",A121&gt;=Hesapla!$B$16,A121&lt;=Hesapla!$B$17),MAX(I$1:I120)+1,"")</f>
        <v/>
      </c>
    </row>
    <row r="122">
      <c r="A122" s="7" t="n"/>
      <c r="B122">
        <f>IF(A122="","",CHOOSE(WEEKDAY(A122,2),"Pazartesi","Salı","Çarşamba","Perşembe","Cuma","Cumartesi","Pazar"))</f>
        <v/>
      </c>
      <c r="G122" s="16">
        <f>IF(AND(D122="Tam gün",COUNTIFS($A$2:A122,A122,$D$2:D122,"Tam gün")=1),A122,0)</f>
        <v/>
      </c>
      <c r="H122" s="16">
        <f>IF(AND(D122="Yarım gün",COUNTIFS($A$2:A122,A122,$D$2:D122,"Yarım gün")=1),A122,0)</f>
        <v/>
      </c>
      <c r="I122" s="2">
        <f>IF(AND(ISNUMBER(A122),Hesapla!$B$18="Uyarı yok.",A122&gt;=Hesapla!$B$16,A122&lt;=Hesapla!$B$17),MAX(I$1:I121)+1,"")</f>
        <v/>
      </c>
    </row>
    <row r="123">
      <c r="A123" s="7" t="n"/>
      <c r="B123">
        <f>IF(A123="","",CHOOSE(WEEKDAY(A123,2),"Pazartesi","Salı","Çarşamba","Perşembe","Cuma","Cumartesi","Pazar"))</f>
        <v/>
      </c>
      <c r="G123" s="16">
        <f>IF(AND(D123="Tam gün",COUNTIFS($A$2:A123,A123,$D$2:D123,"Tam gün")=1),A123,0)</f>
        <v/>
      </c>
      <c r="H123" s="16">
        <f>IF(AND(D123="Yarım gün",COUNTIFS($A$2:A123,A123,$D$2:D123,"Yarım gün")=1),A123,0)</f>
        <v/>
      </c>
      <c r="I123" s="2">
        <f>IF(AND(ISNUMBER(A123),Hesapla!$B$18="Uyarı yok.",A123&gt;=Hesapla!$B$16,A123&lt;=Hesapla!$B$17),MAX(I$1:I122)+1,"")</f>
        <v/>
      </c>
    </row>
    <row r="124">
      <c r="A124" s="7" t="n"/>
      <c r="B124">
        <f>IF(A124="","",CHOOSE(WEEKDAY(A124,2),"Pazartesi","Salı","Çarşamba","Perşembe","Cuma","Cumartesi","Pazar"))</f>
        <v/>
      </c>
      <c r="G124" s="16">
        <f>IF(AND(D124="Tam gün",COUNTIFS($A$2:A124,A124,$D$2:D124,"Tam gün")=1),A124,0)</f>
        <v/>
      </c>
      <c r="H124" s="16">
        <f>IF(AND(D124="Yarım gün",COUNTIFS($A$2:A124,A124,$D$2:D124,"Yarım gün")=1),A124,0)</f>
        <v/>
      </c>
      <c r="I124" s="2">
        <f>IF(AND(ISNUMBER(A124),Hesapla!$B$18="Uyarı yok.",A124&gt;=Hesapla!$B$16,A124&lt;=Hesapla!$B$17),MAX(I$1:I123)+1,"")</f>
        <v/>
      </c>
    </row>
    <row r="125">
      <c r="A125" s="7" t="n"/>
      <c r="B125">
        <f>IF(A125="","",CHOOSE(WEEKDAY(A125,2),"Pazartesi","Salı","Çarşamba","Perşembe","Cuma","Cumartesi","Pazar"))</f>
        <v/>
      </c>
      <c r="G125" s="16">
        <f>IF(AND(D125="Tam gün",COUNTIFS($A$2:A125,A125,$D$2:D125,"Tam gün")=1),A125,0)</f>
        <v/>
      </c>
      <c r="H125" s="16">
        <f>IF(AND(D125="Yarım gün",COUNTIFS($A$2:A125,A125,$D$2:D125,"Yarım gün")=1),A125,0)</f>
        <v/>
      </c>
      <c r="I125" s="2">
        <f>IF(AND(ISNUMBER(A125),Hesapla!$B$18="Uyarı yok.",A125&gt;=Hesapla!$B$16,A125&lt;=Hesapla!$B$17),MAX(I$1:I124)+1,"")</f>
        <v/>
      </c>
    </row>
    <row r="126">
      <c r="A126" s="7" t="n"/>
      <c r="B126">
        <f>IF(A126="","",CHOOSE(WEEKDAY(A126,2),"Pazartesi","Salı","Çarşamba","Perşembe","Cuma","Cumartesi","Pazar"))</f>
        <v/>
      </c>
      <c r="G126" s="16">
        <f>IF(AND(D126="Tam gün",COUNTIFS($A$2:A126,A126,$D$2:D126,"Tam gün")=1),A126,0)</f>
        <v/>
      </c>
      <c r="H126" s="16">
        <f>IF(AND(D126="Yarım gün",COUNTIFS($A$2:A126,A126,$D$2:D126,"Yarım gün")=1),A126,0)</f>
        <v/>
      </c>
      <c r="I126" s="2">
        <f>IF(AND(ISNUMBER(A126),Hesapla!$B$18="Uyarı yok.",A126&gt;=Hesapla!$B$16,A126&lt;=Hesapla!$B$17),MAX(I$1:I125)+1,"")</f>
        <v/>
      </c>
    </row>
    <row r="127">
      <c r="A127" s="7" t="n"/>
      <c r="B127">
        <f>IF(A127="","",CHOOSE(WEEKDAY(A127,2),"Pazartesi","Salı","Çarşamba","Perşembe","Cuma","Cumartesi","Pazar"))</f>
        <v/>
      </c>
      <c r="G127" s="16">
        <f>IF(AND(D127="Tam gün",COUNTIFS($A$2:A127,A127,$D$2:D127,"Tam gün")=1),A127,0)</f>
        <v/>
      </c>
      <c r="H127" s="16">
        <f>IF(AND(D127="Yarım gün",COUNTIFS($A$2:A127,A127,$D$2:D127,"Yarım gün")=1),A127,0)</f>
        <v/>
      </c>
      <c r="I127" s="2">
        <f>IF(AND(ISNUMBER(A127),Hesapla!$B$18="Uyarı yok.",A127&gt;=Hesapla!$B$16,A127&lt;=Hesapla!$B$17),MAX(I$1:I126)+1,"")</f>
        <v/>
      </c>
    </row>
    <row r="128">
      <c r="A128" s="7" t="n"/>
      <c r="B128">
        <f>IF(A128="","",CHOOSE(WEEKDAY(A128,2),"Pazartesi","Salı","Çarşamba","Perşembe","Cuma","Cumartesi","Pazar"))</f>
        <v/>
      </c>
      <c r="G128" s="16">
        <f>IF(AND(D128="Tam gün",COUNTIFS($A$2:A128,A128,$D$2:D128,"Tam gün")=1),A128,0)</f>
        <v/>
      </c>
      <c r="H128" s="16">
        <f>IF(AND(D128="Yarım gün",COUNTIFS($A$2:A128,A128,$D$2:D128,"Yarım gün")=1),A128,0)</f>
        <v/>
      </c>
      <c r="I128" s="2">
        <f>IF(AND(ISNUMBER(A128),Hesapla!$B$18="Uyarı yok.",A128&gt;=Hesapla!$B$16,A128&lt;=Hesapla!$B$17),MAX(I$1:I127)+1,"")</f>
        <v/>
      </c>
    </row>
    <row r="129">
      <c r="A129" s="7" t="n"/>
      <c r="B129">
        <f>IF(A129="","",CHOOSE(WEEKDAY(A129,2),"Pazartesi","Salı","Çarşamba","Perşembe","Cuma","Cumartesi","Pazar"))</f>
        <v/>
      </c>
      <c r="G129" s="16">
        <f>IF(AND(D129="Tam gün",COUNTIFS($A$2:A129,A129,$D$2:D129,"Tam gün")=1),A129,0)</f>
        <v/>
      </c>
      <c r="H129" s="16">
        <f>IF(AND(D129="Yarım gün",COUNTIFS($A$2:A129,A129,$D$2:D129,"Yarım gün")=1),A129,0)</f>
        <v/>
      </c>
      <c r="I129" s="2">
        <f>IF(AND(ISNUMBER(A129),Hesapla!$B$18="Uyarı yok.",A129&gt;=Hesapla!$B$16,A129&lt;=Hesapla!$B$17),MAX(I$1:I128)+1,"")</f>
        <v/>
      </c>
    </row>
    <row r="130">
      <c r="A130" s="7" t="n"/>
      <c r="B130">
        <f>IF(A130="","",CHOOSE(WEEKDAY(A130,2),"Pazartesi","Salı","Çarşamba","Perşembe","Cuma","Cumartesi","Pazar"))</f>
        <v/>
      </c>
      <c r="G130" s="16">
        <f>IF(AND(D130="Tam gün",COUNTIFS($A$2:A130,A130,$D$2:D130,"Tam gün")=1),A130,0)</f>
        <v/>
      </c>
      <c r="H130" s="16">
        <f>IF(AND(D130="Yarım gün",COUNTIFS($A$2:A130,A130,$D$2:D130,"Yarım gün")=1),A130,0)</f>
        <v/>
      </c>
      <c r="I130" s="2">
        <f>IF(AND(ISNUMBER(A130),Hesapla!$B$18="Uyarı yok.",A130&gt;=Hesapla!$B$16,A130&lt;=Hesapla!$B$17),MAX(I$1:I129)+1,"")</f>
        <v/>
      </c>
    </row>
    <row r="131">
      <c r="A131" s="7" t="n"/>
      <c r="B131">
        <f>IF(A131="","",CHOOSE(WEEKDAY(A131,2),"Pazartesi","Salı","Çarşamba","Perşembe","Cuma","Cumartesi","Pazar"))</f>
        <v/>
      </c>
      <c r="G131" s="16">
        <f>IF(AND(D131="Tam gün",COUNTIFS($A$2:A131,A131,$D$2:D131,"Tam gün")=1),A131,0)</f>
        <v/>
      </c>
      <c r="H131" s="16">
        <f>IF(AND(D131="Yarım gün",COUNTIFS($A$2:A131,A131,$D$2:D131,"Yarım gün")=1),A131,0)</f>
        <v/>
      </c>
      <c r="I131" s="2">
        <f>IF(AND(ISNUMBER(A131),Hesapla!$B$18="Uyarı yok.",A131&gt;=Hesapla!$B$16,A131&lt;=Hesapla!$B$17),MAX(I$1:I130)+1,"")</f>
        <v/>
      </c>
    </row>
    <row r="132">
      <c r="A132" s="7" t="n"/>
      <c r="B132">
        <f>IF(A132="","",CHOOSE(WEEKDAY(A132,2),"Pazartesi","Salı","Çarşamba","Perşembe","Cuma","Cumartesi","Pazar"))</f>
        <v/>
      </c>
      <c r="G132" s="16">
        <f>IF(AND(D132="Tam gün",COUNTIFS($A$2:A132,A132,$D$2:D132,"Tam gün")=1),A132,0)</f>
        <v/>
      </c>
      <c r="H132" s="16">
        <f>IF(AND(D132="Yarım gün",COUNTIFS($A$2:A132,A132,$D$2:D132,"Yarım gün")=1),A132,0)</f>
        <v/>
      </c>
      <c r="I132" s="2">
        <f>IF(AND(ISNUMBER(A132),Hesapla!$B$18="Uyarı yok.",A132&gt;=Hesapla!$B$16,A132&lt;=Hesapla!$B$17),MAX(I$1:I131)+1,"")</f>
        <v/>
      </c>
    </row>
    <row r="133">
      <c r="A133" s="7" t="n"/>
      <c r="B133">
        <f>IF(A133="","",CHOOSE(WEEKDAY(A133,2),"Pazartesi","Salı","Çarşamba","Perşembe","Cuma","Cumartesi","Pazar"))</f>
        <v/>
      </c>
      <c r="G133" s="16">
        <f>IF(AND(D133="Tam gün",COUNTIFS($A$2:A133,A133,$D$2:D133,"Tam gün")=1),A133,0)</f>
        <v/>
      </c>
      <c r="H133" s="16">
        <f>IF(AND(D133="Yarım gün",COUNTIFS($A$2:A133,A133,$D$2:D133,"Yarım gün")=1),A133,0)</f>
        <v/>
      </c>
      <c r="I133" s="2">
        <f>IF(AND(ISNUMBER(A133),Hesapla!$B$18="Uyarı yok.",A133&gt;=Hesapla!$B$16,A133&lt;=Hesapla!$B$17),MAX(I$1:I132)+1,"")</f>
        <v/>
      </c>
    </row>
    <row r="134">
      <c r="A134" s="7" t="n"/>
      <c r="B134">
        <f>IF(A134="","",CHOOSE(WEEKDAY(A134,2),"Pazartesi","Salı","Çarşamba","Perşembe","Cuma","Cumartesi","Pazar"))</f>
        <v/>
      </c>
      <c r="G134" s="16">
        <f>IF(AND(D134="Tam gün",COUNTIFS($A$2:A134,A134,$D$2:D134,"Tam gün")=1),A134,0)</f>
        <v/>
      </c>
      <c r="H134" s="16">
        <f>IF(AND(D134="Yarım gün",COUNTIFS($A$2:A134,A134,$D$2:D134,"Yarım gün")=1),A134,0)</f>
        <v/>
      </c>
      <c r="I134" s="2">
        <f>IF(AND(ISNUMBER(A134),Hesapla!$B$18="Uyarı yok.",A134&gt;=Hesapla!$B$16,A134&lt;=Hesapla!$B$17),MAX(I$1:I133)+1,"")</f>
        <v/>
      </c>
    </row>
    <row r="135">
      <c r="A135" s="7" t="n"/>
      <c r="B135">
        <f>IF(A135="","",CHOOSE(WEEKDAY(A135,2),"Pazartesi","Salı","Çarşamba","Perşembe","Cuma","Cumartesi","Pazar"))</f>
        <v/>
      </c>
      <c r="G135" s="16">
        <f>IF(AND(D135="Tam gün",COUNTIFS($A$2:A135,A135,$D$2:D135,"Tam gün")=1),A135,0)</f>
        <v/>
      </c>
      <c r="H135" s="16">
        <f>IF(AND(D135="Yarım gün",COUNTIFS($A$2:A135,A135,$D$2:D135,"Yarım gün")=1),A135,0)</f>
        <v/>
      </c>
      <c r="I135" s="2">
        <f>IF(AND(ISNUMBER(A135),Hesapla!$B$18="Uyarı yok.",A135&gt;=Hesapla!$B$16,A135&lt;=Hesapla!$B$17),MAX(I$1:I134)+1,"")</f>
        <v/>
      </c>
    </row>
    <row r="136">
      <c r="A136" s="7" t="n"/>
      <c r="B136">
        <f>IF(A136="","",CHOOSE(WEEKDAY(A136,2),"Pazartesi","Salı","Çarşamba","Perşembe","Cuma","Cumartesi","Pazar"))</f>
        <v/>
      </c>
      <c r="G136" s="16">
        <f>IF(AND(D136="Tam gün",COUNTIFS($A$2:A136,A136,$D$2:D136,"Tam gün")=1),A136,0)</f>
        <v/>
      </c>
      <c r="H136" s="16">
        <f>IF(AND(D136="Yarım gün",COUNTIFS($A$2:A136,A136,$D$2:D136,"Yarım gün")=1),A136,0)</f>
        <v/>
      </c>
      <c r="I136" s="2">
        <f>IF(AND(ISNUMBER(A136),Hesapla!$B$18="Uyarı yok.",A136&gt;=Hesapla!$B$16,A136&lt;=Hesapla!$B$17),MAX(I$1:I135)+1,"")</f>
        <v/>
      </c>
    </row>
    <row r="137">
      <c r="A137" s="7" t="n"/>
      <c r="B137">
        <f>IF(A137="","",CHOOSE(WEEKDAY(A137,2),"Pazartesi","Salı","Çarşamba","Perşembe","Cuma","Cumartesi","Pazar"))</f>
        <v/>
      </c>
      <c r="G137" s="16">
        <f>IF(AND(D137="Tam gün",COUNTIFS($A$2:A137,A137,$D$2:D137,"Tam gün")=1),A137,0)</f>
        <v/>
      </c>
      <c r="H137" s="16">
        <f>IF(AND(D137="Yarım gün",COUNTIFS($A$2:A137,A137,$D$2:D137,"Yarım gün")=1),A137,0)</f>
        <v/>
      </c>
      <c r="I137" s="2">
        <f>IF(AND(ISNUMBER(A137),Hesapla!$B$18="Uyarı yok.",A137&gt;=Hesapla!$B$16,A137&lt;=Hesapla!$B$17),MAX(I$1:I136)+1,"")</f>
        <v/>
      </c>
    </row>
    <row r="138">
      <c r="A138" s="7" t="n"/>
      <c r="B138">
        <f>IF(A138="","",CHOOSE(WEEKDAY(A138,2),"Pazartesi","Salı","Çarşamba","Perşembe","Cuma","Cumartesi","Pazar"))</f>
        <v/>
      </c>
      <c r="G138" s="16">
        <f>IF(AND(D138="Tam gün",COUNTIFS($A$2:A138,A138,$D$2:D138,"Tam gün")=1),A138,0)</f>
        <v/>
      </c>
      <c r="H138" s="16">
        <f>IF(AND(D138="Yarım gün",COUNTIFS($A$2:A138,A138,$D$2:D138,"Yarım gün")=1),A138,0)</f>
        <v/>
      </c>
      <c r="I138" s="2">
        <f>IF(AND(ISNUMBER(A138),Hesapla!$B$18="Uyarı yok.",A138&gt;=Hesapla!$B$16,A138&lt;=Hesapla!$B$17),MAX(I$1:I137)+1,"")</f>
        <v/>
      </c>
    </row>
    <row r="139">
      <c r="A139" s="7" t="n"/>
      <c r="B139">
        <f>IF(A139="","",CHOOSE(WEEKDAY(A139,2),"Pazartesi","Salı","Çarşamba","Perşembe","Cuma","Cumartesi","Pazar"))</f>
        <v/>
      </c>
      <c r="G139" s="16">
        <f>IF(AND(D139="Tam gün",COUNTIFS($A$2:A139,A139,$D$2:D139,"Tam gün")=1),A139,0)</f>
        <v/>
      </c>
      <c r="H139" s="16">
        <f>IF(AND(D139="Yarım gün",COUNTIFS($A$2:A139,A139,$D$2:D139,"Yarım gün")=1),A139,0)</f>
        <v/>
      </c>
      <c r="I139" s="2">
        <f>IF(AND(ISNUMBER(A139),Hesapla!$B$18="Uyarı yok.",A139&gt;=Hesapla!$B$16,A139&lt;=Hesapla!$B$17),MAX(I$1:I138)+1,"")</f>
        <v/>
      </c>
    </row>
    <row r="140">
      <c r="A140" s="7" t="n"/>
      <c r="B140">
        <f>IF(A140="","",CHOOSE(WEEKDAY(A140,2),"Pazartesi","Salı","Çarşamba","Perşembe","Cuma","Cumartesi","Pazar"))</f>
        <v/>
      </c>
      <c r="G140" s="16">
        <f>IF(AND(D140="Tam gün",COUNTIFS($A$2:A140,A140,$D$2:D140,"Tam gün")=1),A140,0)</f>
        <v/>
      </c>
      <c r="H140" s="16">
        <f>IF(AND(D140="Yarım gün",COUNTIFS($A$2:A140,A140,$D$2:D140,"Yarım gün")=1),A140,0)</f>
        <v/>
      </c>
      <c r="I140" s="2">
        <f>IF(AND(ISNUMBER(A140),Hesapla!$B$18="Uyarı yok.",A140&gt;=Hesapla!$B$16,A140&lt;=Hesapla!$B$17),MAX(I$1:I139)+1,"")</f>
        <v/>
      </c>
    </row>
    <row r="141">
      <c r="A141" s="7" t="n"/>
      <c r="B141">
        <f>IF(A141="","",CHOOSE(WEEKDAY(A141,2),"Pazartesi","Salı","Çarşamba","Perşembe","Cuma","Cumartesi","Pazar"))</f>
        <v/>
      </c>
      <c r="G141" s="16">
        <f>IF(AND(D141="Tam gün",COUNTIFS($A$2:A141,A141,$D$2:D141,"Tam gün")=1),A141,0)</f>
        <v/>
      </c>
      <c r="H141" s="16">
        <f>IF(AND(D141="Yarım gün",COUNTIFS($A$2:A141,A141,$D$2:D141,"Yarım gün")=1),A141,0)</f>
        <v/>
      </c>
      <c r="I141" s="2">
        <f>IF(AND(ISNUMBER(A141),Hesapla!$B$18="Uyarı yok.",A141&gt;=Hesapla!$B$16,A141&lt;=Hesapla!$B$17),MAX(I$1:I140)+1,"")</f>
        <v/>
      </c>
    </row>
    <row r="142">
      <c r="A142" s="7" t="n"/>
      <c r="B142">
        <f>IF(A142="","",CHOOSE(WEEKDAY(A142,2),"Pazartesi","Salı","Çarşamba","Perşembe","Cuma","Cumartesi","Pazar"))</f>
        <v/>
      </c>
      <c r="G142" s="16">
        <f>IF(AND(D142="Tam gün",COUNTIFS($A$2:A142,A142,$D$2:D142,"Tam gün")=1),A142,0)</f>
        <v/>
      </c>
      <c r="H142" s="16">
        <f>IF(AND(D142="Yarım gün",COUNTIFS($A$2:A142,A142,$D$2:D142,"Yarım gün")=1),A142,0)</f>
        <v/>
      </c>
      <c r="I142" s="2">
        <f>IF(AND(ISNUMBER(A142),Hesapla!$B$18="Uyarı yok.",A142&gt;=Hesapla!$B$16,A142&lt;=Hesapla!$B$17),MAX(I$1:I141)+1,"")</f>
        <v/>
      </c>
    </row>
    <row r="143">
      <c r="A143" s="7" t="n"/>
      <c r="B143">
        <f>IF(A143="","",CHOOSE(WEEKDAY(A143,2),"Pazartesi","Salı","Çarşamba","Perşembe","Cuma","Cumartesi","Pazar"))</f>
        <v/>
      </c>
      <c r="G143" s="16">
        <f>IF(AND(D143="Tam gün",COUNTIFS($A$2:A143,A143,$D$2:D143,"Tam gün")=1),A143,0)</f>
        <v/>
      </c>
      <c r="H143" s="16">
        <f>IF(AND(D143="Yarım gün",COUNTIFS($A$2:A143,A143,$D$2:D143,"Yarım gün")=1),A143,0)</f>
        <v/>
      </c>
      <c r="I143" s="2">
        <f>IF(AND(ISNUMBER(A143),Hesapla!$B$18="Uyarı yok.",A143&gt;=Hesapla!$B$16,A143&lt;=Hesapla!$B$17),MAX(I$1:I142)+1,"")</f>
        <v/>
      </c>
    </row>
    <row r="144">
      <c r="A144" s="7" t="n"/>
      <c r="B144">
        <f>IF(A144="","",CHOOSE(WEEKDAY(A144,2),"Pazartesi","Salı","Çarşamba","Perşembe","Cuma","Cumartesi","Pazar"))</f>
        <v/>
      </c>
      <c r="G144" s="16">
        <f>IF(AND(D144="Tam gün",COUNTIFS($A$2:A144,A144,$D$2:D144,"Tam gün")=1),A144,0)</f>
        <v/>
      </c>
      <c r="H144" s="16">
        <f>IF(AND(D144="Yarım gün",COUNTIFS($A$2:A144,A144,$D$2:D144,"Yarım gün")=1),A144,0)</f>
        <v/>
      </c>
      <c r="I144" s="2">
        <f>IF(AND(ISNUMBER(A144),Hesapla!$B$18="Uyarı yok.",A144&gt;=Hesapla!$B$16,A144&lt;=Hesapla!$B$17),MAX(I$1:I143)+1,"")</f>
        <v/>
      </c>
    </row>
    <row r="145">
      <c r="A145" s="7" t="n"/>
      <c r="B145">
        <f>IF(A145="","",CHOOSE(WEEKDAY(A145,2),"Pazartesi","Salı","Çarşamba","Perşembe","Cuma","Cumartesi","Pazar"))</f>
        <v/>
      </c>
      <c r="G145" s="16">
        <f>IF(AND(D145="Tam gün",COUNTIFS($A$2:A145,A145,$D$2:D145,"Tam gün")=1),A145,0)</f>
        <v/>
      </c>
      <c r="H145" s="16">
        <f>IF(AND(D145="Yarım gün",COUNTIFS($A$2:A145,A145,$D$2:D145,"Yarım gün")=1),A145,0)</f>
        <v/>
      </c>
      <c r="I145" s="2">
        <f>IF(AND(ISNUMBER(A145),Hesapla!$B$18="Uyarı yok.",A145&gt;=Hesapla!$B$16,A145&lt;=Hesapla!$B$17),MAX(I$1:I144)+1,"")</f>
        <v/>
      </c>
    </row>
    <row r="146">
      <c r="A146" s="7" t="n"/>
      <c r="B146">
        <f>IF(A146="","",CHOOSE(WEEKDAY(A146,2),"Pazartesi","Salı","Çarşamba","Perşembe","Cuma","Cumartesi","Pazar"))</f>
        <v/>
      </c>
      <c r="G146" s="16">
        <f>IF(AND(D146="Tam gün",COUNTIFS($A$2:A146,A146,$D$2:D146,"Tam gün")=1),A146,0)</f>
        <v/>
      </c>
      <c r="H146" s="16">
        <f>IF(AND(D146="Yarım gün",COUNTIFS($A$2:A146,A146,$D$2:D146,"Yarım gün")=1),A146,0)</f>
        <v/>
      </c>
      <c r="I146" s="2">
        <f>IF(AND(ISNUMBER(A146),Hesapla!$B$18="Uyarı yok.",A146&gt;=Hesapla!$B$16,A146&lt;=Hesapla!$B$17),MAX(I$1:I145)+1,"")</f>
        <v/>
      </c>
    </row>
    <row r="147">
      <c r="A147" s="7" t="n"/>
      <c r="B147">
        <f>IF(A147="","",CHOOSE(WEEKDAY(A147,2),"Pazartesi","Salı","Çarşamba","Perşembe","Cuma","Cumartesi","Pazar"))</f>
        <v/>
      </c>
      <c r="G147" s="16">
        <f>IF(AND(D147="Tam gün",COUNTIFS($A$2:A147,A147,$D$2:D147,"Tam gün")=1),A147,0)</f>
        <v/>
      </c>
      <c r="H147" s="16">
        <f>IF(AND(D147="Yarım gün",COUNTIFS($A$2:A147,A147,$D$2:D147,"Yarım gün")=1),A147,0)</f>
        <v/>
      </c>
      <c r="I147" s="2">
        <f>IF(AND(ISNUMBER(A147),Hesapla!$B$18="Uyarı yok.",A147&gt;=Hesapla!$B$16,A147&lt;=Hesapla!$B$17),MAX(I$1:I146)+1,"")</f>
        <v/>
      </c>
    </row>
    <row r="148">
      <c r="A148" s="7" t="n"/>
      <c r="B148">
        <f>IF(A148="","",CHOOSE(WEEKDAY(A148,2),"Pazartesi","Salı","Çarşamba","Perşembe","Cuma","Cumartesi","Pazar"))</f>
        <v/>
      </c>
      <c r="G148" s="16">
        <f>IF(AND(D148="Tam gün",COUNTIFS($A$2:A148,A148,$D$2:D148,"Tam gün")=1),A148,0)</f>
        <v/>
      </c>
      <c r="H148" s="16">
        <f>IF(AND(D148="Yarım gün",COUNTIFS($A$2:A148,A148,$D$2:D148,"Yarım gün")=1),A148,0)</f>
        <v/>
      </c>
      <c r="I148" s="2">
        <f>IF(AND(ISNUMBER(A148),Hesapla!$B$18="Uyarı yok.",A148&gt;=Hesapla!$B$16,A148&lt;=Hesapla!$B$17),MAX(I$1:I147)+1,"")</f>
        <v/>
      </c>
    </row>
    <row r="149">
      <c r="A149" s="7" t="n"/>
      <c r="B149">
        <f>IF(A149="","",CHOOSE(WEEKDAY(A149,2),"Pazartesi","Salı","Çarşamba","Perşembe","Cuma","Cumartesi","Pazar"))</f>
        <v/>
      </c>
      <c r="G149" s="16">
        <f>IF(AND(D149="Tam gün",COUNTIFS($A$2:A149,A149,$D$2:D149,"Tam gün")=1),A149,0)</f>
        <v/>
      </c>
      <c r="H149" s="16">
        <f>IF(AND(D149="Yarım gün",COUNTIFS($A$2:A149,A149,$D$2:D149,"Yarım gün")=1),A149,0)</f>
        <v/>
      </c>
      <c r="I149" s="2">
        <f>IF(AND(ISNUMBER(A149),Hesapla!$B$18="Uyarı yok.",A149&gt;=Hesapla!$B$16,A149&lt;=Hesapla!$B$17),MAX(I$1:I148)+1,"")</f>
        <v/>
      </c>
    </row>
    <row r="150">
      <c r="A150" s="7" t="n"/>
      <c r="B150">
        <f>IF(A150="","",CHOOSE(WEEKDAY(A150,2),"Pazartesi","Salı","Çarşamba","Perşembe","Cuma","Cumartesi","Pazar"))</f>
        <v/>
      </c>
      <c r="G150" s="16">
        <f>IF(AND(D150="Tam gün",COUNTIFS($A$2:A150,A150,$D$2:D150,"Tam gün")=1),A150,0)</f>
        <v/>
      </c>
      <c r="H150" s="16">
        <f>IF(AND(D150="Yarım gün",COUNTIFS($A$2:A150,A150,$D$2:D150,"Yarım gün")=1),A150,0)</f>
        <v/>
      </c>
      <c r="I150" s="2">
        <f>IF(AND(ISNUMBER(A150),Hesapla!$B$18="Uyarı yok.",A150&gt;=Hesapla!$B$16,A150&lt;=Hesapla!$B$17),MAX(I$1:I149)+1,"")</f>
        <v/>
      </c>
    </row>
    <row r="151">
      <c r="A151" s="7" t="n"/>
      <c r="B151">
        <f>IF(A151="","",CHOOSE(WEEKDAY(A151,2),"Pazartesi","Salı","Çarşamba","Perşembe","Cuma","Cumartesi","Pazar"))</f>
        <v/>
      </c>
      <c r="G151" s="16">
        <f>IF(AND(D151="Tam gün",COUNTIFS($A$2:A151,A151,$D$2:D151,"Tam gün")=1),A151,0)</f>
        <v/>
      </c>
      <c r="H151" s="16">
        <f>IF(AND(D151="Yarım gün",COUNTIFS($A$2:A151,A151,$D$2:D151,"Yarım gün")=1),A151,0)</f>
        <v/>
      </c>
      <c r="I151" s="2">
        <f>IF(AND(ISNUMBER(A151),Hesapla!$B$18="Uyarı yok.",A151&gt;=Hesapla!$B$16,A151&lt;=Hesapla!$B$17),MAX(I$1:I150)+1,"")</f>
        <v/>
      </c>
    </row>
    <row r="152">
      <c r="A152" s="7" t="n"/>
      <c r="B152">
        <f>IF(A152="","",CHOOSE(WEEKDAY(A152,2),"Pazartesi","Salı","Çarşamba","Perşembe","Cuma","Cumartesi","Pazar"))</f>
        <v/>
      </c>
      <c r="G152" s="16">
        <f>IF(AND(D152="Tam gün",COUNTIFS($A$2:A152,A152,$D$2:D152,"Tam gün")=1),A152,0)</f>
        <v/>
      </c>
      <c r="H152" s="16">
        <f>IF(AND(D152="Yarım gün",COUNTIFS($A$2:A152,A152,$D$2:D152,"Yarım gün")=1),A152,0)</f>
        <v/>
      </c>
      <c r="I152" s="2">
        <f>IF(AND(ISNUMBER(A152),Hesapla!$B$18="Uyarı yok.",A152&gt;=Hesapla!$B$16,A152&lt;=Hesapla!$B$17),MAX(I$1:I151)+1,"")</f>
        <v/>
      </c>
    </row>
    <row r="153">
      <c r="A153" s="7" t="n"/>
      <c r="B153">
        <f>IF(A153="","",CHOOSE(WEEKDAY(A153,2),"Pazartesi","Salı","Çarşamba","Perşembe","Cuma","Cumartesi","Pazar"))</f>
        <v/>
      </c>
      <c r="G153" s="16">
        <f>IF(AND(D153="Tam gün",COUNTIFS($A$2:A153,A153,$D$2:D153,"Tam gün")=1),A153,0)</f>
        <v/>
      </c>
      <c r="H153" s="16">
        <f>IF(AND(D153="Yarım gün",COUNTIFS($A$2:A153,A153,$D$2:D153,"Yarım gün")=1),A153,0)</f>
        <v/>
      </c>
      <c r="I153" s="2">
        <f>IF(AND(ISNUMBER(A153),Hesapla!$B$18="Uyarı yok.",A153&gt;=Hesapla!$B$16,A153&lt;=Hesapla!$B$17),MAX(I$1:I152)+1,"")</f>
        <v/>
      </c>
    </row>
    <row r="154">
      <c r="A154" s="7" t="n"/>
      <c r="B154">
        <f>IF(A154="","",CHOOSE(WEEKDAY(A154,2),"Pazartesi","Salı","Çarşamba","Perşembe","Cuma","Cumartesi","Pazar"))</f>
        <v/>
      </c>
      <c r="G154" s="16">
        <f>IF(AND(D154="Tam gün",COUNTIFS($A$2:A154,A154,$D$2:D154,"Tam gün")=1),A154,0)</f>
        <v/>
      </c>
      <c r="H154" s="16">
        <f>IF(AND(D154="Yarım gün",COUNTIFS($A$2:A154,A154,$D$2:D154,"Yarım gün")=1),A154,0)</f>
        <v/>
      </c>
      <c r="I154" s="2">
        <f>IF(AND(ISNUMBER(A154),Hesapla!$B$18="Uyarı yok.",A154&gt;=Hesapla!$B$16,A154&lt;=Hesapla!$B$17),MAX(I$1:I153)+1,"")</f>
        <v/>
      </c>
    </row>
    <row r="155">
      <c r="A155" s="7" t="n"/>
      <c r="B155">
        <f>IF(A155="","",CHOOSE(WEEKDAY(A155,2),"Pazartesi","Salı","Çarşamba","Perşembe","Cuma","Cumartesi","Pazar"))</f>
        <v/>
      </c>
      <c r="G155" s="16">
        <f>IF(AND(D155="Tam gün",COUNTIFS($A$2:A155,A155,$D$2:D155,"Tam gün")=1),A155,0)</f>
        <v/>
      </c>
      <c r="H155" s="16">
        <f>IF(AND(D155="Yarım gün",COUNTIFS($A$2:A155,A155,$D$2:D155,"Yarım gün")=1),A155,0)</f>
        <v/>
      </c>
      <c r="I155" s="2">
        <f>IF(AND(ISNUMBER(A155),Hesapla!$B$18="Uyarı yok.",A155&gt;=Hesapla!$B$16,A155&lt;=Hesapla!$B$17),MAX(I$1:I154)+1,"")</f>
        <v/>
      </c>
    </row>
    <row r="156">
      <c r="A156" s="7" t="n"/>
      <c r="B156">
        <f>IF(A156="","",CHOOSE(WEEKDAY(A156,2),"Pazartesi","Salı","Çarşamba","Perşembe","Cuma","Cumartesi","Pazar"))</f>
        <v/>
      </c>
      <c r="G156" s="16">
        <f>IF(AND(D156="Tam gün",COUNTIFS($A$2:A156,A156,$D$2:D156,"Tam gün")=1),A156,0)</f>
        <v/>
      </c>
      <c r="H156" s="16">
        <f>IF(AND(D156="Yarım gün",COUNTIFS($A$2:A156,A156,$D$2:D156,"Yarım gün")=1),A156,0)</f>
        <v/>
      </c>
      <c r="I156" s="2">
        <f>IF(AND(ISNUMBER(A156),Hesapla!$B$18="Uyarı yok.",A156&gt;=Hesapla!$B$16,A156&lt;=Hesapla!$B$17),MAX(I$1:I155)+1,"")</f>
        <v/>
      </c>
    </row>
    <row r="157">
      <c r="A157" s="7" t="n"/>
      <c r="B157">
        <f>IF(A157="","",CHOOSE(WEEKDAY(A157,2),"Pazartesi","Salı","Çarşamba","Perşembe","Cuma","Cumartesi","Pazar"))</f>
        <v/>
      </c>
      <c r="G157" s="16">
        <f>IF(AND(D157="Tam gün",COUNTIFS($A$2:A157,A157,$D$2:D157,"Tam gün")=1),A157,0)</f>
        <v/>
      </c>
      <c r="H157" s="16">
        <f>IF(AND(D157="Yarım gün",COUNTIFS($A$2:A157,A157,$D$2:D157,"Yarım gün")=1),A157,0)</f>
        <v/>
      </c>
      <c r="I157" s="2">
        <f>IF(AND(ISNUMBER(A157),Hesapla!$B$18="Uyarı yok.",A157&gt;=Hesapla!$B$16,A157&lt;=Hesapla!$B$17),MAX(I$1:I156)+1,"")</f>
        <v/>
      </c>
    </row>
    <row r="158">
      <c r="A158" s="7" t="n"/>
      <c r="B158">
        <f>IF(A158="","",CHOOSE(WEEKDAY(A158,2),"Pazartesi","Salı","Çarşamba","Perşembe","Cuma","Cumartesi","Pazar"))</f>
        <v/>
      </c>
      <c r="G158" s="16">
        <f>IF(AND(D158="Tam gün",COUNTIFS($A$2:A158,A158,$D$2:D158,"Tam gün")=1),A158,0)</f>
        <v/>
      </c>
      <c r="H158" s="16">
        <f>IF(AND(D158="Yarım gün",COUNTIFS($A$2:A158,A158,$D$2:D158,"Yarım gün")=1),A158,0)</f>
        <v/>
      </c>
      <c r="I158" s="2">
        <f>IF(AND(ISNUMBER(A158),Hesapla!$B$18="Uyarı yok.",A158&gt;=Hesapla!$B$16,A158&lt;=Hesapla!$B$17),MAX(I$1:I157)+1,"")</f>
        <v/>
      </c>
    </row>
    <row r="159">
      <c r="A159" s="7" t="n"/>
      <c r="B159">
        <f>IF(A159="","",CHOOSE(WEEKDAY(A159,2),"Pazartesi","Salı","Çarşamba","Perşembe","Cuma","Cumartesi","Pazar"))</f>
        <v/>
      </c>
      <c r="G159" s="16">
        <f>IF(AND(D159="Tam gün",COUNTIFS($A$2:A159,A159,$D$2:D159,"Tam gün")=1),A159,0)</f>
        <v/>
      </c>
      <c r="H159" s="16">
        <f>IF(AND(D159="Yarım gün",COUNTIFS($A$2:A159,A159,$D$2:D159,"Yarım gün")=1),A159,0)</f>
        <v/>
      </c>
      <c r="I159" s="2">
        <f>IF(AND(ISNUMBER(A159),Hesapla!$B$18="Uyarı yok.",A159&gt;=Hesapla!$B$16,A159&lt;=Hesapla!$B$17),MAX(I$1:I158)+1,"")</f>
        <v/>
      </c>
    </row>
    <row r="160">
      <c r="A160" s="7" t="n"/>
      <c r="B160">
        <f>IF(A160="","",CHOOSE(WEEKDAY(A160,2),"Pazartesi","Salı","Çarşamba","Perşembe","Cuma","Cumartesi","Pazar"))</f>
        <v/>
      </c>
      <c r="G160" s="16">
        <f>IF(AND(D160="Tam gün",COUNTIFS($A$2:A160,A160,$D$2:D160,"Tam gün")=1),A160,0)</f>
        <v/>
      </c>
      <c r="H160" s="16">
        <f>IF(AND(D160="Yarım gün",COUNTIFS($A$2:A160,A160,$D$2:D160,"Yarım gün")=1),A160,0)</f>
        <v/>
      </c>
      <c r="I160" s="2">
        <f>IF(AND(ISNUMBER(A160),Hesapla!$B$18="Uyarı yok.",A160&gt;=Hesapla!$B$16,A160&lt;=Hesapla!$B$17),MAX(I$1:I159)+1,"")</f>
        <v/>
      </c>
    </row>
    <row r="161">
      <c r="A161" s="7" t="n"/>
      <c r="B161">
        <f>IF(A161="","",CHOOSE(WEEKDAY(A161,2),"Pazartesi","Salı","Çarşamba","Perşembe","Cuma","Cumartesi","Pazar"))</f>
        <v/>
      </c>
      <c r="G161" s="16">
        <f>IF(AND(D161="Tam gün",COUNTIFS($A$2:A161,A161,$D$2:D161,"Tam gün")=1),A161,0)</f>
        <v/>
      </c>
      <c r="H161" s="16">
        <f>IF(AND(D161="Yarım gün",COUNTIFS($A$2:A161,A161,$D$2:D161,"Yarım gün")=1),A161,0)</f>
        <v/>
      </c>
      <c r="I161" s="2">
        <f>IF(AND(ISNUMBER(A161),Hesapla!$B$18="Uyarı yok.",A161&gt;=Hesapla!$B$16,A161&lt;=Hesapla!$B$17),MAX(I$1:I160)+1,"")</f>
        <v/>
      </c>
    </row>
    <row r="162">
      <c r="A162" s="7" t="n"/>
      <c r="B162">
        <f>IF(A162="","",CHOOSE(WEEKDAY(A162,2),"Pazartesi","Salı","Çarşamba","Perşembe","Cuma","Cumartesi","Pazar"))</f>
        <v/>
      </c>
      <c r="G162" s="16">
        <f>IF(AND(D162="Tam gün",COUNTIFS($A$2:A162,A162,$D$2:D162,"Tam gün")=1),A162,0)</f>
        <v/>
      </c>
      <c r="H162" s="16">
        <f>IF(AND(D162="Yarım gün",COUNTIFS($A$2:A162,A162,$D$2:D162,"Yarım gün")=1),A162,0)</f>
        <v/>
      </c>
      <c r="I162" s="2">
        <f>IF(AND(ISNUMBER(A162),Hesapla!$B$18="Uyarı yok.",A162&gt;=Hesapla!$B$16,A162&lt;=Hesapla!$B$17),MAX(I$1:I161)+1,"")</f>
        <v/>
      </c>
    </row>
    <row r="163">
      <c r="A163" s="7" t="n"/>
      <c r="B163">
        <f>IF(A163="","",CHOOSE(WEEKDAY(A163,2),"Pazartesi","Salı","Çarşamba","Perşembe","Cuma","Cumartesi","Pazar"))</f>
        <v/>
      </c>
      <c r="G163" s="16">
        <f>IF(AND(D163="Tam gün",COUNTIFS($A$2:A163,A163,$D$2:D163,"Tam gün")=1),A163,0)</f>
        <v/>
      </c>
      <c r="H163" s="16">
        <f>IF(AND(D163="Yarım gün",COUNTIFS($A$2:A163,A163,$D$2:D163,"Yarım gün")=1),A163,0)</f>
        <v/>
      </c>
      <c r="I163" s="2">
        <f>IF(AND(ISNUMBER(A163),Hesapla!$B$18="Uyarı yok.",A163&gt;=Hesapla!$B$16,A163&lt;=Hesapla!$B$17),MAX(I$1:I162)+1,"")</f>
        <v/>
      </c>
    </row>
    <row r="164">
      <c r="A164" s="7" t="n"/>
      <c r="B164">
        <f>IF(A164="","",CHOOSE(WEEKDAY(A164,2),"Pazartesi","Salı","Çarşamba","Perşembe","Cuma","Cumartesi","Pazar"))</f>
        <v/>
      </c>
      <c r="G164" s="16">
        <f>IF(AND(D164="Tam gün",COUNTIFS($A$2:A164,A164,$D$2:D164,"Tam gün")=1),A164,0)</f>
        <v/>
      </c>
      <c r="H164" s="16">
        <f>IF(AND(D164="Yarım gün",COUNTIFS($A$2:A164,A164,$D$2:D164,"Yarım gün")=1),A164,0)</f>
        <v/>
      </c>
      <c r="I164" s="2">
        <f>IF(AND(ISNUMBER(A164),Hesapla!$B$18="Uyarı yok.",A164&gt;=Hesapla!$B$16,A164&lt;=Hesapla!$B$17),MAX(I$1:I163)+1,"")</f>
        <v/>
      </c>
    </row>
    <row r="165">
      <c r="A165" s="7" t="n"/>
      <c r="B165">
        <f>IF(A165="","",CHOOSE(WEEKDAY(A165,2),"Pazartesi","Salı","Çarşamba","Perşembe","Cuma","Cumartesi","Pazar"))</f>
        <v/>
      </c>
      <c r="G165" s="16">
        <f>IF(AND(D165="Tam gün",COUNTIFS($A$2:A165,A165,$D$2:D165,"Tam gün")=1),A165,0)</f>
        <v/>
      </c>
      <c r="H165" s="16">
        <f>IF(AND(D165="Yarım gün",COUNTIFS($A$2:A165,A165,$D$2:D165,"Yarım gün")=1),A165,0)</f>
        <v/>
      </c>
      <c r="I165" s="2">
        <f>IF(AND(ISNUMBER(A165),Hesapla!$B$18="Uyarı yok.",A165&gt;=Hesapla!$B$16,A165&lt;=Hesapla!$B$17),MAX(I$1:I164)+1,"")</f>
        <v/>
      </c>
    </row>
    <row r="166">
      <c r="A166" s="7" t="n"/>
      <c r="B166">
        <f>IF(A166="","",CHOOSE(WEEKDAY(A166,2),"Pazartesi","Salı","Çarşamba","Perşembe","Cuma","Cumartesi","Pazar"))</f>
        <v/>
      </c>
      <c r="G166" s="16">
        <f>IF(AND(D166="Tam gün",COUNTIFS($A$2:A166,A166,$D$2:D166,"Tam gün")=1),A166,0)</f>
        <v/>
      </c>
      <c r="H166" s="16">
        <f>IF(AND(D166="Yarım gün",COUNTIFS($A$2:A166,A166,$D$2:D166,"Yarım gün")=1),A166,0)</f>
        <v/>
      </c>
      <c r="I166" s="2">
        <f>IF(AND(ISNUMBER(A166),Hesapla!$B$18="Uyarı yok.",A166&gt;=Hesapla!$B$16,A166&lt;=Hesapla!$B$17),MAX(I$1:I165)+1,"")</f>
        <v/>
      </c>
    </row>
    <row r="167">
      <c r="A167" s="7" t="n"/>
      <c r="B167">
        <f>IF(A167="","",CHOOSE(WEEKDAY(A167,2),"Pazartesi","Salı","Çarşamba","Perşembe","Cuma","Cumartesi","Pazar"))</f>
        <v/>
      </c>
      <c r="G167" s="16">
        <f>IF(AND(D167="Tam gün",COUNTIFS($A$2:A167,A167,$D$2:D167,"Tam gün")=1),A167,0)</f>
        <v/>
      </c>
      <c r="H167" s="16">
        <f>IF(AND(D167="Yarım gün",COUNTIFS($A$2:A167,A167,$D$2:D167,"Yarım gün")=1),A167,0)</f>
        <v/>
      </c>
      <c r="I167" s="2">
        <f>IF(AND(ISNUMBER(A167),Hesapla!$B$18="Uyarı yok.",A167&gt;=Hesapla!$B$16,A167&lt;=Hesapla!$B$17),MAX(I$1:I166)+1,"")</f>
        <v/>
      </c>
    </row>
    <row r="168">
      <c r="A168" s="7" t="n"/>
      <c r="B168">
        <f>IF(A168="","",CHOOSE(WEEKDAY(A168,2),"Pazartesi","Salı","Çarşamba","Perşembe","Cuma","Cumartesi","Pazar"))</f>
        <v/>
      </c>
      <c r="G168" s="16">
        <f>IF(AND(D168="Tam gün",COUNTIFS($A$2:A168,A168,$D$2:D168,"Tam gün")=1),A168,0)</f>
        <v/>
      </c>
      <c r="H168" s="16">
        <f>IF(AND(D168="Yarım gün",COUNTIFS($A$2:A168,A168,$D$2:D168,"Yarım gün")=1),A168,0)</f>
        <v/>
      </c>
      <c r="I168" s="2">
        <f>IF(AND(ISNUMBER(A168),Hesapla!$B$18="Uyarı yok.",A168&gt;=Hesapla!$B$16,A168&lt;=Hesapla!$B$17),MAX(I$1:I167)+1,"")</f>
        <v/>
      </c>
    </row>
    <row r="169">
      <c r="A169" s="7" t="n"/>
      <c r="B169">
        <f>IF(A169="","",CHOOSE(WEEKDAY(A169,2),"Pazartesi","Salı","Çarşamba","Perşembe","Cuma","Cumartesi","Pazar"))</f>
        <v/>
      </c>
      <c r="G169" s="16">
        <f>IF(AND(D169="Tam gün",COUNTIFS($A$2:A169,A169,$D$2:D169,"Tam gün")=1),A169,0)</f>
        <v/>
      </c>
      <c r="H169" s="16">
        <f>IF(AND(D169="Yarım gün",COUNTIFS($A$2:A169,A169,$D$2:D169,"Yarım gün")=1),A169,0)</f>
        <v/>
      </c>
      <c r="I169" s="2">
        <f>IF(AND(ISNUMBER(A169),Hesapla!$B$18="Uyarı yok.",A169&gt;=Hesapla!$B$16,A169&lt;=Hesapla!$B$17),MAX(I$1:I168)+1,"")</f>
        <v/>
      </c>
    </row>
    <row r="170">
      <c r="A170" s="7" t="n"/>
      <c r="B170">
        <f>IF(A170="","",CHOOSE(WEEKDAY(A170,2),"Pazartesi","Salı","Çarşamba","Perşembe","Cuma","Cumartesi","Pazar"))</f>
        <v/>
      </c>
      <c r="G170" s="16">
        <f>IF(AND(D170="Tam gün",COUNTIFS($A$2:A170,A170,$D$2:D170,"Tam gün")=1),A170,0)</f>
        <v/>
      </c>
      <c r="H170" s="16">
        <f>IF(AND(D170="Yarım gün",COUNTIFS($A$2:A170,A170,$D$2:D170,"Yarım gün")=1),A170,0)</f>
        <v/>
      </c>
      <c r="I170" s="2">
        <f>IF(AND(ISNUMBER(A170),Hesapla!$B$18="Uyarı yok.",A170&gt;=Hesapla!$B$16,A170&lt;=Hesapla!$B$17),MAX(I$1:I169)+1,"")</f>
        <v/>
      </c>
    </row>
    <row r="171">
      <c r="A171" s="7" t="n"/>
      <c r="B171">
        <f>IF(A171="","",CHOOSE(WEEKDAY(A171,2),"Pazartesi","Salı","Çarşamba","Perşembe","Cuma","Cumartesi","Pazar"))</f>
        <v/>
      </c>
      <c r="G171" s="16">
        <f>IF(AND(D171="Tam gün",COUNTIFS($A$2:A171,A171,$D$2:D171,"Tam gün")=1),A171,0)</f>
        <v/>
      </c>
      <c r="H171" s="16">
        <f>IF(AND(D171="Yarım gün",COUNTIFS($A$2:A171,A171,$D$2:D171,"Yarım gün")=1),A171,0)</f>
        <v/>
      </c>
      <c r="I171" s="2">
        <f>IF(AND(ISNUMBER(A171),Hesapla!$B$18="Uyarı yok.",A171&gt;=Hesapla!$B$16,A171&lt;=Hesapla!$B$17),MAX(I$1:I170)+1,"")</f>
        <v/>
      </c>
    </row>
    <row r="172">
      <c r="A172" s="7" t="n"/>
      <c r="B172">
        <f>IF(A172="","",CHOOSE(WEEKDAY(A172,2),"Pazartesi","Salı","Çarşamba","Perşembe","Cuma","Cumartesi","Pazar"))</f>
        <v/>
      </c>
      <c r="G172" s="16">
        <f>IF(AND(D172="Tam gün",COUNTIFS($A$2:A172,A172,$D$2:D172,"Tam gün")=1),A172,0)</f>
        <v/>
      </c>
      <c r="H172" s="16">
        <f>IF(AND(D172="Yarım gün",COUNTIFS($A$2:A172,A172,$D$2:D172,"Yarım gün")=1),A172,0)</f>
        <v/>
      </c>
      <c r="I172" s="2">
        <f>IF(AND(ISNUMBER(A172),Hesapla!$B$18="Uyarı yok.",A172&gt;=Hesapla!$B$16,A172&lt;=Hesapla!$B$17),MAX(I$1:I171)+1,"")</f>
        <v/>
      </c>
    </row>
    <row r="173">
      <c r="A173" s="7" t="n"/>
      <c r="B173">
        <f>IF(A173="","",CHOOSE(WEEKDAY(A173,2),"Pazartesi","Salı","Çarşamba","Perşembe","Cuma","Cumartesi","Pazar"))</f>
        <v/>
      </c>
      <c r="G173" s="16">
        <f>IF(AND(D173="Tam gün",COUNTIFS($A$2:A173,A173,$D$2:D173,"Tam gün")=1),A173,0)</f>
        <v/>
      </c>
      <c r="H173" s="16">
        <f>IF(AND(D173="Yarım gün",COUNTIFS($A$2:A173,A173,$D$2:D173,"Yarım gün")=1),A173,0)</f>
        <v/>
      </c>
      <c r="I173" s="2">
        <f>IF(AND(ISNUMBER(A173),Hesapla!$B$18="Uyarı yok.",A173&gt;=Hesapla!$B$16,A173&lt;=Hesapla!$B$17),MAX(I$1:I172)+1,"")</f>
        <v/>
      </c>
    </row>
    <row r="174">
      <c r="A174" s="7" t="n"/>
      <c r="B174">
        <f>IF(A174="","",CHOOSE(WEEKDAY(A174,2),"Pazartesi","Salı","Çarşamba","Perşembe","Cuma","Cumartesi","Pazar"))</f>
        <v/>
      </c>
      <c r="G174" s="16">
        <f>IF(AND(D174="Tam gün",COUNTIFS($A$2:A174,A174,$D$2:D174,"Tam gün")=1),A174,0)</f>
        <v/>
      </c>
      <c r="H174" s="16">
        <f>IF(AND(D174="Yarım gün",COUNTIFS($A$2:A174,A174,$D$2:D174,"Yarım gün")=1),A174,0)</f>
        <v/>
      </c>
      <c r="I174" s="2">
        <f>IF(AND(ISNUMBER(A174),Hesapla!$B$18="Uyarı yok.",A174&gt;=Hesapla!$B$16,A174&lt;=Hesapla!$B$17),MAX(I$1:I173)+1,"")</f>
        <v/>
      </c>
    </row>
    <row r="175">
      <c r="A175" s="7" t="n"/>
      <c r="B175">
        <f>IF(A175="","",CHOOSE(WEEKDAY(A175,2),"Pazartesi","Salı","Çarşamba","Perşembe","Cuma","Cumartesi","Pazar"))</f>
        <v/>
      </c>
      <c r="G175" s="16">
        <f>IF(AND(D175="Tam gün",COUNTIFS($A$2:A175,A175,$D$2:D175,"Tam gün")=1),A175,0)</f>
        <v/>
      </c>
      <c r="H175" s="16">
        <f>IF(AND(D175="Yarım gün",COUNTIFS($A$2:A175,A175,$D$2:D175,"Yarım gün")=1),A175,0)</f>
        <v/>
      </c>
      <c r="I175" s="2">
        <f>IF(AND(ISNUMBER(A175),Hesapla!$B$18="Uyarı yok.",A175&gt;=Hesapla!$B$16,A175&lt;=Hesapla!$B$17),MAX(I$1:I174)+1,"")</f>
        <v/>
      </c>
    </row>
    <row r="176">
      <c r="A176" s="7" t="n"/>
      <c r="B176">
        <f>IF(A176="","",CHOOSE(WEEKDAY(A176,2),"Pazartesi","Salı","Çarşamba","Perşembe","Cuma","Cumartesi","Pazar"))</f>
        <v/>
      </c>
      <c r="G176" s="16">
        <f>IF(AND(D176="Tam gün",COUNTIFS($A$2:A176,A176,$D$2:D176,"Tam gün")=1),A176,0)</f>
        <v/>
      </c>
      <c r="H176" s="16">
        <f>IF(AND(D176="Yarım gün",COUNTIFS($A$2:A176,A176,$D$2:D176,"Yarım gün")=1),A176,0)</f>
        <v/>
      </c>
      <c r="I176" s="2">
        <f>IF(AND(ISNUMBER(A176),Hesapla!$B$18="Uyarı yok.",A176&gt;=Hesapla!$B$16,A176&lt;=Hesapla!$B$17),MAX(I$1:I175)+1,"")</f>
        <v/>
      </c>
    </row>
    <row r="177">
      <c r="A177" s="7" t="n"/>
      <c r="B177">
        <f>IF(A177="","",CHOOSE(WEEKDAY(A177,2),"Pazartesi","Salı","Çarşamba","Perşembe","Cuma","Cumartesi","Pazar"))</f>
        <v/>
      </c>
      <c r="G177" s="16">
        <f>IF(AND(D177="Tam gün",COUNTIFS($A$2:A177,A177,$D$2:D177,"Tam gün")=1),A177,0)</f>
        <v/>
      </c>
      <c r="H177" s="16">
        <f>IF(AND(D177="Yarım gün",COUNTIFS($A$2:A177,A177,$D$2:D177,"Yarım gün")=1),A177,0)</f>
        <v/>
      </c>
      <c r="I177" s="2">
        <f>IF(AND(ISNUMBER(A177),Hesapla!$B$18="Uyarı yok.",A177&gt;=Hesapla!$B$16,A177&lt;=Hesapla!$B$17),MAX(I$1:I176)+1,"")</f>
        <v/>
      </c>
    </row>
    <row r="178">
      <c r="A178" s="7" t="n"/>
      <c r="B178">
        <f>IF(A178="","",CHOOSE(WEEKDAY(A178,2),"Pazartesi","Salı","Çarşamba","Perşembe","Cuma","Cumartesi","Pazar"))</f>
        <v/>
      </c>
      <c r="G178" s="16">
        <f>IF(AND(D178="Tam gün",COUNTIFS($A$2:A178,A178,$D$2:D178,"Tam gün")=1),A178,0)</f>
        <v/>
      </c>
      <c r="H178" s="16">
        <f>IF(AND(D178="Yarım gün",COUNTIFS($A$2:A178,A178,$D$2:D178,"Yarım gün")=1),A178,0)</f>
        <v/>
      </c>
      <c r="I178" s="2">
        <f>IF(AND(ISNUMBER(A178),Hesapla!$B$18="Uyarı yok.",A178&gt;=Hesapla!$B$16,A178&lt;=Hesapla!$B$17),MAX(I$1:I177)+1,"")</f>
        <v/>
      </c>
    </row>
    <row r="179">
      <c r="A179" s="7" t="n"/>
      <c r="B179">
        <f>IF(A179="","",CHOOSE(WEEKDAY(A179,2),"Pazartesi","Salı","Çarşamba","Perşembe","Cuma","Cumartesi","Pazar"))</f>
        <v/>
      </c>
      <c r="G179" s="16">
        <f>IF(AND(D179="Tam gün",COUNTIFS($A$2:A179,A179,$D$2:D179,"Tam gün")=1),A179,0)</f>
        <v/>
      </c>
      <c r="H179" s="16">
        <f>IF(AND(D179="Yarım gün",COUNTIFS($A$2:A179,A179,$D$2:D179,"Yarım gün")=1),A179,0)</f>
        <v/>
      </c>
      <c r="I179" s="2">
        <f>IF(AND(ISNUMBER(A179),Hesapla!$B$18="Uyarı yok.",A179&gt;=Hesapla!$B$16,A179&lt;=Hesapla!$B$17),MAX(I$1:I178)+1,"")</f>
        <v/>
      </c>
    </row>
    <row r="180">
      <c r="A180" s="7" t="n"/>
      <c r="B180">
        <f>IF(A180="","",CHOOSE(WEEKDAY(A180,2),"Pazartesi","Salı","Çarşamba","Perşembe","Cuma","Cumartesi","Pazar"))</f>
        <v/>
      </c>
      <c r="G180" s="16">
        <f>IF(AND(D180="Tam gün",COUNTIFS($A$2:A180,A180,$D$2:D180,"Tam gün")=1),A180,0)</f>
        <v/>
      </c>
      <c r="H180" s="16">
        <f>IF(AND(D180="Yarım gün",COUNTIFS($A$2:A180,A180,$D$2:D180,"Yarım gün")=1),A180,0)</f>
        <v/>
      </c>
      <c r="I180" s="2">
        <f>IF(AND(ISNUMBER(A180),Hesapla!$B$18="Uyarı yok.",A180&gt;=Hesapla!$B$16,A180&lt;=Hesapla!$B$17),MAX(I$1:I179)+1,"")</f>
        <v/>
      </c>
    </row>
    <row r="181">
      <c r="A181" s="7" t="n"/>
      <c r="B181">
        <f>IF(A181="","",CHOOSE(WEEKDAY(A181,2),"Pazartesi","Salı","Çarşamba","Perşembe","Cuma","Cumartesi","Pazar"))</f>
        <v/>
      </c>
      <c r="G181" s="16">
        <f>IF(AND(D181="Tam gün",COUNTIFS($A$2:A181,A181,$D$2:D181,"Tam gün")=1),A181,0)</f>
        <v/>
      </c>
      <c r="H181" s="16">
        <f>IF(AND(D181="Yarım gün",COUNTIFS($A$2:A181,A181,$D$2:D181,"Yarım gün")=1),A181,0)</f>
        <v/>
      </c>
      <c r="I181" s="2">
        <f>IF(AND(ISNUMBER(A181),Hesapla!$B$18="Uyarı yok.",A181&gt;=Hesapla!$B$16,A181&lt;=Hesapla!$B$17),MAX(I$1:I180)+1,"")</f>
        <v/>
      </c>
    </row>
    <row r="182">
      <c r="A182" s="7" t="n"/>
      <c r="B182">
        <f>IF(A182="","",CHOOSE(WEEKDAY(A182,2),"Pazartesi","Salı","Çarşamba","Perşembe","Cuma","Cumartesi","Pazar"))</f>
        <v/>
      </c>
      <c r="G182" s="16">
        <f>IF(AND(D182="Tam gün",COUNTIFS($A$2:A182,A182,$D$2:D182,"Tam gün")=1),A182,0)</f>
        <v/>
      </c>
      <c r="H182" s="16">
        <f>IF(AND(D182="Yarım gün",COUNTIFS($A$2:A182,A182,$D$2:D182,"Yarım gün")=1),A182,0)</f>
        <v/>
      </c>
      <c r="I182" s="2">
        <f>IF(AND(ISNUMBER(A182),Hesapla!$B$18="Uyarı yok.",A182&gt;=Hesapla!$B$16,A182&lt;=Hesapla!$B$17),MAX(I$1:I181)+1,"")</f>
        <v/>
      </c>
    </row>
    <row r="183">
      <c r="A183" s="7" t="n"/>
      <c r="B183">
        <f>IF(A183="","",CHOOSE(WEEKDAY(A183,2),"Pazartesi","Salı","Çarşamba","Perşembe","Cuma","Cumartesi","Pazar"))</f>
        <v/>
      </c>
      <c r="G183" s="16">
        <f>IF(AND(D183="Tam gün",COUNTIFS($A$2:A183,A183,$D$2:D183,"Tam gün")=1),A183,0)</f>
        <v/>
      </c>
      <c r="H183" s="16">
        <f>IF(AND(D183="Yarım gün",COUNTIFS($A$2:A183,A183,$D$2:D183,"Yarım gün")=1),A183,0)</f>
        <v/>
      </c>
      <c r="I183" s="2">
        <f>IF(AND(ISNUMBER(A183),Hesapla!$B$18="Uyarı yok.",A183&gt;=Hesapla!$B$16,A183&lt;=Hesapla!$B$17),MAX(I$1:I182)+1,"")</f>
        <v/>
      </c>
    </row>
    <row r="184">
      <c r="A184" s="7" t="n"/>
      <c r="B184">
        <f>IF(A184="","",CHOOSE(WEEKDAY(A184,2),"Pazartesi","Salı","Çarşamba","Perşembe","Cuma","Cumartesi","Pazar"))</f>
        <v/>
      </c>
      <c r="G184" s="16">
        <f>IF(AND(D184="Tam gün",COUNTIFS($A$2:A184,A184,$D$2:D184,"Tam gün")=1),A184,0)</f>
        <v/>
      </c>
      <c r="H184" s="16">
        <f>IF(AND(D184="Yarım gün",COUNTIFS($A$2:A184,A184,$D$2:D184,"Yarım gün")=1),A184,0)</f>
        <v/>
      </c>
      <c r="I184" s="2">
        <f>IF(AND(ISNUMBER(A184),Hesapla!$B$18="Uyarı yok.",A184&gt;=Hesapla!$B$16,A184&lt;=Hesapla!$B$17),MAX(I$1:I183)+1,"")</f>
        <v/>
      </c>
    </row>
    <row r="185">
      <c r="A185" s="7" t="n"/>
      <c r="B185">
        <f>IF(A185="","",CHOOSE(WEEKDAY(A185,2),"Pazartesi","Salı","Çarşamba","Perşembe","Cuma","Cumartesi","Pazar"))</f>
        <v/>
      </c>
      <c r="G185" s="16">
        <f>IF(AND(D185="Tam gün",COUNTIFS($A$2:A185,A185,$D$2:D185,"Tam gün")=1),A185,0)</f>
        <v/>
      </c>
      <c r="H185" s="16">
        <f>IF(AND(D185="Yarım gün",COUNTIFS($A$2:A185,A185,$D$2:D185,"Yarım gün")=1),A185,0)</f>
        <v/>
      </c>
      <c r="I185" s="2">
        <f>IF(AND(ISNUMBER(A185),Hesapla!$B$18="Uyarı yok.",A185&gt;=Hesapla!$B$16,A185&lt;=Hesapla!$B$17),MAX(I$1:I184)+1,"")</f>
        <v/>
      </c>
    </row>
    <row r="186">
      <c r="A186" s="7" t="n"/>
      <c r="B186">
        <f>IF(A186="","",CHOOSE(WEEKDAY(A186,2),"Pazartesi","Salı","Çarşamba","Perşembe","Cuma","Cumartesi","Pazar"))</f>
        <v/>
      </c>
      <c r="G186" s="16">
        <f>IF(AND(D186="Tam gün",COUNTIFS($A$2:A186,A186,$D$2:D186,"Tam gün")=1),A186,0)</f>
        <v/>
      </c>
      <c r="H186" s="16">
        <f>IF(AND(D186="Yarım gün",COUNTIFS($A$2:A186,A186,$D$2:D186,"Yarım gün")=1),A186,0)</f>
        <v/>
      </c>
      <c r="I186" s="2">
        <f>IF(AND(ISNUMBER(A186),Hesapla!$B$18="Uyarı yok.",A186&gt;=Hesapla!$B$16,A186&lt;=Hesapla!$B$17),MAX(I$1:I185)+1,"")</f>
        <v/>
      </c>
    </row>
    <row r="187">
      <c r="A187" s="7" t="n"/>
      <c r="B187">
        <f>IF(A187="","",CHOOSE(WEEKDAY(A187,2),"Pazartesi","Salı","Çarşamba","Perşembe","Cuma","Cumartesi","Pazar"))</f>
        <v/>
      </c>
      <c r="G187" s="16">
        <f>IF(AND(D187="Tam gün",COUNTIFS($A$2:A187,A187,$D$2:D187,"Tam gün")=1),A187,0)</f>
        <v/>
      </c>
      <c r="H187" s="16">
        <f>IF(AND(D187="Yarım gün",COUNTIFS($A$2:A187,A187,$D$2:D187,"Yarım gün")=1),A187,0)</f>
        <v/>
      </c>
      <c r="I187" s="2">
        <f>IF(AND(ISNUMBER(A187),Hesapla!$B$18="Uyarı yok.",A187&gt;=Hesapla!$B$16,A187&lt;=Hesapla!$B$17),MAX(I$1:I186)+1,"")</f>
        <v/>
      </c>
    </row>
    <row r="188">
      <c r="A188" s="7" t="n"/>
      <c r="B188">
        <f>IF(A188="","",CHOOSE(WEEKDAY(A188,2),"Pazartesi","Salı","Çarşamba","Perşembe","Cuma","Cumartesi","Pazar"))</f>
        <v/>
      </c>
      <c r="G188" s="16">
        <f>IF(AND(D188="Tam gün",COUNTIFS($A$2:A188,A188,$D$2:D188,"Tam gün")=1),A188,0)</f>
        <v/>
      </c>
      <c r="H188" s="16">
        <f>IF(AND(D188="Yarım gün",COUNTIFS($A$2:A188,A188,$D$2:D188,"Yarım gün")=1),A188,0)</f>
        <v/>
      </c>
      <c r="I188" s="2">
        <f>IF(AND(ISNUMBER(A188),Hesapla!$B$18="Uyarı yok.",A188&gt;=Hesapla!$B$16,A188&lt;=Hesapla!$B$17),MAX(I$1:I187)+1,"")</f>
        <v/>
      </c>
    </row>
    <row r="189">
      <c r="A189" s="7" t="n"/>
      <c r="B189">
        <f>IF(A189="","",CHOOSE(WEEKDAY(A189,2),"Pazartesi","Salı","Çarşamba","Perşembe","Cuma","Cumartesi","Pazar"))</f>
        <v/>
      </c>
      <c r="G189" s="16">
        <f>IF(AND(D189="Tam gün",COUNTIFS($A$2:A189,A189,$D$2:D189,"Tam gün")=1),A189,0)</f>
        <v/>
      </c>
      <c r="H189" s="16">
        <f>IF(AND(D189="Yarım gün",COUNTIFS($A$2:A189,A189,$D$2:D189,"Yarım gün")=1),A189,0)</f>
        <v/>
      </c>
      <c r="I189" s="2">
        <f>IF(AND(ISNUMBER(A189),Hesapla!$B$18="Uyarı yok.",A189&gt;=Hesapla!$B$16,A189&lt;=Hesapla!$B$17),MAX(I$1:I188)+1,"")</f>
        <v/>
      </c>
    </row>
    <row r="190">
      <c r="A190" s="7" t="n"/>
      <c r="B190">
        <f>IF(A190="","",CHOOSE(WEEKDAY(A190,2),"Pazartesi","Salı","Çarşamba","Perşembe","Cuma","Cumartesi","Pazar"))</f>
        <v/>
      </c>
      <c r="G190" s="16">
        <f>IF(AND(D190="Tam gün",COUNTIFS($A$2:A190,A190,$D$2:D190,"Tam gün")=1),A190,0)</f>
        <v/>
      </c>
      <c r="H190" s="16">
        <f>IF(AND(D190="Yarım gün",COUNTIFS($A$2:A190,A190,$D$2:D190,"Yarım gün")=1),A190,0)</f>
        <v/>
      </c>
      <c r="I190" s="2">
        <f>IF(AND(ISNUMBER(A190),Hesapla!$B$18="Uyarı yok.",A190&gt;=Hesapla!$B$16,A190&lt;=Hesapla!$B$17),MAX(I$1:I189)+1,"")</f>
        <v/>
      </c>
    </row>
    <row r="191">
      <c r="A191" s="7" t="n"/>
      <c r="B191">
        <f>IF(A191="","",CHOOSE(WEEKDAY(A191,2),"Pazartesi","Salı","Çarşamba","Perşembe","Cuma","Cumartesi","Pazar"))</f>
        <v/>
      </c>
      <c r="G191" s="16">
        <f>IF(AND(D191="Tam gün",COUNTIFS($A$2:A191,A191,$D$2:D191,"Tam gün")=1),A191,0)</f>
        <v/>
      </c>
      <c r="H191" s="16">
        <f>IF(AND(D191="Yarım gün",COUNTIFS($A$2:A191,A191,$D$2:D191,"Yarım gün")=1),A191,0)</f>
        <v/>
      </c>
      <c r="I191" s="2">
        <f>IF(AND(ISNUMBER(A191),Hesapla!$B$18="Uyarı yok.",A191&gt;=Hesapla!$B$16,A191&lt;=Hesapla!$B$17),MAX(I$1:I190)+1,"")</f>
        <v/>
      </c>
    </row>
    <row r="192">
      <c r="A192" s="7" t="n"/>
      <c r="B192">
        <f>IF(A192="","",CHOOSE(WEEKDAY(A192,2),"Pazartesi","Salı","Çarşamba","Perşembe","Cuma","Cumartesi","Pazar"))</f>
        <v/>
      </c>
      <c r="G192" s="16">
        <f>IF(AND(D192="Tam gün",COUNTIFS($A$2:A192,A192,$D$2:D192,"Tam gün")=1),A192,0)</f>
        <v/>
      </c>
      <c r="H192" s="16">
        <f>IF(AND(D192="Yarım gün",COUNTIFS($A$2:A192,A192,$D$2:D192,"Yarım gün")=1),A192,0)</f>
        <v/>
      </c>
      <c r="I192" s="2">
        <f>IF(AND(ISNUMBER(A192),Hesapla!$B$18="Uyarı yok.",A192&gt;=Hesapla!$B$16,A192&lt;=Hesapla!$B$17),MAX(I$1:I191)+1,"")</f>
        <v/>
      </c>
    </row>
    <row r="193">
      <c r="A193" s="7" t="n"/>
      <c r="B193">
        <f>IF(A193="","",CHOOSE(WEEKDAY(A193,2),"Pazartesi","Salı","Çarşamba","Perşembe","Cuma","Cumartesi","Pazar"))</f>
        <v/>
      </c>
      <c r="G193" s="16">
        <f>IF(AND(D193="Tam gün",COUNTIFS($A$2:A193,A193,$D$2:D193,"Tam gün")=1),A193,0)</f>
        <v/>
      </c>
      <c r="H193" s="16">
        <f>IF(AND(D193="Yarım gün",COUNTIFS($A$2:A193,A193,$D$2:D193,"Yarım gün")=1),A193,0)</f>
        <v/>
      </c>
      <c r="I193" s="2">
        <f>IF(AND(ISNUMBER(A193),Hesapla!$B$18="Uyarı yok.",A193&gt;=Hesapla!$B$16,A193&lt;=Hesapla!$B$17),MAX(I$1:I192)+1,"")</f>
        <v/>
      </c>
    </row>
    <row r="194">
      <c r="A194" s="7" t="n"/>
      <c r="B194">
        <f>IF(A194="","",CHOOSE(WEEKDAY(A194,2),"Pazartesi","Salı","Çarşamba","Perşembe","Cuma","Cumartesi","Pazar"))</f>
        <v/>
      </c>
      <c r="G194" s="16">
        <f>IF(AND(D194="Tam gün",COUNTIFS($A$2:A194,A194,$D$2:D194,"Tam gün")=1),A194,0)</f>
        <v/>
      </c>
      <c r="H194" s="16">
        <f>IF(AND(D194="Yarım gün",COUNTIFS($A$2:A194,A194,$D$2:D194,"Yarım gün")=1),A194,0)</f>
        <v/>
      </c>
      <c r="I194" s="2">
        <f>IF(AND(ISNUMBER(A194),Hesapla!$B$18="Uyarı yok.",A194&gt;=Hesapla!$B$16,A194&lt;=Hesapla!$B$17),MAX(I$1:I193)+1,"")</f>
        <v/>
      </c>
    </row>
    <row r="195">
      <c r="A195" s="7" t="n"/>
      <c r="B195">
        <f>IF(A195="","",CHOOSE(WEEKDAY(A195,2),"Pazartesi","Salı","Çarşamba","Perşembe","Cuma","Cumartesi","Pazar"))</f>
        <v/>
      </c>
      <c r="G195" s="16">
        <f>IF(AND(D195="Tam gün",COUNTIFS($A$2:A195,A195,$D$2:D195,"Tam gün")=1),A195,0)</f>
        <v/>
      </c>
      <c r="H195" s="16">
        <f>IF(AND(D195="Yarım gün",COUNTIFS($A$2:A195,A195,$D$2:D195,"Yarım gün")=1),A195,0)</f>
        <v/>
      </c>
      <c r="I195" s="2">
        <f>IF(AND(ISNUMBER(A195),Hesapla!$B$18="Uyarı yok.",A195&gt;=Hesapla!$B$16,A195&lt;=Hesapla!$B$17),MAX(I$1:I194)+1,"")</f>
        <v/>
      </c>
    </row>
    <row r="196">
      <c r="A196" s="7" t="n"/>
      <c r="B196">
        <f>IF(A196="","",CHOOSE(WEEKDAY(A196,2),"Pazartesi","Salı","Çarşamba","Perşembe","Cuma","Cumartesi","Pazar"))</f>
        <v/>
      </c>
      <c r="G196" s="16">
        <f>IF(AND(D196="Tam gün",COUNTIFS($A$2:A196,A196,$D$2:D196,"Tam gün")=1),A196,0)</f>
        <v/>
      </c>
      <c r="H196" s="16">
        <f>IF(AND(D196="Yarım gün",COUNTIFS($A$2:A196,A196,$D$2:D196,"Yarım gün")=1),A196,0)</f>
        <v/>
      </c>
      <c r="I196" s="2">
        <f>IF(AND(ISNUMBER(A196),Hesapla!$B$18="Uyarı yok.",A196&gt;=Hesapla!$B$16,A196&lt;=Hesapla!$B$17),MAX(I$1:I195)+1,"")</f>
        <v/>
      </c>
    </row>
    <row r="197">
      <c r="A197" s="7" t="n"/>
      <c r="B197">
        <f>IF(A197="","",CHOOSE(WEEKDAY(A197,2),"Pazartesi","Salı","Çarşamba","Perşembe","Cuma","Cumartesi","Pazar"))</f>
        <v/>
      </c>
      <c r="G197" s="16">
        <f>IF(AND(D197="Tam gün",COUNTIFS($A$2:A197,A197,$D$2:D197,"Tam gün")=1),A197,0)</f>
        <v/>
      </c>
      <c r="H197" s="16">
        <f>IF(AND(D197="Yarım gün",COUNTIFS($A$2:A197,A197,$D$2:D197,"Yarım gün")=1),A197,0)</f>
        <v/>
      </c>
      <c r="I197" s="2">
        <f>IF(AND(ISNUMBER(A197),Hesapla!$B$18="Uyarı yok.",A197&gt;=Hesapla!$B$16,A197&lt;=Hesapla!$B$17),MAX(I$1:I196)+1,"")</f>
        <v/>
      </c>
    </row>
    <row r="198">
      <c r="A198" s="7" t="n"/>
      <c r="B198">
        <f>IF(A198="","",CHOOSE(WEEKDAY(A198,2),"Pazartesi","Salı","Çarşamba","Perşembe","Cuma","Cumartesi","Pazar"))</f>
        <v/>
      </c>
      <c r="G198" s="16">
        <f>IF(AND(D198="Tam gün",COUNTIFS($A$2:A198,A198,$D$2:D198,"Tam gün")=1),A198,0)</f>
        <v/>
      </c>
      <c r="H198" s="16">
        <f>IF(AND(D198="Yarım gün",COUNTIFS($A$2:A198,A198,$D$2:D198,"Yarım gün")=1),A198,0)</f>
        <v/>
      </c>
      <c r="I198" s="2">
        <f>IF(AND(ISNUMBER(A198),Hesapla!$B$18="Uyarı yok.",A198&gt;=Hesapla!$B$16,A198&lt;=Hesapla!$B$17),MAX(I$1:I197)+1,"")</f>
        <v/>
      </c>
    </row>
    <row r="199">
      <c r="A199" s="7" t="n"/>
      <c r="B199">
        <f>IF(A199="","",CHOOSE(WEEKDAY(A199,2),"Pazartesi","Salı","Çarşamba","Perşembe","Cuma","Cumartesi","Pazar"))</f>
        <v/>
      </c>
      <c r="G199" s="16">
        <f>IF(AND(D199="Tam gün",COUNTIFS($A$2:A199,A199,$D$2:D199,"Tam gün")=1),A199,0)</f>
        <v/>
      </c>
      <c r="H199" s="16">
        <f>IF(AND(D199="Yarım gün",COUNTIFS($A$2:A199,A199,$D$2:D199,"Yarım gün")=1),A199,0)</f>
        <v/>
      </c>
      <c r="I199" s="2">
        <f>IF(AND(ISNUMBER(A199),Hesapla!$B$18="Uyarı yok.",A199&gt;=Hesapla!$B$16,A199&lt;=Hesapla!$B$17),MAX(I$1:I198)+1,"")</f>
        <v/>
      </c>
    </row>
    <row r="200">
      <c r="A200" s="7" t="n"/>
      <c r="B200">
        <f>IF(A200="","",CHOOSE(WEEKDAY(A200,2),"Pazartesi","Salı","Çarşamba","Perşembe","Cuma","Cumartesi","Pazar"))</f>
        <v/>
      </c>
      <c r="G200" s="16">
        <f>IF(AND(D200="Tam gün",COUNTIFS($A$2:A200,A200,$D$2:D200,"Tam gün")=1),A200,0)</f>
        <v/>
      </c>
      <c r="H200" s="16">
        <f>IF(AND(D200="Yarım gün",COUNTIFS($A$2:A200,A200,$D$2:D200,"Yarım gün")=1),A200,0)</f>
        <v/>
      </c>
      <c r="I200" s="2">
        <f>IF(AND(ISNUMBER(A200),Hesapla!$B$18="Uyarı yok.",A200&gt;=Hesapla!$B$16,A200&lt;=Hesapla!$B$17),MAX(I$1:I199)+1,"")</f>
        <v/>
      </c>
    </row>
    <row r="201">
      <c r="A201" s="7" t="n"/>
      <c r="B201">
        <f>IF(A201="","",CHOOSE(WEEKDAY(A201,2),"Pazartesi","Salı","Çarşamba","Perşembe","Cuma","Cumartesi","Pazar"))</f>
        <v/>
      </c>
      <c r="G201" s="16">
        <f>IF(AND(D201="Tam gün",COUNTIFS($A$2:A201,A201,$D$2:D201,"Tam gün")=1),A201,0)</f>
        <v/>
      </c>
      <c r="H201" s="16">
        <f>IF(AND(D201="Yarım gün",COUNTIFS($A$2:A201,A201,$D$2:D201,"Yarım gün")=1),A201,0)</f>
        <v/>
      </c>
      <c r="I201" s="2">
        <f>IF(AND(ISNUMBER(A201),Hesapla!$B$18="Uyarı yok.",A201&gt;=Hesapla!$B$16,A201&lt;=Hesapla!$B$17),MAX(I$1:I200)+1,"")</f>
        <v/>
      </c>
    </row>
    <row r="202">
      <c r="A202" s="7" t="n"/>
      <c r="B202">
        <f>IF(A202="","",CHOOSE(WEEKDAY(A202,2),"Pazartesi","Salı","Çarşamba","Perşembe","Cuma","Cumartesi","Pazar"))</f>
        <v/>
      </c>
      <c r="G202" s="16">
        <f>IF(AND(D202="Tam gün",COUNTIFS($A$2:A202,A202,$D$2:D202,"Tam gün")=1),A202,0)</f>
        <v/>
      </c>
      <c r="H202" s="16">
        <f>IF(AND(D202="Yarım gün",COUNTIFS($A$2:A202,A202,$D$2:D202,"Yarım gün")=1),A202,0)</f>
        <v/>
      </c>
      <c r="I202" s="2">
        <f>IF(AND(ISNUMBER(A202),Hesapla!$B$18="Uyarı yok.",A202&gt;=Hesapla!$B$16,A202&lt;=Hesapla!$B$17),MAX(I$1:I201)+1,"")</f>
        <v/>
      </c>
    </row>
    <row r="203">
      <c r="A203" s="7" t="n"/>
      <c r="B203">
        <f>IF(A203="","",CHOOSE(WEEKDAY(A203,2),"Pazartesi","Salı","Çarşamba","Perşembe","Cuma","Cumartesi","Pazar"))</f>
        <v/>
      </c>
      <c r="G203" s="16">
        <f>IF(AND(D203="Tam gün",COUNTIFS($A$2:A203,A203,$D$2:D203,"Tam gün")=1),A203,0)</f>
        <v/>
      </c>
      <c r="H203" s="16">
        <f>IF(AND(D203="Yarım gün",COUNTIFS($A$2:A203,A203,$D$2:D203,"Yarım gün")=1),A203,0)</f>
        <v/>
      </c>
      <c r="I203" s="2">
        <f>IF(AND(ISNUMBER(A203),Hesapla!$B$18="Uyarı yok.",A203&gt;=Hesapla!$B$16,A203&lt;=Hesapla!$B$17),MAX(I$1:I202)+1,"")</f>
        <v/>
      </c>
    </row>
    <row r="204">
      <c r="A204" s="7" t="n"/>
      <c r="B204">
        <f>IF(A204="","",CHOOSE(WEEKDAY(A204,2),"Pazartesi","Salı","Çarşamba","Perşembe","Cuma","Cumartesi","Pazar"))</f>
        <v/>
      </c>
      <c r="G204" s="16">
        <f>IF(AND(D204="Tam gün",COUNTIFS($A$2:A204,A204,$D$2:D204,"Tam gün")=1),A204,0)</f>
        <v/>
      </c>
      <c r="H204" s="16">
        <f>IF(AND(D204="Yarım gün",COUNTIFS($A$2:A204,A204,$D$2:D204,"Yarım gün")=1),A204,0)</f>
        <v/>
      </c>
      <c r="I204" s="2">
        <f>IF(AND(ISNUMBER(A204),Hesapla!$B$18="Uyarı yok.",A204&gt;=Hesapla!$B$16,A204&lt;=Hesapla!$B$17),MAX(I$1:I203)+1,"")</f>
        <v/>
      </c>
    </row>
    <row r="205">
      <c r="A205" s="7" t="n"/>
      <c r="B205">
        <f>IF(A205="","",CHOOSE(WEEKDAY(A205,2),"Pazartesi","Salı","Çarşamba","Perşembe","Cuma","Cumartesi","Pazar"))</f>
        <v/>
      </c>
      <c r="G205" s="16">
        <f>IF(AND(D205="Tam gün",COUNTIFS($A$2:A205,A205,$D$2:D205,"Tam gün")=1),A205,0)</f>
        <v/>
      </c>
      <c r="H205" s="16">
        <f>IF(AND(D205="Yarım gün",COUNTIFS($A$2:A205,A205,$D$2:D205,"Yarım gün")=1),A205,0)</f>
        <v/>
      </c>
      <c r="I205" s="2">
        <f>IF(AND(ISNUMBER(A205),Hesapla!$B$18="Uyarı yok.",A205&gt;=Hesapla!$B$16,A205&lt;=Hesapla!$B$17),MAX(I$1:I204)+1,"")</f>
        <v/>
      </c>
    </row>
    <row r="206">
      <c r="A206" s="7" t="n"/>
      <c r="B206">
        <f>IF(A206="","",CHOOSE(WEEKDAY(A206,2),"Pazartesi","Salı","Çarşamba","Perşembe","Cuma","Cumartesi","Pazar"))</f>
        <v/>
      </c>
      <c r="G206" s="16">
        <f>IF(AND(D206="Tam gün",COUNTIFS($A$2:A206,A206,$D$2:D206,"Tam gün")=1),A206,0)</f>
        <v/>
      </c>
      <c r="H206" s="16">
        <f>IF(AND(D206="Yarım gün",COUNTIFS($A$2:A206,A206,$D$2:D206,"Yarım gün")=1),A206,0)</f>
        <v/>
      </c>
      <c r="I206" s="2">
        <f>IF(AND(ISNUMBER(A206),Hesapla!$B$18="Uyarı yok.",A206&gt;=Hesapla!$B$16,A206&lt;=Hesapla!$B$17),MAX(I$1:I205)+1,"")</f>
        <v/>
      </c>
    </row>
    <row r="207">
      <c r="A207" s="7" t="n"/>
      <c r="B207">
        <f>IF(A207="","",CHOOSE(WEEKDAY(A207,2),"Pazartesi","Salı","Çarşamba","Perşembe","Cuma","Cumartesi","Pazar"))</f>
        <v/>
      </c>
      <c r="G207" s="16">
        <f>IF(AND(D207="Tam gün",COUNTIFS($A$2:A207,A207,$D$2:D207,"Tam gün")=1),A207,0)</f>
        <v/>
      </c>
      <c r="H207" s="16">
        <f>IF(AND(D207="Yarım gün",COUNTIFS($A$2:A207,A207,$D$2:D207,"Yarım gün")=1),A207,0)</f>
        <v/>
      </c>
      <c r="I207" s="2">
        <f>IF(AND(ISNUMBER(A207),Hesapla!$B$18="Uyarı yok.",A207&gt;=Hesapla!$B$16,A207&lt;=Hesapla!$B$17),MAX(I$1:I206)+1,"")</f>
        <v/>
      </c>
    </row>
    <row r="208">
      <c r="A208" s="7" t="n"/>
      <c r="B208">
        <f>IF(A208="","",CHOOSE(WEEKDAY(A208,2),"Pazartesi","Salı","Çarşamba","Perşembe","Cuma","Cumartesi","Pazar"))</f>
        <v/>
      </c>
      <c r="G208" s="16">
        <f>IF(AND(D208="Tam gün",COUNTIFS($A$2:A208,A208,$D$2:D208,"Tam gün")=1),A208,0)</f>
        <v/>
      </c>
      <c r="H208" s="16">
        <f>IF(AND(D208="Yarım gün",COUNTIFS($A$2:A208,A208,$D$2:D208,"Yarım gün")=1),A208,0)</f>
        <v/>
      </c>
      <c r="I208" s="2">
        <f>IF(AND(ISNUMBER(A208),Hesapla!$B$18="Uyarı yok.",A208&gt;=Hesapla!$B$16,A208&lt;=Hesapla!$B$17),MAX(I$1:I207)+1,"")</f>
        <v/>
      </c>
    </row>
    <row r="209">
      <c r="A209" s="7" t="n"/>
      <c r="B209">
        <f>IF(A209="","",CHOOSE(WEEKDAY(A209,2),"Pazartesi","Salı","Çarşamba","Perşembe","Cuma","Cumartesi","Pazar"))</f>
        <v/>
      </c>
      <c r="G209" s="16">
        <f>IF(AND(D209="Tam gün",COUNTIFS($A$2:A209,A209,$D$2:D209,"Tam gün")=1),A209,0)</f>
        <v/>
      </c>
      <c r="H209" s="16">
        <f>IF(AND(D209="Yarım gün",COUNTIFS($A$2:A209,A209,$D$2:D209,"Yarım gün")=1),A209,0)</f>
        <v/>
      </c>
      <c r="I209" s="2">
        <f>IF(AND(ISNUMBER(A209),Hesapla!$B$18="Uyarı yok.",A209&gt;=Hesapla!$B$16,A209&lt;=Hesapla!$B$17),MAX(I$1:I208)+1,"")</f>
        <v/>
      </c>
    </row>
    <row r="210">
      <c r="A210" s="7" t="n"/>
      <c r="B210">
        <f>IF(A210="","",CHOOSE(WEEKDAY(A210,2),"Pazartesi","Salı","Çarşamba","Perşembe","Cuma","Cumartesi","Pazar"))</f>
        <v/>
      </c>
      <c r="G210" s="16">
        <f>IF(AND(D210="Tam gün",COUNTIFS($A$2:A210,A210,$D$2:D210,"Tam gün")=1),A210,0)</f>
        <v/>
      </c>
      <c r="H210" s="16">
        <f>IF(AND(D210="Yarım gün",COUNTIFS($A$2:A210,A210,$D$2:D210,"Yarım gün")=1),A210,0)</f>
        <v/>
      </c>
      <c r="I210" s="2">
        <f>IF(AND(ISNUMBER(A210),Hesapla!$B$18="Uyarı yok.",A210&gt;=Hesapla!$B$16,A210&lt;=Hesapla!$B$17),MAX(I$1:I209)+1,"")</f>
        <v/>
      </c>
    </row>
    <row r="211">
      <c r="A211" s="7" t="n"/>
      <c r="B211">
        <f>IF(A211="","",CHOOSE(WEEKDAY(A211,2),"Pazartesi","Salı","Çarşamba","Perşembe","Cuma","Cumartesi","Pazar"))</f>
        <v/>
      </c>
      <c r="G211" s="16">
        <f>IF(AND(D211="Tam gün",COUNTIFS($A$2:A211,A211,$D$2:D211,"Tam gün")=1),A211,0)</f>
        <v/>
      </c>
      <c r="H211" s="16">
        <f>IF(AND(D211="Yarım gün",COUNTIFS($A$2:A211,A211,$D$2:D211,"Yarım gün")=1),A211,0)</f>
        <v/>
      </c>
      <c r="I211" s="2">
        <f>IF(AND(ISNUMBER(A211),Hesapla!$B$18="Uyarı yok.",A211&gt;=Hesapla!$B$16,A211&lt;=Hesapla!$B$17),MAX(I$1:I210)+1,"")</f>
        <v/>
      </c>
    </row>
    <row r="212">
      <c r="A212" s="7" t="n"/>
      <c r="B212">
        <f>IF(A212="","",CHOOSE(WEEKDAY(A212,2),"Pazartesi","Salı","Çarşamba","Perşembe","Cuma","Cumartesi","Pazar"))</f>
        <v/>
      </c>
      <c r="G212" s="16">
        <f>IF(AND(D212="Tam gün",COUNTIFS($A$2:A212,A212,$D$2:D212,"Tam gün")=1),A212,0)</f>
        <v/>
      </c>
      <c r="H212" s="16">
        <f>IF(AND(D212="Yarım gün",COUNTIFS($A$2:A212,A212,$D$2:D212,"Yarım gün")=1),A212,0)</f>
        <v/>
      </c>
      <c r="I212" s="2">
        <f>IF(AND(ISNUMBER(A212),Hesapla!$B$18="Uyarı yok.",A212&gt;=Hesapla!$B$16,A212&lt;=Hesapla!$B$17),MAX(I$1:I211)+1,"")</f>
        <v/>
      </c>
    </row>
    <row r="213">
      <c r="A213" s="7" t="n"/>
      <c r="B213">
        <f>IF(A213="","",CHOOSE(WEEKDAY(A213,2),"Pazartesi","Salı","Çarşamba","Perşembe","Cuma","Cumartesi","Pazar"))</f>
        <v/>
      </c>
      <c r="G213" s="16">
        <f>IF(AND(D213="Tam gün",COUNTIFS($A$2:A213,A213,$D$2:D213,"Tam gün")=1),A213,0)</f>
        <v/>
      </c>
      <c r="H213" s="16">
        <f>IF(AND(D213="Yarım gün",COUNTIFS($A$2:A213,A213,$D$2:D213,"Yarım gün")=1),A213,0)</f>
        <v/>
      </c>
      <c r="I213" s="2">
        <f>IF(AND(ISNUMBER(A213),Hesapla!$B$18="Uyarı yok.",A213&gt;=Hesapla!$B$16,A213&lt;=Hesapla!$B$17),MAX(I$1:I212)+1,"")</f>
        <v/>
      </c>
    </row>
    <row r="214">
      <c r="A214" s="7" t="n"/>
      <c r="B214">
        <f>IF(A214="","",CHOOSE(WEEKDAY(A214,2),"Pazartesi","Salı","Çarşamba","Perşembe","Cuma","Cumartesi","Pazar"))</f>
        <v/>
      </c>
      <c r="G214" s="16">
        <f>IF(AND(D214="Tam gün",COUNTIFS($A$2:A214,A214,$D$2:D214,"Tam gün")=1),A214,0)</f>
        <v/>
      </c>
      <c r="H214" s="16">
        <f>IF(AND(D214="Yarım gün",COUNTIFS($A$2:A214,A214,$D$2:D214,"Yarım gün")=1),A214,0)</f>
        <v/>
      </c>
      <c r="I214" s="2">
        <f>IF(AND(ISNUMBER(A214),Hesapla!$B$18="Uyarı yok.",A214&gt;=Hesapla!$B$16,A214&lt;=Hesapla!$B$17),MAX(I$1:I213)+1,"")</f>
        <v/>
      </c>
    </row>
    <row r="215">
      <c r="A215" s="7" t="n"/>
      <c r="B215">
        <f>IF(A215="","",CHOOSE(WEEKDAY(A215,2),"Pazartesi","Salı","Çarşamba","Perşembe","Cuma","Cumartesi","Pazar"))</f>
        <v/>
      </c>
      <c r="G215" s="16">
        <f>IF(AND(D215="Tam gün",COUNTIFS($A$2:A215,A215,$D$2:D215,"Tam gün")=1),A215,0)</f>
        <v/>
      </c>
      <c r="H215" s="16">
        <f>IF(AND(D215="Yarım gün",COUNTIFS($A$2:A215,A215,$D$2:D215,"Yarım gün")=1),A215,0)</f>
        <v/>
      </c>
      <c r="I215" s="2">
        <f>IF(AND(ISNUMBER(A215),Hesapla!$B$18="Uyarı yok.",A215&gt;=Hesapla!$B$16,A215&lt;=Hesapla!$B$17),MAX(I$1:I214)+1,"")</f>
        <v/>
      </c>
    </row>
    <row r="216">
      <c r="A216" s="7" t="n"/>
      <c r="B216">
        <f>IF(A216="","",CHOOSE(WEEKDAY(A216,2),"Pazartesi","Salı","Çarşamba","Perşembe","Cuma","Cumartesi","Pazar"))</f>
        <v/>
      </c>
      <c r="G216" s="16">
        <f>IF(AND(D216="Tam gün",COUNTIFS($A$2:A216,A216,$D$2:D216,"Tam gün")=1),A216,0)</f>
        <v/>
      </c>
      <c r="H216" s="16">
        <f>IF(AND(D216="Yarım gün",COUNTIFS($A$2:A216,A216,$D$2:D216,"Yarım gün")=1),A216,0)</f>
        <v/>
      </c>
      <c r="I216" s="2">
        <f>IF(AND(ISNUMBER(A216),Hesapla!$B$18="Uyarı yok.",A216&gt;=Hesapla!$B$16,A216&lt;=Hesapla!$B$17),MAX(I$1:I215)+1,"")</f>
        <v/>
      </c>
    </row>
    <row r="217">
      <c r="A217" s="7" t="n"/>
      <c r="B217">
        <f>IF(A217="","",CHOOSE(WEEKDAY(A217,2),"Pazartesi","Salı","Çarşamba","Perşembe","Cuma","Cumartesi","Pazar"))</f>
        <v/>
      </c>
      <c r="G217" s="16">
        <f>IF(AND(D217="Tam gün",COUNTIFS($A$2:A217,A217,$D$2:D217,"Tam gün")=1),A217,0)</f>
        <v/>
      </c>
      <c r="H217" s="16">
        <f>IF(AND(D217="Yarım gün",COUNTIFS($A$2:A217,A217,$D$2:D217,"Yarım gün")=1),A217,0)</f>
        <v/>
      </c>
      <c r="I217" s="2">
        <f>IF(AND(ISNUMBER(A217),Hesapla!$B$18="Uyarı yok.",A217&gt;=Hesapla!$B$16,A217&lt;=Hesapla!$B$17),MAX(I$1:I216)+1,"")</f>
        <v/>
      </c>
    </row>
    <row r="218">
      <c r="A218" s="7" t="n"/>
      <c r="B218">
        <f>IF(A218="","",CHOOSE(WEEKDAY(A218,2),"Pazartesi","Salı","Çarşamba","Perşembe","Cuma","Cumartesi","Pazar"))</f>
        <v/>
      </c>
      <c r="G218" s="16">
        <f>IF(AND(D218="Tam gün",COUNTIFS($A$2:A218,A218,$D$2:D218,"Tam gün")=1),A218,0)</f>
        <v/>
      </c>
      <c r="H218" s="16">
        <f>IF(AND(D218="Yarım gün",COUNTIFS($A$2:A218,A218,$D$2:D218,"Yarım gün")=1),A218,0)</f>
        <v/>
      </c>
      <c r="I218" s="2">
        <f>IF(AND(ISNUMBER(A218),Hesapla!$B$18="Uyarı yok.",A218&gt;=Hesapla!$B$16,A218&lt;=Hesapla!$B$17),MAX(I$1:I217)+1,"")</f>
        <v/>
      </c>
    </row>
    <row r="219">
      <c r="A219" s="7" t="n"/>
      <c r="B219">
        <f>IF(A219="","",CHOOSE(WEEKDAY(A219,2),"Pazartesi","Salı","Çarşamba","Perşembe","Cuma","Cumartesi","Pazar"))</f>
        <v/>
      </c>
      <c r="G219" s="16">
        <f>IF(AND(D219="Tam gün",COUNTIFS($A$2:A219,A219,$D$2:D219,"Tam gün")=1),A219,0)</f>
        <v/>
      </c>
      <c r="H219" s="16">
        <f>IF(AND(D219="Yarım gün",COUNTIFS($A$2:A219,A219,$D$2:D219,"Yarım gün")=1),A219,0)</f>
        <v/>
      </c>
      <c r="I219" s="2">
        <f>IF(AND(ISNUMBER(A219),Hesapla!$B$18="Uyarı yok.",A219&gt;=Hesapla!$B$16,A219&lt;=Hesapla!$B$17),MAX(I$1:I218)+1,"")</f>
        <v/>
      </c>
    </row>
    <row r="220">
      <c r="A220" s="7" t="n"/>
      <c r="B220">
        <f>IF(A220="","",CHOOSE(WEEKDAY(A220,2),"Pazartesi","Salı","Çarşamba","Perşembe","Cuma","Cumartesi","Pazar"))</f>
        <v/>
      </c>
      <c r="G220" s="16">
        <f>IF(AND(D220="Tam gün",COUNTIFS($A$2:A220,A220,$D$2:D220,"Tam gün")=1),A220,0)</f>
        <v/>
      </c>
      <c r="H220" s="16">
        <f>IF(AND(D220="Yarım gün",COUNTIFS($A$2:A220,A220,$D$2:D220,"Yarım gün")=1),A220,0)</f>
        <v/>
      </c>
      <c r="I220" s="2">
        <f>IF(AND(ISNUMBER(A220),Hesapla!$B$18="Uyarı yok.",A220&gt;=Hesapla!$B$16,A220&lt;=Hesapla!$B$17),MAX(I$1:I219)+1,"")</f>
        <v/>
      </c>
    </row>
    <row r="221">
      <c r="A221" s="7" t="n"/>
      <c r="B221">
        <f>IF(A221="","",CHOOSE(WEEKDAY(A221,2),"Pazartesi","Salı","Çarşamba","Perşembe","Cuma","Cumartesi","Pazar"))</f>
        <v/>
      </c>
      <c r="G221" s="16">
        <f>IF(AND(D221="Tam gün",COUNTIFS($A$2:A221,A221,$D$2:D221,"Tam gün")=1),A221,0)</f>
        <v/>
      </c>
      <c r="H221" s="16">
        <f>IF(AND(D221="Yarım gün",COUNTIFS($A$2:A221,A221,$D$2:D221,"Yarım gün")=1),A221,0)</f>
        <v/>
      </c>
      <c r="I221" s="2">
        <f>IF(AND(ISNUMBER(A221),Hesapla!$B$18="Uyarı yok.",A221&gt;=Hesapla!$B$16,A221&lt;=Hesapla!$B$17),MAX(I$1:I220)+1,"")</f>
        <v/>
      </c>
    </row>
    <row r="222">
      <c r="A222" s="7" t="n"/>
      <c r="B222">
        <f>IF(A222="","",CHOOSE(WEEKDAY(A222,2),"Pazartesi","Salı","Çarşamba","Perşembe","Cuma","Cumartesi","Pazar"))</f>
        <v/>
      </c>
      <c r="G222" s="16">
        <f>IF(AND(D222="Tam gün",COUNTIFS($A$2:A222,A222,$D$2:D222,"Tam gün")=1),A222,0)</f>
        <v/>
      </c>
      <c r="H222" s="16">
        <f>IF(AND(D222="Yarım gün",COUNTIFS($A$2:A222,A222,$D$2:D222,"Yarım gün")=1),A222,0)</f>
        <v/>
      </c>
      <c r="I222" s="2">
        <f>IF(AND(ISNUMBER(A222),Hesapla!$B$18="Uyarı yok.",A222&gt;=Hesapla!$B$16,A222&lt;=Hesapla!$B$17),MAX(I$1:I221)+1,"")</f>
        <v/>
      </c>
    </row>
    <row r="223">
      <c r="A223" s="7" t="n"/>
      <c r="B223">
        <f>IF(A223="","",CHOOSE(WEEKDAY(A223,2),"Pazartesi","Salı","Çarşamba","Perşembe","Cuma","Cumartesi","Pazar"))</f>
        <v/>
      </c>
      <c r="G223" s="16">
        <f>IF(AND(D223="Tam gün",COUNTIFS($A$2:A223,A223,$D$2:D223,"Tam gün")=1),A223,0)</f>
        <v/>
      </c>
      <c r="H223" s="16">
        <f>IF(AND(D223="Yarım gün",COUNTIFS($A$2:A223,A223,$D$2:D223,"Yarım gün")=1),A223,0)</f>
        <v/>
      </c>
      <c r="I223" s="2">
        <f>IF(AND(ISNUMBER(A223),Hesapla!$B$18="Uyarı yok.",A223&gt;=Hesapla!$B$16,A223&lt;=Hesapla!$B$17),MAX(I$1:I222)+1,"")</f>
        <v/>
      </c>
    </row>
    <row r="224">
      <c r="A224" s="7" t="n"/>
      <c r="B224">
        <f>IF(A224="","",CHOOSE(WEEKDAY(A224,2),"Pazartesi","Salı","Çarşamba","Perşembe","Cuma","Cumartesi","Pazar"))</f>
        <v/>
      </c>
      <c r="G224" s="16">
        <f>IF(AND(D224="Tam gün",COUNTIFS($A$2:A224,A224,$D$2:D224,"Tam gün")=1),A224,0)</f>
        <v/>
      </c>
      <c r="H224" s="16">
        <f>IF(AND(D224="Yarım gün",COUNTIFS($A$2:A224,A224,$D$2:D224,"Yarım gün")=1),A224,0)</f>
        <v/>
      </c>
      <c r="I224" s="2">
        <f>IF(AND(ISNUMBER(A224),Hesapla!$B$18="Uyarı yok.",A224&gt;=Hesapla!$B$16,A224&lt;=Hesapla!$B$17),MAX(I$1:I223)+1,"")</f>
        <v/>
      </c>
    </row>
    <row r="225">
      <c r="A225" s="7" t="n"/>
      <c r="B225">
        <f>IF(A225="","",CHOOSE(WEEKDAY(A225,2),"Pazartesi","Salı","Çarşamba","Perşembe","Cuma","Cumartesi","Pazar"))</f>
        <v/>
      </c>
      <c r="G225" s="16">
        <f>IF(AND(D225="Tam gün",COUNTIFS($A$2:A225,A225,$D$2:D225,"Tam gün")=1),A225,0)</f>
        <v/>
      </c>
      <c r="H225" s="16">
        <f>IF(AND(D225="Yarım gün",COUNTIFS($A$2:A225,A225,$D$2:D225,"Yarım gün")=1),A225,0)</f>
        <v/>
      </c>
      <c r="I225" s="2">
        <f>IF(AND(ISNUMBER(A225),Hesapla!$B$18="Uyarı yok.",A225&gt;=Hesapla!$B$16,A225&lt;=Hesapla!$B$17),MAX(I$1:I224)+1,"")</f>
        <v/>
      </c>
    </row>
    <row r="226">
      <c r="A226" s="7" t="n"/>
      <c r="B226">
        <f>IF(A226="","",CHOOSE(WEEKDAY(A226,2),"Pazartesi","Salı","Çarşamba","Perşembe","Cuma","Cumartesi","Pazar"))</f>
        <v/>
      </c>
      <c r="G226" s="16">
        <f>IF(AND(D226="Tam gün",COUNTIFS($A$2:A226,A226,$D$2:D226,"Tam gün")=1),A226,0)</f>
        <v/>
      </c>
      <c r="H226" s="16">
        <f>IF(AND(D226="Yarım gün",COUNTIFS($A$2:A226,A226,$D$2:D226,"Yarım gün")=1),A226,0)</f>
        <v/>
      </c>
      <c r="I226" s="2">
        <f>IF(AND(ISNUMBER(A226),Hesapla!$B$18="Uyarı yok.",A226&gt;=Hesapla!$B$16,A226&lt;=Hesapla!$B$17),MAX(I$1:I225)+1,"")</f>
        <v/>
      </c>
    </row>
    <row r="227">
      <c r="A227" s="7" t="n"/>
      <c r="B227">
        <f>IF(A227="","",CHOOSE(WEEKDAY(A227,2),"Pazartesi","Salı","Çarşamba","Perşembe","Cuma","Cumartesi","Pazar"))</f>
        <v/>
      </c>
      <c r="G227" s="16">
        <f>IF(AND(D227="Tam gün",COUNTIFS($A$2:A227,A227,$D$2:D227,"Tam gün")=1),A227,0)</f>
        <v/>
      </c>
      <c r="H227" s="16">
        <f>IF(AND(D227="Yarım gün",COUNTIFS($A$2:A227,A227,$D$2:D227,"Yarım gün")=1),A227,0)</f>
        <v/>
      </c>
      <c r="I227" s="2">
        <f>IF(AND(ISNUMBER(A227),Hesapla!$B$18="Uyarı yok.",A227&gt;=Hesapla!$B$16,A227&lt;=Hesapla!$B$17),MAX(I$1:I226)+1,"")</f>
        <v/>
      </c>
    </row>
    <row r="228">
      <c r="A228" s="7" t="n"/>
      <c r="B228">
        <f>IF(A228="","",CHOOSE(WEEKDAY(A228,2),"Pazartesi","Salı","Çarşamba","Perşembe","Cuma","Cumartesi","Pazar"))</f>
        <v/>
      </c>
      <c r="G228" s="16">
        <f>IF(AND(D228="Tam gün",COUNTIFS($A$2:A228,A228,$D$2:D228,"Tam gün")=1),A228,0)</f>
        <v/>
      </c>
      <c r="H228" s="16">
        <f>IF(AND(D228="Yarım gün",COUNTIFS($A$2:A228,A228,$D$2:D228,"Yarım gün")=1),A228,0)</f>
        <v/>
      </c>
      <c r="I228" s="2">
        <f>IF(AND(ISNUMBER(A228),Hesapla!$B$18="Uyarı yok.",A228&gt;=Hesapla!$B$16,A228&lt;=Hesapla!$B$17),MAX(I$1:I227)+1,"")</f>
        <v/>
      </c>
    </row>
    <row r="229">
      <c r="A229" s="7" t="n"/>
      <c r="B229">
        <f>IF(A229="","",CHOOSE(WEEKDAY(A229,2),"Pazartesi","Salı","Çarşamba","Perşembe","Cuma","Cumartesi","Pazar"))</f>
        <v/>
      </c>
      <c r="G229" s="16">
        <f>IF(AND(D229="Tam gün",COUNTIFS($A$2:A229,A229,$D$2:D229,"Tam gün")=1),A229,0)</f>
        <v/>
      </c>
      <c r="H229" s="16">
        <f>IF(AND(D229="Yarım gün",COUNTIFS($A$2:A229,A229,$D$2:D229,"Yarım gün")=1),A229,0)</f>
        <v/>
      </c>
      <c r="I229" s="2">
        <f>IF(AND(ISNUMBER(A229),Hesapla!$B$18="Uyarı yok.",A229&gt;=Hesapla!$B$16,A229&lt;=Hesapla!$B$17),MAX(I$1:I228)+1,"")</f>
        <v/>
      </c>
    </row>
    <row r="230">
      <c r="A230" s="7" t="n"/>
      <c r="B230">
        <f>IF(A230="","",CHOOSE(WEEKDAY(A230,2),"Pazartesi","Salı","Çarşamba","Perşembe","Cuma","Cumartesi","Pazar"))</f>
        <v/>
      </c>
      <c r="G230" s="16">
        <f>IF(AND(D230="Tam gün",COUNTIFS($A$2:A230,A230,$D$2:D230,"Tam gün")=1),A230,0)</f>
        <v/>
      </c>
      <c r="H230" s="16">
        <f>IF(AND(D230="Yarım gün",COUNTIFS($A$2:A230,A230,$D$2:D230,"Yarım gün")=1),A230,0)</f>
        <v/>
      </c>
      <c r="I230" s="2">
        <f>IF(AND(ISNUMBER(A230),Hesapla!$B$18="Uyarı yok.",A230&gt;=Hesapla!$B$16,A230&lt;=Hesapla!$B$17),MAX(I$1:I229)+1,"")</f>
        <v/>
      </c>
    </row>
    <row r="231">
      <c r="A231" s="7" t="n"/>
      <c r="B231">
        <f>IF(A231="","",CHOOSE(WEEKDAY(A231,2),"Pazartesi","Salı","Çarşamba","Perşembe","Cuma","Cumartesi","Pazar"))</f>
        <v/>
      </c>
      <c r="G231" s="16">
        <f>IF(AND(D231="Tam gün",COUNTIFS($A$2:A231,A231,$D$2:D231,"Tam gün")=1),A231,0)</f>
        <v/>
      </c>
      <c r="H231" s="16">
        <f>IF(AND(D231="Yarım gün",COUNTIFS($A$2:A231,A231,$D$2:D231,"Yarım gün")=1),A231,0)</f>
        <v/>
      </c>
      <c r="I231" s="2">
        <f>IF(AND(ISNUMBER(A231),Hesapla!$B$18="Uyarı yok.",A231&gt;=Hesapla!$B$16,A231&lt;=Hesapla!$B$17),MAX(I$1:I230)+1,"")</f>
        <v/>
      </c>
    </row>
    <row r="232">
      <c r="A232" s="7" t="n"/>
      <c r="B232">
        <f>IF(A232="","",CHOOSE(WEEKDAY(A232,2),"Pazartesi","Salı","Çarşamba","Perşembe","Cuma","Cumartesi","Pazar"))</f>
        <v/>
      </c>
      <c r="G232" s="16">
        <f>IF(AND(D232="Tam gün",COUNTIFS($A$2:A232,A232,$D$2:D232,"Tam gün")=1),A232,0)</f>
        <v/>
      </c>
      <c r="H232" s="16">
        <f>IF(AND(D232="Yarım gün",COUNTIFS($A$2:A232,A232,$D$2:D232,"Yarım gün")=1),A232,0)</f>
        <v/>
      </c>
      <c r="I232" s="2">
        <f>IF(AND(ISNUMBER(A232),Hesapla!$B$18="Uyarı yok.",A232&gt;=Hesapla!$B$16,A232&lt;=Hesapla!$B$17),MAX(I$1:I231)+1,"")</f>
        <v/>
      </c>
    </row>
    <row r="233">
      <c r="A233" s="7" t="n"/>
      <c r="B233">
        <f>IF(A233="","",CHOOSE(WEEKDAY(A233,2),"Pazartesi","Salı","Çarşamba","Perşembe","Cuma","Cumartesi","Pazar"))</f>
        <v/>
      </c>
      <c r="G233" s="16">
        <f>IF(AND(D233="Tam gün",COUNTIFS($A$2:A233,A233,$D$2:D233,"Tam gün")=1),A233,0)</f>
        <v/>
      </c>
      <c r="H233" s="16">
        <f>IF(AND(D233="Yarım gün",COUNTIFS($A$2:A233,A233,$D$2:D233,"Yarım gün")=1),A233,0)</f>
        <v/>
      </c>
      <c r="I233" s="2">
        <f>IF(AND(ISNUMBER(A233),Hesapla!$B$18="Uyarı yok.",A233&gt;=Hesapla!$B$16,A233&lt;=Hesapla!$B$17),MAX(I$1:I232)+1,"")</f>
        <v/>
      </c>
    </row>
    <row r="234">
      <c r="A234" s="7" t="n"/>
      <c r="B234">
        <f>IF(A234="","",CHOOSE(WEEKDAY(A234,2),"Pazartesi","Salı","Çarşamba","Perşembe","Cuma","Cumartesi","Pazar"))</f>
        <v/>
      </c>
      <c r="G234" s="16">
        <f>IF(AND(D234="Tam gün",COUNTIFS($A$2:A234,A234,$D$2:D234,"Tam gün")=1),A234,0)</f>
        <v/>
      </c>
      <c r="H234" s="16">
        <f>IF(AND(D234="Yarım gün",COUNTIFS($A$2:A234,A234,$D$2:D234,"Yarım gün")=1),A234,0)</f>
        <v/>
      </c>
      <c r="I234" s="2">
        <f>IF(AND(ISNUMBER(A234),Hesapla!$B$18="Uyarı yok.",A234&gt;=Hesapla!$B$16,A234&lt;=Hesapla!$B$17),MAX(I$1:I233)+1,"")</f>
        <v/>
      </c>
    </row>
    <row r="235">
      <c r="A235" s="7" t="n"/>
      <c r="B235">
        <f>IF(A235="","",CHOOSE(WEEKDAY(A235,2),"Pazartesi","Salı","Çarşamba","Perşembe","Cuma","Cumartesi","Pazar"))</f>
        <v/>
      </c>
      <c r="G235" s="16">
        <f>IF(AND(D235="Tam gün",COUNTIFS($A$2:A235,A235,$D$2:D235,"Tam gün")=1),A235,0)</f>
        <v/>
      </c>
      <c r="H235" s="16">
        <f>IF(AND(D235="Yarım gün",COUNTIFS($A$2:A235,A235,$D$2:D235,"Yarım gün")=1),A235,0)</f>
        <v/>
      </c>
      <c r="I235" s="2">
        <f>IF(AND(ISNUMBER(A235),Hesapla!$B$18="Uyarı yok.",A235&gt;=Hesapla!$B$16,A235&lt;=Hesapla!$B$17),MAX(I$1:I234)+1,"")</f>
        <v/>
      </c>
    </row>
    <row r="236">
      <c r="A236" s="7" t="n"/>
      <c r="B236">
        <f>IF(A236="","",CHOOSE(WEEKDAY(A236,2),"Pazartesi","Salı","Çarşamba","Perşembe","Cuma","Cumartesi","Pazar"))</f>
        <v/>
      </c>
      <c r="G236" s="16">
        <f>IF(AND(D236="Tam gün",COUNTIFS($A$2:A236,A236,$D$2:D236,"Tam gün")=1),A236,0)</f>
        <v/>
      </c>
      <c r="H236" s="16">
        <f>IF(AND(D236="Yarım gün",COUNTIFS($A$2:A236,A236,$D$2:D236,"Yarım gün")=1),A236,0)</f>
        <v/>
      </c>
      <c r="I236" s="2">
        <f>IF(AND(ISNUMBER(A236),Hesapla!$B$18="Uyarı yok.",A236&gt;=Hesapla!$B$16,A236&lt;=Hesapla!$B$17),MAX(I$1:I235)+1,"")</f>
        <v/>
      </c>
    </row>
    <row r="237">
      <c r="A237" s="7" t="n"/>
      <c r="B237">
        <f>IF(A237="","",CHOOSE(WEEKDAY(A237,2),"Pazartesi","Salı","Çarşamba","Perşembe","Cuma","Cumartesi","Pazar"))</f>
        <v/>
      </c>
      <c r="G237" s="16">
        <f>IF(AND(D237="Tam gün",COUNTIFS($A$2:A237,A237,$D$2:D237,"Tam gün")=1),A237,0)</f>
        <v/>
      </c>
      <c r="H237" s="16">
        <f>IF(AND(D237="Yarım gün",COUNTIFS($A$2:A237,A237,$D$2:D237,"Yarım gün")=1),A237,0)</f>
        <v/>
      </c>
      <c r="I237" s="2">
        <f>IF(AND(ISNUMBER(A237),Hesapla!$B$18="Uyarı yok.",A237&gt;=Hesapla!$B$16,A237&lt;=Hesapla!$B$17),MAX(I$1:I236)+1,"")</f>
        <v/>
      </c>
    </row>
    <row r="238">
      <c r="A238" s="7" t="n"/>
      <c r="B238">
        <f>IF(A238="","",CHOOSE(WEEKDAY(A238,2),"Pazartesi","Salı","Çarşamba","Perşembe","Cuma","Cumartesi","Pazar"))</f>
        <v/>
      </c>
      <c r="G238" s="16">
        <f>IF(AND(D238="Tam gün",COUNTIFS($A$2:A238,A238,$D$2:D238,"Tam gün")=1),A238,0)</f>
        <v/>
      </c>
      <c r="H238" s="16">
        <f>IF(AND(D238="Yarım gün",COUNTIFS($A$2:A238,A238,$D$2:D238,"Yarım gün")=1),A238,0)</f>
        <v/>
      </c>
      <c r="I238" s="2">
        <f>IF(AND(ISNUMBER(A238),Hesapla!$B$18="Uyarı yok.",A238&gt;=Hesapla!$B$16,A238&lt;=Hesapla!$B$17),MAX(I$1:I237)+1,"")</f>
        <v/>
      </c>
    </row>
    <row r="239">
      <c r="A239" s="7" t="n"/>
      <c r="B239">
        <f>IF(A239="","",CHOOSE(WEEKDAY(A239,2),"Pazartesi","Salı","Çarşamba","Perşembe","Cuma","Cumartesi","Pazar"))</f>
        <v/>
      </c>
      <c r="G239" s="16">
        <f>IF(AND(D239="Tam gün",COUNTIFS($A$2:A239,A239,$D$2:D239,"Tam gün")=1),A239,0)</f>
        <v/>
      </c>
      <c r="H239" s="16">
        <f>IF(AND(D239="Yarım gün",COUNTIFS($A$2:A239,A239,$D$2:D239,"Yarım gün")=1),A239,0)</f>
        <v/>
      </c>
      <c r="I239" s="2">
        <f>IF(AND(ISNUMBER(A239),Hesapla!$B$18="Uyarı yok.",A239&gt;=Hesapla!$B$16,A239&lt;=Hesapla!$B$17),MAX(I$1:I238)+1,"")</f>
        <v/>
      </c>
    </row>
    <row r="240">
      <c r="A240" s="7" t="n"/>
      <c r="B240">
        <f>IF(A240="","",CHOOSE(WEEKDAY(A240,2),"Pazartesi","Salı","Çarşamba","Perşembe","Cuma","Cumartesi","Pazar"))</f>
        <v/>
      </c>
      <c r="G240" s="16">
        <f>IF(AND(D240="Tam gün",COUNTIFS($A$2:A240,A240,$D$2:D240,"Tam gün")=1),A240,0)</f>
        <v/>
      </c>
      <c r="H240" s="16">
        <f>IF(AND(D240="Yarım gün",COUNTIFS($A$2:A240,A240,$D$2:D240,"Yarım gün")=1),A240,0)</f>
        <v/>
      </c>
      <c r="I240" s="2">
        <f>IF(AND(ISNUMBER(A240),Hesapla!$B$18="Uyarı yok.",A240&gt;=Hesapla!$B$16,A240&lt;=Hesapla!$B$17),MAX(I$1:I239)+1,"")</f>
        <v/>
      </c>
    </row>
    <row r="241">
      <c r="A241" s="7" t="n"/>
      <c r="B241">
        <f>IF(A241="","",CHOOSE(WEEKDAY(A241,2),"Pazartesi","Salı","Çarşamba","Perşembe","Cuma","Cumartesi","Pazar"))</f>
        <v/>
      </c>
      <c r="G241" s="16">
        <f>IF(AND(D241="Tam gün",COUNTIFS($A$2:A241,A241,$D$2:D241,"Tam gün")=1),A241,0)</f>
        <v/>
      </c>
      <c r="H241" s="16">
        <f>IF(AND(D241="Yarım gün",COUNTIFS($A$2:A241,A241,$D$2:D241,"Yarım gün")=1),A241,0)</f>
        <v/>
      </c>
      <c r="I241" s="2">
        <f>IF(AND(ISNUMBER(A241),Hesapla!$B$18="Uyarı yok.",A241&gt;=Hesapla!$B$16,A241&lt;=Hesapla!$B$17),MAX(I$1:I240)+1,"")</f>
        <v/>
      </c>
    </row>
    <row r="242">
      <c r="A242" s="7" t="n"/>
      <c r="B242">
        <f>IF(A242="","",CHOOSE(WEEKDAY(A242,2),"Pazartesi","Salı","Çarşamba","Perşembe","Cuma","Cumartesi","Pazar"))</f>
        <v/>
      </c>
      <c r="G242" s="16">
        <f>IF(AND(D242="Tam gün",COUNTIFS($A$2:A242,A242,$D$2:D242,"Tam gün")=1),A242,0)</f>
        <v/>
      </c>
      <c r="H242" s="16">
        <f>IF(AND(D242="Yarım gün",COUNTIFS($A$2:A242,A242,$D$2:D242,"Yarım gün")=1),A242,0)</f>
        <v/>
      </c>
      <c r="I242" s="2">
        <f>IF(AND(ISNUMBER(A242),Hesapla!$B$18="Uyarı yok.",A242&gt;=Hesapla!$B$16,A242&lt;=Hesapla!$B$17),MAX(I$1:I241)+1,"")</f>
        <v/>
      </c>
    </row>
    <row r="243">
      <c r="A243" s="7" t="n"/>
      <c r="B243">
        <f>IF(A243="","",CHOOSE(WEEKDAY(A243,2),"Pazartesi","Salı","Çarşamba","Perşembe","Cuma","Cumartesi","Pazar"))</f>
        <v/>
      </c>
      <c r="G243" s="16">
        <f>IF(AND(D243="Tam gün",COUNTIFS($A$2:A243,A243,$D$2:D243,"Tam gün")=1),A243,0)</f>
        <v/>
      </c>
      <c r="H243" s="16">
        <f>IF(AND(D243="Yarım gün",COUNTIFS($A$2:A243,A243,$D$2:D243,"Yarım gün")=1),A243,0)</f>
        <v/>
      </c>
      <c r="I243" s="2">
        <f>IF(AND(ISNUMBER(A243),Hesapla!$B$18="Uyarı yok.",A243&gt;=Hesapla!$B$16,A243&lt;=Hesapla!$B$17),MAX(I$1:I242)+1,"")</f>
        <v/>
      </c>
    </row>
    <row r="244">
      <c r="A244" s="7" t="n"/>
      <c r="B244">
        <f>IF(A244="","",CHOOSE(WEEKDAY(A244,2),"Pazartesi","Salı","Çarşamba","Perşembe","Cuma","Cumartesi","Pazar"))</f>
        <v/>
      </c>
      <c r="G244" s="16">
        <f>IF(AND(D244="Tam gün",COUNTIFS($A$2:A244,A244,$D$2:D244,"Tam gün")=1),A244,0)</f>
        <v/>
      </c>
      <c r="H244" s="16">
        <f>IF(AND(D244="Yarım gün",COUNTIFS($A$2:A244,A244,$D$2:D244,"Yarım gün")=1),A244,0)</f>
        <v/>
      </c>
      <c r="I244" s="2">
        <f>IF(AND(ISNUMBER(A244),Hesapla!$B$18="Uyarı yok.",A244&gt;=Hesapla!$B$16,A244&lt;=Hesapla!$B$17),MAX(I$1:I243)+1,"")</f>
        <v/>
      </c>
    </row>
    <row r="245">
      <c r="A245" s="7" t="n"/>
      <c r="B245">
        <f>IF(A245="","",CHOOSE(WEEKDAY(A245,2),"Pazartesi","Salı","Çarşamba","Perşembe","Cuma","Cumartesi","Pazar"))</f>
        <v/>
      </c>
      <c r="G245" s="16">
        <f>IF(AND(D245="Tam gün",COUNTIFS($A$2:A245,A245,$D$2:D245,"Tam gün")=1),A245,0)</f>
        <v/>
      </c>
      <c r="H245" s="16">
        <f>IF(AND(D245="Yarım gün",COUNTIFS($A$2:A245,A245,$D$2:D245,"Yarım gün")=1),A245,0)</f>
        <v/>
      </c>
      <c r="I245" s="2">
        <f>IF(AND(ISNUMBER(A245),Hesapla!$B$18="Uyarı yok.",A245&gt;=Hesapla!$B$16,A245&lt;=Hesapla!$B$17),MAX(I$1:I244)+1,"")</f>
        <v/>
      </c>
    </row>
    <row r="246">
      <c r="A246" s="7" t="n"/>
      <c r="B246">
        <f>IF(A246="","",CHOOSE(WEEKDAY(A246,2),"Pazartesi","Salı","Çarşamba","Perşembe","Cuma","Cumartesi","Pazar"))</f>
        <v/>
      </c>
      <c r="G246" s="16">
        <f>IF(AND(D246="Tam gün",COUNTIFS($A$2:A246,A246,$D$2:D246,"Tam gün")=1),A246,0)</f>
        <v/>
      </c>
      <c r="H246" s="16">
        <f>IF(AND(D246="Yarım gün",COUNTIFS($A$2:A246,A246,$D$2:D246,"Yarım gün")=1),A246,0)</f>
        <v/>
      </c>
      <c r="I246" s="2">
        <f>IF(AND(ISNUMBER(A246),Hesapla!$B$18="Uyarı yok.",A246&gt;=Hesapla!$B$16,A246&lt;=Hesapla!$B$17),MAX(I$1:I245)+1,"")</f>
        <v/>
      </c>
    </row>
    <row r="247">
      <c r="A247" s="7" t="n"/>
      <c r="B247">
        <f>IF(A247="","",CHOOSE(WEEKDAY(A247,2),"Pazartesi","Salı","Çarşamba","Perşembe","Cuma","Cumartesi","Pazar"))</f>
        <v/>
      </c>
      <c r="G247" s="16">
        <f>IF(AND(D247="Tam gün",COUNTIFS($A$2:A247,A247,$D$2:D247,"Tam gün")=1),A247,0)</f>
        <v/>
      </c>
      <c r="H247" s="16">
        <f>IF(AND(D247="Yarım gün",COUNTIFS($A$2:A247,A247,$D$2:D247,"Yarım gün")=1),A247,0)</f>
        <v/>
      </c>
      <c r="I247" s="2">
        <f>IF(AND(ISNUMBER(A247),Hesapla!$B$18="Uyarı yok.",A247&gt;=Hesapla!$B$16,A247&lt;=Hesapla!$B$17),MAX(I$1:I246)+1,"")</f>
        <v/>
      </c>
    </row>
    <row r="248">
      <c r="A248" s="7" t="n"/>
      <c r="B248">
        <f>IF(A248="","",CHOOSE(WEEKDAY(A248,2),"Pazartesi","Salı","Çarşamba","Perşembe","Cuma","Cumartesi","Pazar"))</f>
        <v/>
      </c>
      <c r="G248" s="16">
        <f>IF(AND(D248="Tam gün",COUNTIFS($A$2:A248,A248,$D$2:D248,"Tam gün")=1),A248,0)</f>
        <v/>
      </c>
      <c r="H248" s="16">
        <f>IF(AND(D248="Yarım gün",COUNTIFS($A$2:A248,A248,$D$2:D248,"Yarım gün")=1),A248,0)</f>
        <v/>
      </c>
      <c r="I248" s="2">
        <f>IF(AND(ISNUMBER(A248),Hesapla!$B$18="Uyarı yok.",A248&gt;=Hesapla!$B$16,A248&lt;=Hesapla!$B$17),MAX(I$1:I247)+1,"")</f>
        <v/>
      </c>
    </row>
    <row r="249">
      <c r="A249" s="7" t="n"/>
      <c r="B249">
        <f>IF(A249="","",CHOOSE(WEEKDAY(A249,2),"Pazartesi","Salı","Çarşamba","Perşembe","Cuma","Cumartesi","Pazar"))</f>
        <v/>
      </c>
      <c r="G249" s="16">
        <f>IF(AND(D249="Tam gün",COUNTIFS($A$2:A249,A249,$D$2:D249,"Tam gün")=1),A249,0)</f>
        <v/>
      </c>
      <c r="H249" s="16">
        <f>IF(AND(D249="Yarım gün",COUNTIFS($A$2:A249,A249,$D$2:D249,"Yarım gün")=1),A249,0)</f>
        <v/>
      </c>
      <c r="I249" s="2">
        <f>IF(AND(ISNUMBER(A249),Hesapla!$B$18="Uyarı yok.",A249&gt;=Hesapla!$B$16,A249&lt;=Hesapla!$B$17),MAX(I$1:I248)+1,"")</f>
        <v/>
      </c>
    </row>
    <row r="250">
      <c r="A250" s="7" t="n"/>
      <c r="B250">
        <f>IF(A250="","",CHOOSE(WEEKDAY(A250,2),"Pazartesi","Salı","Çarşamba","Perşembe","Cuma","Cumartesi","Pazar"))</f>
        <v/>
      </c>
      <c r="G250" s="16">
        <f>IF(AND(D250="Tam gün",COUNTIFS($A$2:A250,A250,$D$2:D250,"Tam gün")=1),A250,0)</f>
        <v/>
      </c>
      <c r="H250" s="16">
        <f>IF(AND(D250="Yarım gün",COUNTIFS($A$2:A250,A250,$D$2:D250,"Yarım gün")=1),A250,0)</f>
        <v/>
      </c>
      <c r="I250" s="2">
        <f>IF(AND(ISNUMBER(A250),Hesapla!$B$18="Uyarı yok.",A250&gt;=Hesapla!$B$16,A250&lt;=Hesapla!$B$17),MAX(I$1:I249)+1,"")</f>
        <v/>
      </c>
    </row>
    <row r="251">
      <c r="A251" s="7" t="n"/>
      <c r="B251">
        <f>IF(A251="","",CHOOSE(WEEKDAY(A251,2),"Pazartesi","Salı","Çarşamba","Perşembe","Cuma","Cumartesi","Pazar"))</f>
        <v/>
      </c>
      <c r="G251" s="16">
        <f>IF(AND(D251="Tam gün",COUNTIFS($A$2:A251,A251,$D$2:D251,"Tam gün")=1),A251,0)</f>
        <v/>
      </c>
      <c r="H251" s="16">
        <f>IF(AND(D251="Yarım gün",COUNTIFS($A$2:A251,A251,$D$2:D251,"Yarım gün")=1),A251,0)</f>
        <v/>
      </c>
      <c r="I251" s="2">
        <f>IF(AND(ISNUMBER(A251),Hesapla!$B$18="Uyarı yok.",A251&gt;=Hesapla!$B$16,A251&lt;=Hesapla!$B$17),MAX(I$1:I250)+1,"")</f>
        <v/>
      </c>
    </row>
    <row r="252">
      <c r="A252" s="7" t="n"/>
      <c r="B252">
        <f>IF(A252="","",CHOOSE(WEEKDAY(A252,2),"Pazartesi","Salı","Çarşamba","Perşembe","Cuma","Cumartesi","Pazar"))</f>
        <v/>
      </c>
      <c r="G252" s="16">
        <f>IF(AND(D252="Tam gün",COUNTIFS($A$2:A252,A252,$D$2:D252,"Tam gün")=1),A252,0)</f>
        <v/>
      </c>
      <c r="H252" s="16">
        <f>IF(AND(D252="Yarım gün",COUNTIFS($A$2:A252,A252,$D$2:D252,"Yarım gün")=1),A252,0)</f>
        <v/>
      </c>
      <c r="I252" s="2">
        <f>IF(AND(ISNUMBER(A252),Hesapla!$B$18="Uyarı yok.",A252&gt;=Hesapla!$B$16,A252&lt;=Hesapla!$B$17),MAX(I$1:I251)+1,"")</f>
        <v/>
      </c>
    </row>
    <row r="253">
      <c r="A253" s="7" t="n"/>
      <c r="B253">
        <f>IF(A253="","",CHOOSE(WEEKDAY(A253,2),"Pazartesi","Salı","Çarşamba","Perşembe","Cuma","Cumartesi","Pazar"))</f>
        <v/>
      </c>
      <c r="G253" s="16">
        <f>IF(AND(D253="Tam gün",COUNTIFS($A$2:A253,A253,$D$2:D253,"Tam gün")=1),A253,0)</f>
        <v/>
      </c>
      <c r="H253" s="16">
        <f>IF(AND(D253="Yarım gün",COUNTIFS($A$2:A253,A253,$D$2:D253,"Yarım gün")=1),A253,0)</f>
        <v/>
      </c>
      <c r="I253" s="2">
        <f>IF(AND(ISNUMBER(A253),Hesapla!$B$18="Uyarı yok.",A253&gt;=Hesapla!$B$16,A253&lt;=Hesapla!$B$17),MAX(I$1:I252)+1,"")</f>
        <v/>
      </c>
    </row>
    <row r="254">
      <c r="A254" s="7" t="n"/>
      <c r="B254">
        <f>IF(A254="","",CHOOSE(WEEKDAY(A254,2),"Pazartesi","Salı","Çarşamba","Perşembe","Cuma","Cumartesi","Pazar"))</f>
        <v/>
      </c>
      <c r="G254" s="16">
        <f>IF(AND(D254="Tam gün",COUNTIFS($A$2:A254,A254,$D$2:D254,"Tam gün")=1),A254,0)</f>
        <v/>
      </c>
      <c r="H254" s="16">
        <f>IF(AND(D254="Yarım gün",COUNTIFS($A$2:A254,A254,$D$2:D254,"Yarım gün")=1),A254,0)</f>
        <v/>
      </c>
      <c r="I254" s="2">
        <f>IF(AND(ISNUMBER(A254),Hesapla!$B$18="Uyarı yok.",A254&gt;=Hesapla!$B$16,A254&lt;=Hesapla!$B$17),MAX(I$1:I253)+1,"")</f>
        <v/>
      </c>
    </row>
    <row r="255">
      <c r="A255" s="7" t="n"/>
      <c r="B255">
        <f>IF(A255="","",CHOOSE(WEEKDAY(A255,2),"Pazartesi","Salı","Çarşamba","Perşembe","Cuma","Cumartesi","Pazar"))</f>
        <v/>
      </c>
      <c r="G255" s="16">
        <f>IF(AND(D255="Tam gün",COUNTIFS($A$2:A255,A255,$D$2:D255,"Tam gün")=1),A255,0)</f>
        <v/>
      </c>
      <c r="H255" s="16">
        <f>IF(AND(D255="Yarım gün",COUNTIFS($A$2:A255,A255,$D$2:D255,"Yarım gün")=1),A255,0)</f>
        <v/>
      </c>
      <c r="I255" s="2">
        <f>IF(AND(ISNUMBER(A255),Hesapla!$B$18="Uyarı yok.",A255&gt;=Hesapla!$B$16,A255&lt;=Hesapla!$B$17),MAX(I$1:I254)+1,"")</f>
        <v/>
      </c>
    </row>
    <row r="256">
      <c r="A256" s="7" t="n"/>
      <c r="B256">
        <f>IF(A256="","",CHOOSE(WEEKDAY(A256,2),"Pazartesi","Salı","Çarşamba","Perşembe","Cuma","Cumartesi","Pazar"))</f>
        <v/>
      </c>
      <c r="G256" s="16">
        <f>IF(AND(D256="Tam gün",COUNTIFS($A$2:A256,A256,$D$2:D256,"Tam gün")=1),A256,0)</f>
        <v/>
      </c>
      <c r="H256" s="16">
        <f>IF(AND(D256="Yarım gün",COUNTIFS($A$2:A256,A256,$D$2:D256,"Yarım gün")=1),A256,0)</f>
        <v/>
      </c>
      <c r="I256" s="2">
        <f>IF(AND(ISNUMBER(A256),Hesapla!$B$18="Uyarı yok.",A256&gt;=Hesapla!$B$16,A256&lt;=Hesapla!$B$17),MAX(I$1:I255)+1,"")</f>
        <v/>
      </c>
    </row>
    <row r="257">
      <c r="A257" s="7" t="n"/>
      <c r="B257">
        <f>IF(A257="","",CHOOSE(WEEKDAY(A257,2),"Pazartesi","Salı","Çarşamba","Perşembe","Cuma","Cumartesi","Pazar"))</f>
        <v/>
      </c>
      <c r="G257" s="16">
        <f>IF(AND(D257="Tam gün",COUNTIFS($A$2:A257,A257,$D$2:D257,"Tam gün")=1),A257,0)</f>
        <v/>
      </c>
      <c r="H257" s="16">
        <f>IF(AND(D257="Yarım gün",COUNTIFS($A$2:A257,A257,$D$2:D257,"Yarım gün")=1),A257,0)</f>
        <v/>
      </c>
      <c r="I257" s="2">
        <f>IF(AND(ISNUMBER(A257),Hesapla!$B$18="Uyarı yok.",A257&gt;=Hesapla!$B$16,A257&lt;=Hesapla!$B$17),MAX(I$1:I256)+1,"")</f>
        <v/>
      </c>
    </row>
    <row r="258">
      <c r="A258" s="7" t="n"/>
      <c r="B258">
        <f>IF(A258="","",CHOOSE(WEEKDAY(A258,2),"Pazartesi","Salı","Çarşamba","Perşembe","Cuma","Cumartesi","Pazar"))</f>
        <v/>
      </c>
      <c r="G258" s="16">
        <f>IF(AND(D258="Tam gün",COUNTIFS($A$2:A258,A258,$D$2:D258,"Tam gün")=1),A258,0)</f>
        <v/>
      </c>
      <c r="H258" s="16">
        <f>IF(AND(D258="Yarım gün",COUNTIFS($A$2:A258,A258,$D$2:D258,"Yarım gün")=1),A258,0)</f>
        <v/>
      </c>
      <c r="I258" s="2">
        <f>IF(AND(ISNUMBER(A258),Hesapla!$B$18="Uyarı yok.",A258&gt;=Hesapla!$B$16,A258&lt;=Hesapla!$B$17),MAX(I$1:I257)+1,"")</f>
        <v/>
      </c>
    </row>
    <row r="259">
      <c r="A259" s="7" t="n"/>
      <c r="B259">
        <f>IF(A259="","",CHOOSE(WEEKDAY(A259,2),"Pazartesi","Salı","Çarşamba","Perşembe","Cuma","Cumartesi","Pazar"))</f>
        <v/>
      </c>
      <c r="G259" s="16">
        <f>IF(AND(D259="Tam gün",COUNTIFS($A$2:A259,A259,$D$2:D259,"Tam gün")=1),A259,0)</f>
        <v/>
      </c>
      <c r="H259" s="16">
        <f>IF(AND(D259="Yarım gün",COUNTIFS($A$2:A259,A259,$D$2:D259,"Yarım gün")=1),A259,0)</f>
        <v/>
      </c>
      <c r="I259" s="2">
        <f>IF(AND(ISNUMBER(A259),Hesapla!$B$18="Uyarı yok.",A259&gt;=Hesapla!$B$16,A259&lt;=Hesapla!$B$17),MAX(I$1:I258)+1,"")</f>
        <v/>
      </c>
    </row>
    <row r="260">
      <c r="A260" s="7" t="n"/>
      <c r="B260">
        <f>IF(A260="","",CHOOSE(WEEKDAY(A260,2),"Pazartesi","Salı","Çarşamba","Perşembe","Cuma","Cumartesi","Pazar"))</f>
        <v/>
      </c>
      <c r="G260" s="16">
        <f>IF(AND(D260="Tam gün",COUNTIFS($A$2:A260,A260,$D$2:D260,"Tam gün")=1),A260,0)</f>
        <v/>
      </c>
      <c r="H260" s="16">
        <f>IF(AND(D260="Yarım gün",COUNTIFS($A$2:A260,A260,$D$2:D260,"Yarım gün")=1),A260,0)</f>
        <v/>
      </c>
      <c r="I260" s="2">
        <f>IF(AND(ISNUMBER(A260),Hesapla!$B$18="Uyarı yok.",A260&gt;=Hesapla!$B$16,A260&lt;=Hesapla!$B$17),MAX(I$1:I259)+1,"")</f>
        <v/>
      </c>
    </row>
    <row r="261">
      <c r="A261" s="7" t="n"/>
      <c r="B261">
        <f>IF(A261="","",CHOOSE(WEEKDAY(A261,2),"Pazartesi","Salı","Çarşamba","Perşembe","Cuma","Cumartesi","Pazar"))</f>
        <v/>
      </c>
      <c r="G261" s="16">
        <f>IF(AND(D261="Tam gün",COUNTIFS($A$2:A261,A261,$D$2:D261,"Tam gün")=1),A261,0)</f>
        <v/>
      </c>
      <c r="H261" s="16">
        <f>IF(AND(D261="Yarım gün",COUNTIFS($A$2:A261,A261,$D$2:D261,"Yarım gün")=1),A261,0)</f>
        <v/>
      </c>
      <c r="I261" s="2">
        <f>IF(AND(ISNUMBER(A261),Hesapla!$B$18="Uyarı yok.",A261&gt;=Hesapla!$B$16,A261&lt;=Hesapla!$B$17),MAX(I$1:I260)+1,"")</f>
        <v/>
      </c>
    </row>
    <row r="262">
      <c r="A262" s="7" t="n"/>
      <c r="B262">
        <f>IF(A262="","",CHOOSE(WEEKDAY(A262,2),"Pazartesi","Salı","Çarşamba","Perşembe","Cuma","Cumartesi","Pazar"))</f>
        <v/>
      </c>
      <c r="G262" s="16">
        <f>IF(AND(D262="Tam gün",COUNTIFS($A$2:A262,A262,$D$2:D262,"Tam gün")=1),A262,0)</f>
        <v/>
      </c>
      <c r="H262" s="16">
        <f>IF(AND(D262="Yarım gün",COUNTIFS($A$2:A262,A262,$D$2:D262,"Yarım gün")=1),A262,0)</f>
        <v/>
      </c>
      <c r="I262" s="2">
        <f>IF(AND(ISNUMBER(A262),Hesapla!$B$18="Uyarı yok.",A262&gt;=Hesapla!$B$16,A262&lt;=Hesapla!$B$17),MAX(I$1:I261)+1,"")</f>
        <v/>
      </c>
    </row>
    <row r="263">
      <c r="A263" s="7" t="n"/>
      <c r="B263">
        <f>IF(A263="","",CHOOSE(WEEKDAY(A263,2),"Pazartesi","Salı","Çarşamba","Perşembe","Cuma","Cumartesi","Pazar"))</f>
        <v/>
      </c>
      <c r="G263" s="16">
        <f>IF(AND(D263="Tam gün",COUNTIFS($A$2:A263,A263,$D$2:D263,"Tam gün")=1),A263,0)</f>
        <v/>
      </c>
      <c r="H263" s="16">
        <f>IF(AND(D263="Yarım gün",COUNTIFS($A$2:A263,A263,$D$2:D263,"Yarım gün")=1),A263,0)</f>
        <v/>
      </c>
      <c r="I263" s="2">
        <f>IF(AND(ISNUMBER(A263),Hesapla!$B$18="Uyarı yok.",A263&gt;=Hesapla!$B$16,A263&lt;=Hesapla!$B$17),MAX(I$1:I262)+1,"")</f>
        <v/>
      </c>
    </row>
    <row r="264">
      <c r="A264" s="7" t="n"/>
      <c r="B264">
        <f>IF(A264="","",CHOOSE(WEEKDAY(A264,2),"Pazartesi","Salı","Çarşamba","Perşembe","Cuma","Cumartesi","Pazar"))</f>
        <v/>
      </c>
      <c r="G264" s="16">
        <f>IF(AND(D264="Tam gün",COUNTIFS($A$2:A264,A264,$D$2:D264,"Tam gün")=1),A264,0)</f>
        <v/>
      </c>
      <c r="H264" s="16">
        <f>IF(AND(D264="Yarım gün",COUNTIFS($A$2:A264,A264,$D$2:D264,"Yarım gün")=1),A264,0)</f>
        <v/>
      </c>
      <c r="I264" s="2">
        <f>IF(AND(ISNUMBER(A264),Hesapla!$B$18="Uyarı yok.",A264&gt;=Hesapla!$B$16,A264&lt;=Hesapla!$B$17),MAX(I$1:I263)+1,"")</f>
        <v/>
      </c>
    </row>
    <row r="265">
      <c r="A265" s="7" t="n"/>
      <c r="B265">
        <f>IF(A265="","",CHOOSE(WEEKDAY(A265,2),"Pazartesi","Salı","Çarşamba","Perşembe","Cuma","Cumartesi","Pazar"))</f>
        <v/>
      </c>
      <c r="G265" s="16">
        <f>IF(AND(D265="Tam gün",COUNTIFS($A$2:A265,A265,$D$2:D265,"Tam gün")=1),A265,0)</f>
        <v/>
      </c>
      <c r="H265" s="16">
        <f>IF(AND(D265="Yarım gün",COUNTIFS($A$2:A265,A265,$D$2:D265,"Yarım gün")=1),A265,0)</f>
        <v/>
      </c>
      <c r="I265" s="2">
        <f>IF(AND(ISNUMBER(A265),Hesapla!$B$18="Uyarı yok.",A265&gt;=Hesapla!$B$16,A265&lt;=Hesapla!$B$17),MAX(I$1:I264)+1,"")</f>
        <v/>
      </c>
    </row>
    <row r="266">
      <c r="A266" s="7" t="n"/>
      <c r="B266">
        <f>IF(A266="","",CHOOSE(WEEKDAY(A266,2),"Pazartesi","Salı","Çarşamba","Perşembe","Cuma","Cumartesi","Pazar"))</f>
        <v/>
      </c>
      <c r="G266" s="16">
        <f>IF(AND(D266="Tam gün",COUNTIFS($A$2:A266,A266,$D$2:D266,"Tam gün")=1),A266,0)</f>
        <v/>
      </c>
      <c r="H266" s="16">
        <f>IF(AND(D266="Yarım gün",COUNTIFS($A$2:A266,A266,$D$2:D266,"Yarım gün")=1),A266,0)</f>
        <v/>
      </c>
      <c r="I266" s="2">
        <f>IF(AND(ISNUMBER(A266),Hesapla!$B$18="Uyarı yok.",A266&gt;=Hesapla!$B$16,A266&lt;=Hesapla!$B$17),MAX(I$1:I265)+1,"")</f>
        <v/>
      </c>
    </row>
    <row r="267">
      <c r="A267" s="7" t="n"/>
      <c r="B267">
        <f>IF(A267="","",CHOOSE(WEEKDAY(A267,2),"Pazartesi","Salı","Çarşamba","Perşembe","Cuma","Cumartesi","Pazar"))</f>
        <v/>
      </c>
      <c r="G267" s="16">
        <f>IF(AND(D267="Tam gün",COUNTIFS($A$2:A267,A267,$D$2:D267,"Tam gün")=1),A267,0)</f>
        <v/>
      </c>
      <c r="H267" s="16">
        <f>IF(AND(D267="Yarım gün",COUNTIFS($A$2:A267,A267,$D$2:D267,"Yarım gün")=1),A267,0)</f>
        <v/>
      </c>
      <c r="I267" s="2">
        <f>IF(AND(ISNUMBER(A267),Hesapla!$B$18="Uyarı yok.",A267&gt;=Hesapla!$B$16,A267&lt;=Hesapla!$B$17),MAX(I$1:I266)+1,"")</f>
        <v/>
      </c>
    </row>
    <row r="268">
      <c r="A268" s="7" t="n"/>
      <c r="B268">
        <f>IF(A268="","",CHOOSE(WEEKDAY(A268,2),"Pazartesi","Salı","Çarşamba","Perşembe","Cuma","Cumartesi","Pazar"))</f>
        <v/>
      </c>
      <c r="G268" s="16">
        <f>IF(AND(D268="Tam gün",COUNTIFS($A$2:A268,A268,$D$2:D268,"Tam gün")=1),A268,0)</f>
        <v/>
      </c>
      <c r="H268" s="16">
        <f>IF(AND(D268="Yarım gün",COUNTIFS($A$2:A268,A268,$D$2:D268,"Yarım gün")=1),A268,0)</f>
        <v/>
      </c>
      <c r="I268" s="2">
        <f>IF(AND(ISNUMBER(A268),Hesapla!$B$18="Uyarı yok.",A268&gt;=Hesapla!$B$16,A268&lt;=Hesapla!$B$17),MAX(I$1:I267)+1,"")</f>
        <v/>
      </c>
    </row>
    <row r="269">
      <c r="A269" s="7" t="n"/>
      <c r="B269">
        <f>IF(A269="","",CHOOSE(WEEKDAY(A269,2),"Pazartesi","Salı","Çarşamba","Perşembe","Cuma","Cumartesi","Pazar"))</f>
        <v/>
      </c>
      <c r="G269" s="16">
        <f>IF(AND(D269="Tam gün",COUNTIFS($A$2:A269,A269,$D$2:D269,"Tam gün")=1),A269,0)</f>
        <v/>
      </c>
      <c r="H269" s="16">
        <f>IF(AND(D269="Yarım gün",COUNTIFS($A$2:A269,A269,$D$2:D269,"Yarım gün")=1),A269,0)</f>
        <v/>
      </c>
      <c r="I269" s="2">
        <f>IF(AND(ISNUMBER(A269),Hesapla!$B$18="Uyarı yok.",A269&gt;=Hesapla!$B$16,A269&lt;=Hesapla!$B$17),MAX(I$1:I268)+1,"")</f>
        <v/>
      </c>
    </row>
    <row r="270">
      <c r="A270" s="7" t="n"/>
      <c r="B270">
        <f>IF(A270="","",CHOOSE(WEEKDAY(A270,2),"Pazartesi","Salı","Çarşamba","Perşembe","Cuma","Cumartesi","Pazar"))</f>
        <v/>
      </c>
      <c r="G270" s="16">
        <f>IF(AND(D270="Tam gün",COUNTIFS($A$2:A270,A270,$D$2:D270,"Tam gün")=1),A270,0)</f>
        <v/>
      </c>
      <c r="H270" s="16">
        <f>IF(AND(D270="Yarım gün",COUNTIFS($A$2:A270,A270,$D$2:D270,"Yarım gün")=1),A270,0)</f>
        <v/>
      </c>
      <c r="I270" s="2">
        <f>IF(AND(ISNUMBER(A270),Hesapla!$B$18="Uyarı yok.",A270&gt;=Hesapla!$B$16,A270&lt;=Hesapla!$B$17),MAX(I$1:I269)+1,"")</f>
        <v/>
      </c>
    </row>
    <row r="271">
      <c r="A271" s="7" t="n"/>
      <c r="B271">
        <f>IF(A271="","",CHOOSE(WEEKDAY(A271,2),"Pazartesi","Salı","Çarşamba","Perşembe","Cuma","Cumartesi","Pazar"))</f>
        <v/>
      </c>
      <c r="G271" s="16">
        <f>IF(AND(D271="Tam gün",COUNTIFS($A$2:A271,A271,$D$2:D271,"Tam gün")=1),A271,0)</f>
        <v/>
      </c>
      <c r="H271" s="16">
        <f>IF(AND(D271="Yarım gün",COUNTIFS($A$2:A271,A271,$D$2:D271,"Yarım gün")=1),A271,0)</f>
        <v/>
      </c>
      <c r="I271" s="2">
        <f>IF(AND(ISNUMBER(A271),Hesapla!$B$18="Uyarı yok.",A271&gt;=Hesapla!$B$16,A271&lt;=Hesapla!$B$17),MAX(I$1:I270)+1,"")</f>
        <v/>
      </c>
    </row>
    <row r="272">
      <c r="A272" s="7" t="n"/>
      <c r="B272">
        <f>IF(A272="","",CHOOSE(WEEKDAY(A272,2),"Pazartesi","Salı","Çarşamba","Perşembe","Cuma","Cumartesi","Pazar"))</f>
        <v/>
      </c>
      <c r="G272" s="16">
        <f>IF(AND(D272="Tam gün",COUNTIFS($A$2:A272,A272,$D$2:D272,"Tam gün")=1),A272,0)</f>
        <v/>
      </c>
      <c r="H272" s="16">
        <f>IF(AND(D272="Yarım gün",COUNTIFS($A$2:A272,A272,$D$2:D272,"Yarım gün")=1),A272,0)</f>
        <v/>
      </c>
      <c r="I272" s="2">
        <f>IF(AND(ISNUMBER(A272),Hesapla!$B$18="Uyarı yok.",A272&gt;=Hesapla!$B$16,A272&lt;=Hesapla!$B$17),MAX(I$1:I271)+1,"")</f>
        <v/>
      </c>
    </row>
    <row r="273">
      <c r="A273" s="7" t="n"/>
      <c r="B273">
        <f>IF(A273="","",CHOOSE(WEEKDAY(A273,2),"Pazartesi","Salı","Çarşamba","Perşembe","Cuma","Cumartesi","Pazar"))</f>
        <v/>
      </c>
      <c r="G273" s="16">
        <f>IF(AND(D273="Tam gün",COUNTIFS($A$2:A273,A273,$D$2:D273,"Tam gün")=1),A273,0)</f>
        <v/>
      </c>
      <c r="H273" s="16">
        <f>IF(AND(D273="Yarım gün",COUNTIFS($A$2:A273,A273,$D$2:D273,"Yarım gün")=1),A273,0)</f>
        <v/>
      </c>
      <c r="I273" s="2">
        <f>IF(AND(ISNUMBER(A273),Hesapla!$B$18="Uyarı yok.",A273&gt;=Hesapla!$B$16,A273&lt;=Hesapla!$B$17),MAX(I$1:I272)+1,"")</f>
        <v/>
      </c>
    </row>
    <row r="274">
      <c r="A274" s="7" t="n"/>
      <c r="B274">
        <f>IF(A274="","",CHOOSE(WEEKDAY(A274,2),"Pazartesi","Salı","Çarşamba","Perşembe","Cuma","Cumartesi","Pazar"))</f>
        <v/>
      </c>
      <c r="G274" s="16">
        <f>IF(AND(D274="Tam gün",COUNTIFS($A$2:A274,A274,$D$2:D274,"Tam gün")=1),A274,0)</f>
        <v/>
      </c>
      <c r="H274" s="16">
        <f>IF(AND(D274="Yarım gün",COUNTIFS($A$2:A274,A274,$D$2:D274,"Yarım gün")=1),A274,0)</f>
        <v/>
      </c>
      <c r="I274" s="2">
        <f>IF(AND(ISNUMBER(A274),Hesapla!$B$18="Uyarı yok.",A274&gt;=Hesapla!$B$16,A274&lt;=Hesapla!$B$17),MAX(I$1:I273)+1,"")</f>
        <v/>
      </c>
    </row>
    <row r="275">
      <c r="A275" s="7" t="n"/>
      <c r="B275">
        <f>IF(A275="","",CHOOSE(WEEKDAY(A275,2),"Pazartesi","Salı","Çarşamba","Perşembe","Cuma","Cumartesi","Pazar"))</f>
        <v/>
      </c>
      <c r="G275" s="16">
        <f>IF(AND(D275="Tam gün",COUNTIFS($A$2:A275,A275,$D$2:D275,"Tam gün")=1),A275,0)</f>
        <v/>
      </c>
      <c r="H275" s="16">
        <f>IF(AND(D275="Yarım gün",COUNTIFS($A$2:A275,A275,$D$2:D275,"Yarım gün")=1),A275,0)</f>
        <v/>
      </c>
      <c r="I275" s="2">
        <f>IF(AND(ISNUMBER(A275),Hesapla!$B$18="Uyarı yok.",A275&gt;=Hesapla!$B$16,A275&lt;=Hesapla!$B$17),MAX(I$1:I274)+1,"")</f>
        <v/>
      </c>
    </row>
    <row r="276">
      <c r="A276" s="7" t="n"/>
      <c r="B276">
        <f>IF(A276="","",CHOOSE(WEEKDAY(A276,2),"Pazartesi","Salı","Çarşamba","Perşembe","Cuma","Cumartesi","Pazar"))</f>
        <v/>
      </c>
      <c r="G276" s="16">
        <f>IF(AND(D276="Tam gün",COUNTIFS($A$2:A276,A276,$D$2:D276,"Tam gün")=1),A276,0)</f>
        <v/>
      </c>
      <c r="H276" s="16">
        <f>IF(AND(D276="Yarım gün",COUNTIFS($A$2:A276,A276,$D$2:D276,"Yarım gün")=1),A276,0)</f>
        <v/>
      </c>
      <c r="I276" s="2">
        <f>IF(AND(ISNUMBER(A276),Hesapla!$B$18="Uyarı yok.",A276&gt;=Hesapla!$B$16,A276&lt;=Hesapla!$B$17),MAX(I$1:I275)+1,"")</f>
        <v/>
      </c>
    </row>
    <row r="277">
      <c r="A277" s="7" t="n"/>
      <c r="B277">
        <f>IF(A277="","",CHOOSE(WEEKDAY(A277,2),"Pazartesi","Salı","Çarşamba","Perşembe","Cuma","Cumartesi","Pazar"))</f>
        <v/>
      </c>
      <c r="G277" s="16">
        <f>IF(AND(D277="Tam gün",COUNTIFS($A$2:A277,A277,$D$2:D277,"Tam gün")=1),A277,0)</f>
        <v/>
      </c>
      <c r="H277" s="16">
        <f>IF(AND(D277="Yarım gün",COUNTIFS($A$2:A277,A277,$D$2:D277,"Yarım gün")=1),A277,0)</f>
        <v/>
      </c>
      <c r="I277" s="2">
        <f>IF(AND(ISNUMBER(A277),Hesapla!$B$18="Uyarı yok.",A277&gt;=Hesapla!$B$16,A277&lt;=Hesapla!$B$17),MAX(I$1:I276)+1,"")</f>
        <v/>
      </c>
    </row>
    <row r="278">
      <c r="A278" s="7" t="n"/>
      <c r="B278">
        <f>IF(A278="","",CHOOSE(WEEKDAY(A278,2),"Pazartesi","Salı","Çarşamba","Perşembe","Cuma","Cumartesi","Pazar"))</f>
        <v/>
      </c>
      <c r="G278" s="16">
        <f>IF(AND(D278="Tam gün",COUNTIFS($A$2:A278,A278,$D$2:D278,"Tam gün")=1),A278,0)</f>
        <v/>
      </c>
      <c r="H278" s="16">
        <f>IF(AND(D278="Yarım gün",COUNTIFS($A$2:A278,A278,$D$2:D278,"Yarım gün")=1),A278,0)</f>
        <v/>
      </c>
      <c r="I278" s="2">
        <f>IF(AND(ISNUMBER(A278),Hesapla!$B$18="Uyarı yok.",A278&gt;=Hesapla!$B$16,A278&lt;=Hesapla!$B$17),MAX(I$1:I277)+1,"")</f>
        <v/>
      </c>
    </row>
    <row r="279">
      <c r="A279" s="7" t="n"/>
      <c r="B279">
        <f>IF(A279="","",CHOOSE(WEEKDAY(A279,2),"Pazartesi","Salı","Çarşamba","Perşembe","Cuma","Cumartesi","Pazar"))</f>
        <v/>
      </c>
      <c r="G279" s="16">
        <f>IF(AND(D279="Tam gün",COUNTIFS($A$2:A279,A279,$D$2:D279,"Tam gün")=1),A279,0)</f>
        <v/>
      </c>
      <c r="H279" s="16">
        <f>IF(AND(D279="Yarım gün",COUNTIFS($A$2:A279,A279,$D$2:D279,"Yarım gün")=1),A279,0)</f>
        <v/>
      </c>
      <c r="I279" s="2">
        <f>IF(AND(ISNUMBER(A279),Hesapla!$B$18="Uyarı yok.",A279&gt;=Hesapla!$B$16,A279&lt;=Hesapla!$B$17),MAX(I$1:I278)+1,"")</f>
        <v/>
      </c>
    </row>
    <row r="280">
      <c r="A280" s="7" t="n"/>
      <c r="B280">
        <f>IF(A280="","",CHOOSE(WEEKDAY(A280,2),"Pazartesi","Salı","Çarşamba","Perşembe","Cuma","Cumartesi","Pazar"))</f>
        <v/>
      </c>
      <c r="G280" s="16">
        <f>IF(AND(D280="Tam gün",COUNTIFS($A$2:A280,A280,$D$2:D280,"Tam gün")=1),A280,0)</f>
        <v/>
      </c>
      <c r="H280" s="16">
        <f>IF(AND(D280="Yarım gün",COUNTIFS($A$2:A280,A280,$D$2:D280,"Yarım gün")=1),A280,0)</f>
        <v/>
      </c>
      <c r="I280" s="2">
        <f>IF(AND(ISNUMBER(A280),Hesapla!$B$18="Uyarı yok.",A280&gt;=Hesapla!$B$16,A280&lt;=Hesapla!$B$17),MAX(I$1:I279)+1,"")</f>
        <v/>
      </c>
    </row>
    <row r="281">
      <c r="A281" s="7" t="n"/>
      <c r="B281">
        <f>IF(A281="","",CHOOSE(WEEKDAY(A281,2),"Pazartesi","Salı","Çarşamba","Perşembe","Cuma","Cumartesi","Pazar"))</f>
        <v/>
      </c>
      <c r="G281" s="16">
        <f>IF(AND(D281="Tam gün",COUNTIFS($A$2:A281,A281,$D$2:D281,"Tam gün")=1),A281,0)</f>
        <v/>
      </c>
      <c r="H281" s="16">
        <f>IF(AND(D281="Yarım gün",COUNTIFS($A$2:A281,A281,$D$2:D281,"Yarım gün")=1),A281,0)</f>
        <v/>
      </c>
      <c r="I281" s="2">
        <f>IF(AND(ISNUMBER(A281),Hesapla!$B$18="Uyarı yok.",A281&gt;=Hesapla!$B$16,A281&lt;=Hesapla!$B$17),MAX(I$1:I280)+1,"")</f>
        <v/>
      </c>
    </row>
    <row r="282">
      <c r="A282" s="7" t="n"/>
      <c r="B282">
        <f>IF(A282="","",CHOOSE(WEEKDAY(A282,2),"Pazartesi","Salı","Çarşamba","Perşembe","Cuma","Cumartesi","Pazar"))</f>
        <v/>
      </c>
      <c r="G282" s="16">
        <f>IF(AND(D282="Tam gün",COUNTIFS($A$2:A282,A282,$D$2:D282,"Tam gün")=1),A282,0)</f>
        <v/>
      </c>
      <c r="H282" s="16">
        <f>IF(AND(D282="Yarım gün",COUNTIFS($A$2:A282,A282,$D$2:D282,"Yarım gün")=1),A282,0)</f>
        <v/>
      </c>
      <c r="I282" s="2">
        <f>IF(AND(ISNUMBER(A282),Hesapla!$B$18="Uyarı yok.",A282&gt;=Hesapla!$B$16,A282&lt;=Hesapla!$B$17),MAX(I$1:I281)+1,"")</f>
        <v/>
      </c>
    </row>
    <row r="283">
      <c r="A283" s="7" t="n"/>
      <c r="B283">
        <f>IF(A283="","",CHOOSE(WEEKDAY(A283,2),"Pazartesi","Salı","Çarşamba","Perşembe","Cuma","Cumartesi","Pazar"))</f>
        <v/>
      </c>
      <c r="G283" s="16">
        <f>IF(AND(D283="Tam gün",COUNTIFS($A$2:A283,A283,$D$2:D283,"Tam gün")=1),A283,0)</f>
        <v/>
      </c>
      <c r="H283" s="16">
        <f>IF(AND(D283="Yarım gün",COUNTIFS($A$2:A283,A283,$D$2:D283,"Yarım gün")=1),A283,0)</f>
        <v/>
      </c>
      <c r="I283" s="2">
        <f>IF(AND(ISNUMBER(A283),Hesapla!$B$18="Uyarı yok.",A283&gt;=Hesapla!$B$16,A283&lt;=Hesapla!$B$17),MAX(I$1:I282)+1,"")</f>
        <v/>
      </c>
    </row>
    <row r="284">
      <c r="A284" s="7" t="n"/>
      <c r="B284">
        <f>IF(A284="","",CHOOSE(WEEKDAY(A284,2),"Pazartesi","Salı","Çarşamba","Perşembe","Cuma","Cumartesi","Pazar"))</f>
        <v/>
      </c>
      <c r="G284" s="16">
        <f>IF(AND(D284="Tam gün",COUNTIFS($A$2:A284,A284,$D$2:D284,"Tam gün")=1),A284,0)</f>
        <v/>
      </c>
      <c r="H284" s="16">
        <f>IF(AND(D284="Yarım gün",COUNTIFS($A$2:A284,A284,$D$2:D284,"Yarım gün")=1),A284,0)</f>
        <v/>
      </c>
      <c r="I284" s="2">
        <f>IF(AND(ISNUMBER(A284),Hesapla!$B$18="Uyarı yok.",A284&gt;=Hesapla!$B$16,A284&lt;=Hesapla!$B$17),MAX(I$1:I283)+1,"")</f>
        <v/>
      </c>
    </row>
    <row r="285">
      <c r="A285" s="7" t="n"/>
      <c r="B285">
        <f>IF(A285="","",CHOOSE(WEEKDAY(A285,2),"Pazartesi","Salı","Çarşamba","Perşembe","Cuma","Cumartesi","Pazar"))</f>
        <v/>
      </c>
      <c r="G285" s="16">
        <f>IF(AND(D285="Tam gün",COUNTIFS($A$2:A285,A285,$D$2:D285,"Tam gün")=1),A285,0)</f>
        <v/>
      </c>
      <c r="H285" s="16">
        <f>IF(AND(D285="Yarım gün",COUNTIFS($A$2:A285,A285,$D$2:D285,"Yarım gün")=1),A285,0)</f>
        <v/>
      </c>
      <c r="I285" s="2">
        <f>IF(AND(ISNUMBER(A285),Hesapla!$B$18="Uyarı yok.",A285&gt;=Hesapla!$B$16,A285&lt;=Hesapla!$B$17),MAX(I$1:I284)+1,"")</f>
        <v/>
      </c>
    </row>
    <row r="286">
      <c r="A286" s="7" t="n"/>
      <c r="B286">
        <f>IF(A286="","",CHOOSE(WEEKDAY(A286,2),"Pazartesi","Salı","Çarşamba","Perşembe","Cuma","Cumartesi","Pazar"))</f>
        <v/>
      </c>
      <c r="G286" s="16">
        <f>IF(AND(D286="Tam gün",COUNTIFS($A$2:A286,A286,$D$2:D286,"Tam gün")=1),A286,0)</f>
        <v/>
      </c>
      <c r="H286" s="16">
        <f>IF(AND(D286="Yarım gün",COUNTIFS($A$2:A286,A286,$D$2:D286,"Yarım gün")=1),A286,0)</f>
        <v/>
      </c>
      <c r="I286" s="2">
        <f>IF(AND(ISNUMBER(A286),Hesapla!$B$18="Uyarı yok.",A286&gt;=Hesapla!$B$16,A286&lt;=Hesapla!$B$17),MAX(I$1:I285)+1,"")</f>
        <v/>
      </c>
    </row>
    <row r="287">
      <c r="A287" s="7" t="n"/>
      <c r="B287">
        <f>IF(A287="","",CHOOSE(WEEKDAY(A287,2),"Pazartesi","Salı","Çarşamba","Perşembe","Cuma","Cumartesi","Pazar"))</f>
        <v/>
      </c>
      <c r="G287" s="16">
        <f>IF(AND(D287="Tam gün",COUNTIFS($A$2:A287,A287,$D$2:D287,"Tam gün")=1),A287,0)</f>
        <v/>
      </c>
      <c r="H287" s="16">
        <f>IF(AND(D287="Yarım gün",COUNTIFS($A$2:A287,A287,$D$2:D287,"Yarım gün")=1),A287,0)</f>
        <v/>
      </c>
      <c r="I287" s="2">
        <f>IF(AND(ISNUMBER(A287),Hesapla!$B$18="Uyarı yok.",A287&gt;=Hesapla!$B$16,A287&lt;=Hesapla!$B$17),MAX(I$1:I286)+1,"")</f>
        <v/>
      </c>
    </row>
    <row r="288">
      <c r="A288" s="7" t="n"/>
      <c r="B288">
        <f>IF(A288="","",CHOOSE(WEEKDAY(A288,2),"Pazartesi","Salı","Çarşamba","Perşembe","Cuma","Cumartesi","Pazar"))</f>
        <v/>
      </c>
      <c r="G288" s="16">
        <f>IF(AND(D288="Tam gün",COUNTIFS($A$2:A288,A288,$D$2:D288,"Tam gün")=1),A288,0)</f>
        <v/>
      </c>
      <c r="H288" s="16">
        <f>IF(AND(D288="Yarım gün",COUNTIFS($A$2:A288,A288,$D$2:D288,"Yarım gün")=1),A288,0)</f>
        <v/>
      </c>
      <c r="I288" s="2">
        <f>IF(AND(ISNUMBER(A288),Hesapla!$B$18="Uyarı yok.",A288&gt;=Hesapla!$B$16,A288&lt;=Hesapla!$B$17),MAX(I$1:I287)+1,"")</f>
        <v/>
      </c>
    </row>
    <row r="289">
      <c r="A289" s="7" t="n"/>
      <c r="B289">
        <f>IF(A289="","",CHOOSE(WEEKDAY(A289,2),"Pazartesi","Salı","Çarşamba","Perşembe","Cuma","Cumartesi","Pazar"))</f>
        <v/>
      </c>
      <c r="G289" s="16">
        <f>IF(AND(D289="Tam gün",COUNTIFS($A$2:A289,A289,$D$2:D289,"Tam gün")=1),A289,0)</f>
        <v/>
      </c>
      <c r="H289" s="16">
        <f>IF(AND(D289="Yarım gün",COUNTIFS($A$2:A289,A289,$D$2:D289,"Yarım gün")=1),A289,0)</f>
        <v/>
      </c>
      <c r="I289" s="2">
        <f>IF(AND(ISNUMBER(A289),Hesapla!$B$18="Uyarı yok.",A289&gt;=Hesapla!$B$16,A289&lt;=Hesapla!$B$17),MAX(I$1:I288)+1,"")</f>
        <v/>
      </c>
    </row>
    <row r="290">
      <c r="A290" s="7" t="n"/>
      <c r="B290">
        <f>IF(A290="","",CHOOSE(WEEKDAY(A290,2),"Pazartesi","Salı","Çarşamba","Perşembe","Cuma","Cumartesi","Pazar"))</f>
        <v/>
      </c>
      <c r="G290" s="16">
        <f>IF(AND(D290="Tam gün",COUNTIFS($A$2:A290,A290,$D$2:D290,"Tam gün")=1),A290,0)</f>
        <v/>
      </c>
      <c r="H290" s="16">
        <f>IF(AND(D290="Yarım gün",COUNTIFS($A$2:A290,A290,$D$2:D290,"Yarım gün")=1),A290,0)</f>
        <v/>
      </c>
      <c r="I290" s="2">
        <f>IF(AND(ISNUMBER(A290),Hesapla!$B$18="Uyarı yok.",A290&gt;=Hesapla!$B$16,A290&lt;=Hesapla!$B$17),MAX(I$1:I289)+1,"")</f>
        <v/>
      </c>
    </row>
    <row r="291">
      <c r="A291" s="7" t="n"/>
      <c r="B291">
        <f>IF(A291="","",CHOOSE(WEEKDAY(A291,2),"Pazartesi","Salı","Çarşamba","Perşembe","Cuma","Cumartesi","Pazar"))</f>
        <v/>
      </c>
      <c r="G291" s="16">
        <f>IF(AND(D291="Tam gün",COUNTIFS($A$2:A291,A291,$D$2:D291,"Tam gün")=1),A291,0)</f>
        <v/>
      </c>
      <c r="H291" s="16">
        <f>IF(AND(D291="Yarım gün",COUNTIFS($A$2:A291,A291,$D$2:D291,"Yarım gün")=1),A291,0)</f>
        <v/>
      </c>
      <c r="I291" s="2">
        <f>IF(AND(ISNUMBER(A291),Hesapla!$B$18="Uyarı yok.",A291&gt;=Hesapla!$B$16,A291&lt;=Hesapla!$B$17),MAX(I$1:I290)+1,"")</f>
        <v/>
      </c>
    </row>
    <row r="292">
      <c r="A292" s="7" t="n"/>
      <c r="B292">
        <f>IF(A292="","",CHOOSE(WEEKDAY(A292,2),"Pazartesi","Salı","Çarşamba","Perşembe","Cuma","Cumartesi","Pazar"))</f>
        <v/>
      </c>
      <c r="G292" s="16">
        <f>IF(AND(D292="Tam gün",COUNTIFS($A$2:A292,A292,$D$2:D292,"Tam gün")=1),A292,0)</f>
        <v/>
      </c>
      <c r="H292" s="16">
        <f>IF(AND(D292="Yarım gün",COUNTIFS($A$2:A292,A292,$D$2:D292,"Yarım gün")=1),A292,0)</f>
        <v/>
      </c>
      <c r="I292" s="2">
        <f>IF(AND(ISNUMBER(A292),Hesapla!$B$18="Uyarı yok.",A292&gt;=Hesapla!$B$16,A292&lt;=Hesapla!$B$17),MAX(I$1:I291)+1,"")</f>
        <v/>
      </c>
    </row>
    <row r="293">
      <c r="A293" s="7" t="n"/>
      <c r="B293">
        <f>IF(A293="","",CHOOSE(WEEKDAY(A293,2),"Pazartesi","Salı","Çarşamba","Perşembe","Cuma","Cumartesi","Pazar"))</f>
        <v/>
      </c>
      <c r="G293" s="16">
        <f>IF(AND(D293="Tam gün",COUNTIFS($A$2:A293,A293,$D$2:D293,"Tam gün")=1),A293,0)</f>
        <v/>
      </c>
      <c r="H293" s="16">
        <f>IF(AND(D293="Yarım gün",COUNTIFS($A$2:A293,A293,$D$2:D293,"Yarım gün")=1),A293,0)</f>
        <v/>
      </c>
      <c r="I293" s="2">
        <f>IF(AND(ISNUMBER(A293),Hesapla!$B$18="Uyarı yok.",A293&gt;=Hesapla!$B$16,A293&lt;=Hesapla!$B$17),MAX(I$1:I292)+1,"")</f>
        <v/>
      </c>
    </row>
    <row r="294">
      <c r="A294" s="7" t="n"/>
      <c r="B294">
        <f>IF(A294="","",CHOOSE(WEEKDAY(A294,2),"Pazartesi","Salı","Çarşamba","Perşembe","Cuma","Cumartesi","Pazar"))</f>
        <v/>
      </c>
      <c r="G294" s="16">
        <f>IF(AND(D294="Tam gün",COUNTIFS($A$2:A294,A294,$D$2:D294,"Tam gün")=1),A294,0)</f>
        <v/>
      </c>
      <c r="H294" s="16">
        <f>IF(AND(D294="Yarım gün",COUNTIFS($A$2:A294,A294,$D$2:D294,"Yarım gün")=1),A294,0)</f>
        <v/>
      </c>
      <c r="I294" s="2">
        <f>IF(AND(ISNUMBER(A294),Hesapla!$B$18="Uyarı yok.",A294&gt;=Hesapla!$B$16,A294&lt;=Hesapla!$B$17),MAX(I$1:I293)+1,"")</f>
        <v/>
      </c>
    </row>
    <row r="295">
      <c r="A295" s="7" t="n"/>
      <c r="B295">
        <f>IF(A295="","",CHOOSE(WEEKDAY(A295,2),"Pazartesi","Salı","Çarşamba","Perşembe","Cuma","Cumartesi","Pazar"))</f>
        <v/>
      </c>
      <c r="G295" s="16">
        <f>IF(AND(D295="Tam gün",COUNTIFS($A$2:A295,A295,$D$2:D295,"Tam gün")=1),A295,0)</f>
        <v/>
      </c>
      <c r="H295" s="16">
        <f>IF(AND(D295="Yarım gün",COUNTIFS($A$2:A295,A295,$D$2:D295,"Yarım gün")=1),A295,0)</f>
        <v/>
      </c>
      <c r="I295" s="2">
        <f>IF(AND(ISNUMBER(A295),Hesapla!$B$18="Uyarı yok.",A295&gt;=Hesapla!$B$16,A295&lt;=Hesapla!$B$17),MAX(I$1:I294)+1,"")</f>
        <v/>
      </c>
    </row>
    <row r="296">
      <c r="A296" s="7" t="n"/>
      <c r="B296">
        <f>IF(A296="","",CHOOSE(WEEKDAY(A296,2),"Pazartesi","Salı","Çarşamba","Perşembe","Cuma","Cumartesi","Pazar"))</f>
        <v/>
      </c>
      <c r="G296" s="16">
        <f>IF(AND(D296="Tam gün",COUNTIFS($A$2:A296,A296,$D$2:D296,"Tam gün")=1),A296,0)</f>
        <v/>
      </c>
      <c r="H296" s="16">
        <f>IF(AND(D296="Yarım gün",COUNTIFS($A$2:A296,A296,$D$2:D296,"Yarım gün")=1),A296,0)</f>
        <v/>
      </c>
      <c r="I296" s="2">
        <f>IF(AND(ISNUMBER(A296),Hesapla!$B$18="Uyarı yok.",A296&gt;=Hesapla!$B$16,A296&lt;=Hesapla!$B$17),MAX(I$1:I295)+1,"")</f>
        <v/>
      </c>
    </row>
    <row r="297">
      <c r="A297" s="7" t="n"/>
      <c r="B297">
        <f>IF(A297="","",CHOOSE(WEEKDAY(A297,2),"Pazartesi","Salı","Çarşamba","Perşembe","Cuma","Cumartesi","Pazar"))</f>
        <v/>
      </c>
      <c r="G297" s="16">
        <f>IF(AND(D297="Tam gün",COUNTIFS($A$2:A297,A297,$D$2:D297,"Tam gün")=1),A297,0)</f>
        <v/>
      </c>
      <c r="H297" s="16">
        <f>IF(AND(D297="Yarım gün",COUNTIFS($A$2:A297,A297,$D$2:D297,"Yarım gün")=1),A297,0)</f>
        <v/>
      </c>
      <c r="I297" s="2">
        <f>IF(AND(ISNUMBER(A297),Hesapla!$B$18="Uyarı yok.",A297&gt;=Hesapla!$B$16,A297&lt;=Hesapla!$B$17),MAX(I$1:I296)+1,"")</f>
        <v/>
      </c>
    </row>
    <row r="298">
      <c r="A298" s="7" t="n"/>
      <c r="B298">
        <f>IF(A298="","",CHOOSE(WEEKDAY(A298,2),"Pazartesi","Salı","Çarşamba","Perşembe","Cuma","Cumartesi","Pazar"))</f>
        <v/>
      </c>
      <c r="G298" s="16">
        <f>IF(AND(D298="Tam gün",COUNTIFS($A$2:A298,A298,$D$2:D298,"Tam gün")=1),A298,0)</f>
        <v/>
      </c>
      <c r="H298" s="16">
        <f>IF(AND(D298="Yarım gün",COUNTIFS($A$2:A298,A298,$D$2:D298,"Yarım gün")=1),A298,0)</f>
        <v/>
      </c>
      <c r="I298" s="2">
        <f>IF(AND(ISNUMBER(A298),Hesapla!$B$18="Uyarı yok.",A298&gt;=Hesapla!$B$16,A298&lt;=Hesapla!$B$17),MAX(I$1:I297)+1,"")</f>
        <v/>
      </c>
    </row>
    <row r="299">
      <c r="A299" s="7" t="n"/>
      <c r="B299">
        <f>IF(A299="","",CHOOSE(WEEKDAY(A299,2),"Pazartesi","Salı","Çarşamba","Perşembe","Cuma","Cumartesi","Pazar"))</f>
        <v/>
      </c>
      <c r="G299" s="16">
        <f>IF(AND(D299="Tam gün",COUNTIFS($A$2:A299,A299,$D$2:D299,"Tam gün")=1),A299,0)</f>
        <v/>
      </c>
      <c r="H299" s="16">
        <f>IF(AND(D299="Yarım gün",COUNTIFS($A$2:A299,A299,$D$2:D299,"Yarım gün")=1),A299,0)</f>
        <v/>
      </c>
      <c r="I299" s="2">
        <f>IF(AND(ISNUMBER(A299),Hesapla!$B$18="Uyarı yok.",A299&gt;=Hesapla!$B$16,A299&lt;=Hesapla!$B$17),MAX(I$1:I298)+1,"")</f>
        <v/>
      </c>
    </row>
    <row r="300">
      <c r="A300" s="7" t="n"/>
      <c r="B300">
        <f>IF(A300="","",CHOOSE(WEEKDAY(A300,2),"Pazartesi","Salı","Çarşamba","Perşembe","Cuma","Cumartesi","Pazar"))</f>
        <v/>
      </c>
      <c r="G300" s="16">
        <f>IF(AND(D300="Tam gün",COUNTIFS($A$2:A300,A300,$D$2:D300,"Tam gün")=1),A300,0)</f>
        <v/>
      </c>
      <c r="H300" s="16">
        <f>IF(AND(D300="Yarım gün",COUNTIFS($A$2:A300,A300,$D$2:D300,"Yarım gün")=1),A300,0)</f>
        <v/>
      </c>
      <c r="I300" s="2">
        <f>IF(AND(ISNUMBER(A300),Hesapla!$B$18="Uyarı yok.",A300&gt;=Hesapla!$B$16,A300&lt;=Hesapla!$B$17),MAX(I$1:I299)+1,"")</f>
        <v/>
      </c>
    </row>
  </sheetData>
  <mergeCells count="7">
    <mergeCell ref="K7:L7"/>
    <mergeCell ref="K11:L11"/>
    <mergeCell ref="K12:L12"/>
    <mergeCell ref="K8:L8"/>
    <mergeCell ref="K10:L10"/>
    <mergeCell ref="K9:L9"/>
    <mergeCell ref="K6:L6"/>
  </mergeCells>
  <dataValidations count="1">
    <dataValidation sqref="D2:D300" showDropDown="0" showInputMessage="0" showErrorMessage="1" allowBlank="1" errorTitle="Süre" error="Tam gün veya Yarım gün seçin." type="list">
      <formula1>"Tam gün,Yarım gün"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8" t="inlineStr">
        <is>
          <t>İş günü hesaplayıcı (Türkiye)</t>
        </is>
      </c>
    </row>
    <row r="2">
      <c r="A2" s="17" t="n"/>
    </row>
    <row r="3">
      <c r="A3" s="19" t="inlineStr">
        <is>
          <t>Ne yapar</t>
        </is>
      </c>
    </row>
    <row r="4" ht="32" customHeight="1">
      <c r="A4" s="17" t="inlineStr">
        <is>
          <t>Bu dosya bir tarihe iş günü ekler veya çıkarır, iki tarih arasındaki iş günlerini sayar. Hesapta Türkiye'deki resmî tatiller dikkate alınır.</t>
        </is>
      </c>
    </row>
    <row r="5">
      <c r="A5" s="17" t="n"/>
    </row>
    <row r="6">
      <c r="A6" s="19" t="inlineStr">
        <is>
          <t>Nasıl kullanılır</t>
        </is>
      </c>
    </row>
    <row r="7">
      <c r="A7" s="17" t="inlineStr">
        <is>
          <t>1. İndirdiğiniz dosya Korumalı Görünüm'de açılırsa Düzenlemeyi Etkinleştir düğmesine tıklayın.</t>
        </is>
      </c>
    </row>
    <row r="8">
      <c r="A8" s="17" t="inlineStr">
        <is>
          <t>2. Hesapla sayfasında hafta sonu seçeneğini kontrol edin. Cumartesi çalışılıyorsa Yalnız Pazar tatil seçin.</t>
        </is>
      </c>
    </row>
    <row r="9">
      <c r="A9" s="17" t="inlineStr">
        <is>
          <t>3. Birinci blokta başlangıç tarihini ve eklenecek iş günü sayısını yazın.</t>
        </is>
      </c>
    </row>
    <row r="10">
      <c r="A10" s="17" t="inlineStr">
        <is>
          <t>4. İkinci blokta iki tarih yazın. İki tarih de sayıma dahildir.</t>
        </is>
      </c>
    </row>
    <row r="11">
      <c r="A11" s="17" t="inlineStr">
        <is>
          <t>5. Uyarı satırında bir mesaj varsa sonuç gösterilmez. Mesajı okuyup girdiyi düzeltin.</t>
        </is>
      </c>
    </row>
    <row r="12">
      <c r="A12" s="17" t="n"/>
    </row>
    <row r="13">
      <c r="A13" s="19" t="inlineStr">
        <is>
          <t>Sınırlar</t>
        </is>
      </c>
    </row>
    <row r="14">
      <c r="A14" s="17" t="inlineStr">
        <is>
          <t>Tatil listesi 1 Ocak 2026 ile 31 Aralık 2028 arasını kapsar. Bu aralığın dışında sonuç gösterilmez.</t>
        </is>
      </c>
    </row>
    <row r="15" ht="32" customHeight="1">
      <c r="A15" s="17" t="inlineStr">
        <is>
          <t>Tam gün tatiller iş günü sayılmaz. Bayram arifeleri ve 28 Ekim öğleden sonrası yarım gün tatildir. Sabah çalışıldığı için bu günler iş günü sayılır ve ayrıca gösterilir.</t>
        </is>
      </c>
    </row>
    <row r="16" ht="32" customHeight="1">
      <c r="A16" s="17" t="inlineStr">
        <is>
          <t>Listede yalnızca 2429 sayılı kanuna dayanan resmî tatiller vardır. İdari izinler, köprü günleri ve işyerine özel tatiller yoktur.</t>
        </is>
      </c>
    </row>
    <row r="17" ht="32" customHeight="1">
      <c r="A17" s="17" t="inlineStr">
        <is>
          <t>Tatil tarihleri her yıl Diyanet tarafından yayımlanır ve değişebilir. Liste her yıl güncellenmelidir. Nasıl ekleneceği Tatiller sayfasının sağ tarafında yazıyor.</t>
        </is>
      </c>
    </row>
    <row r="18">
      <c r="A18" s="17" t="inlineStr">
        <is>
          <t>Sayım kuralı WORKDAY.INTL ve NETWORKDAYS.INTL ile aynıdır. Sayı 0 ise başlangıç tarihi aynen döner.</t>
        </is>
      </c>
    </row>
    <row r="19">
      <c r="A19" s="17" t="inlineStr">
        <is>
          <t>Bu dosya makro içermez. Sayfalar korumasızdır, bu yüzden formül hücrelerini yanlışlıkla silmemeye dikkat edin.</t>
        </is>
      </c>
    </row>
    <row r="20">
      <c r="A20" s="17" t="n"/>
    </row>
    <row r="21">
      <c r="A21" s="19" t="inlineStr">
        <is>
          <t>Kaynak</t>
        </is>
      </c>
    </row>
    <row r="22">
      <c r="A22" s="17" t="inlineStr">
        <is>
          <t>Diyanet İşleri Başkanlığı resmî tatil listeleri, 2429 sayılı kanuna göre hazırlanmıştır:</t>
        </is>
      </c>
    </row>
    <row r="23">
      <c r="A23" s="17" t="inlineStr">
        <is>
          <t>2026: https://vakithesaplama.diyanet.gov.tr/icerik.php?icerik=158</t>
        </is>
      </c>
    </row>
    <row r="24">
      <c r="A24" s="17" t="inlineStr">
        <is>
          <t>2027: https://vakithesaplama.diyanet.gov.tr/icerik.php?icerik=159</t>
        </is>
      </c>
    </row>
    <row r="25">
      <c r="A25" s="17" t="inlineStr">
        <is>
          <t>2028: https://vakithesaplama.diyanet.gov.tr/icerik.php?icerik=193</t>
        </is>
      </c>
    </row>
    <row r="26">
      <c r="A26" s="17" t="n"/>
    </row>
    <row r="27">
      <c r="A27" s="17" t="inlineStr">
        <is>
          <t>Sürüm tarihi: 2026-10-19</t>
        </is>
      </c>
    </row>
    <row r="28">
      <c r="A28" s="17" t="inlineStr">
        <is>
          <t>MIT lisansı</t>
        </is>
      </c>
    </row>
    <row r="29">
      <c r="A29" s="20" t="inlineStr">
        <is>
          <t>LogisticsIQ hazırladı: https://logisticsiq.org</t>
        </is>
      </c>
    </row>
  </sheetData>
  <hyperlinks>
    <hyperlink xmlns:r="http://schemas.openxmlformats.org/officeDocument/2006/relationships" ref="A2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LogisticsIQ</dc:creator>
  <dc:title>İş günü hesaplayıcı (Türkiye)</dc:title>
  <dcterms:created xsi:type="dcterms:W3CDTF">2026-10-19T12:00:00Z</dcterms:created>
  <dcterms:modified xsi:type="dcterms:W3CDTF">2026-10-19T12:00:00Z</dcterms:modified>
</cp:coreProperties>
</file>