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sapla" sheetId="1" state="visible" r:id="rId1"/>
    <sheet name="Hakkınd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yyyy-mm-dd"/>
    <numFmt numFmtId="166" formatCode="dd.mm.yyyy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color rgb="009C0006"/>
    </font>
    <font>
      <i val="1"/>
      <color rgb="00808080"/>
    </font>
    <font>
      <b val="1"/>
      <sz val="12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2" borderId="0" pivotButton="0" quotePrefix="0" xfId="0"/>
    <xf numFmtId="1" fontId="0" fillId="3" borderId="0" pivotButton="0" quotePrefix="0" xfId="0"/>
    <xf numFmtId="0" fontId="0" fillId="3" borderId="0" pivotButton="0" quotePrefix="0" xfId="0"/>
    <xf numFmtId="164" fontId="0" fillId="3" borderId="0" pivotButton="0" quotePrefix="0" xfId="0"/>
    <xf numFmtId="166" fontId="0" fillId="3" borderId="0" pivotButton="0" quotePrefix="0" xfId="0"/>
    <xf numFmtId="1" fontId="0" fillId="0" borderId="0" applyAlignment="1" pivotButton="0" quotePrefix="0" xfId="0">
      <alignment horizontal="left"/>
    </xf>
    <xf numFmtId="4" fontId="0" fillId="0" borderId="0" applyAlignment="1" pivotButton="0" quotePrefix="0" xfId="0">
      <alignment horizontal="left"/>
    </xf>
    <xf numFmtId="4" fontId="4" fillId="0" borderId="0" applyAlignment="1" pivotButton="0" quotePrefix="0" xfId="0">
      <alignment horizontal="left"/>
    </xf>
    <xf numFmtId="0" fontId="0" fillId="0" borderId="0" applyAlignment="1" pivotButton="0" quotePrefix="0" xfId="0">
      <alignment vertical="top"/>
    </xf>
    <xf numFmtId="0" fontId="5" fillId="0" borderId="0" applyAlignment="1" pivotButton="0" quotePrefix="0" xfId="0">
      <alignment vertical="top" wrapText="1"/>
    </xf>
    <xf numFmtId="0" fontId="3" fillId="2" borderId="0" pivotButton="0" quotePrefix="0" xfId="0"/>
    <xf numFmtId="0" fontId="5" fillId="2" borderId="0" pivotButton="0" quotePrefix="0" xfId="0"/>
    <xf numFmtId="1" fontId="5" fillId="2" borderId="0" pivotButton="0" quotePrefix="0" xfId="0"/>
    <xf numFmtId="4" fontId="0" fillId="3" borderId="0" pivotButton="0" quotePrefix="0" xfId="0"/>
    <xf numFmtId="1" fontId="0" fillId="0" borderId="0" pivotButton="0" quotePrefix="0" xfId="0"/>
    <xf numFmtId="4" fontId="0" fillId="0" borderId="0" pivotButton="0" quotePrefix="0" xfId="0"/>
    <xf numFmtId="0" fontId="5" fillId="0" borderId="0" pivotButton="0" quotePrefix="0" xfId="0"/>
    <xf numFmtId="4" fontId="5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6" fillId="0" borderId="0" pivotButton="0" quotePrefix="0" xfId="1"/>
  </cellXfs>
  <cellStyles count="2">
    <cellStyle name="Normal" xfId="0" builtinId="0" hidden="0"/>
    <cellStyle name="Hyperlink" xfId="1" builtinId="8" hidden="0"/>
  </cellStyles>
  <dxfs count="2">
    <dxf>
      <font>
        <b val="1"/>
        <color rgb="009C0006"/>
      </font>
      <fill>
        <patternFill patternType="solid">
          <fgColor rgb="00FFC7CE"/>
          <bgColor rgb="00FFC7CE"/>
        </patternFill>
      </fill>
    </dxf>
    <dxf>
      <font>
        <b val="1"/>
        <color rgb="009C000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logisticsiq.org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22" customWidth="1" min="2" max="2"/>
    <col width="26" customWidth="1" min="3" max="3"/>
    <col width="22" customWidth="1" min="4" max="4"/>
    <col width="12" customWidth="1" min="5" max="5"/>
    <col width="18" customWidth="1" min="6" max="6"/>
    <col width="54" customWidth="1" min="7" max="7"/>
    <col width="3" customWidth="1" min="8" max="8"/>
    <col width="30" customWidth="1" min="9" max="9"/>
    <col width="10" customWidth="1" min="10" max="10"/>
  </cols>
  <sheetData>
    <row r="1">
      <c r="A1" s="1" t="inlineStr">
        <is>
          <t>Demuraj, detention ve ardiye maliyeti (tahmin)</t>
        </is>
      </c>
    </row>
    <row r="2">
      <c r="A2" s="2" t="inlineStr">
        <is>
          <t>Bu sonuç bir tahmindir. Sözleşmenizdeki ve terminal tarifenizdeki koşullar geçerlidir. Tüm günler takvim günüdür.</t>
        </is>
      </c>
    </row>
    <row r="3">
      <c r="A3" s="3" t="inlineStr">
        <is>
          <t>Dosyadaki tarihler ve tarifeler örnektir. Sarı hücrelere kendi bilgilerinizi yazın.</t>
        </is>
      </c>
    </row>
    <row r="4">
      <c r="A4" s="4" t="inlineStr">
        <is>
          <t>Ayarlar</t>
        </is>
      </c>
      <c r="B4" s="5" t="n"/>
      <c r="C4" s="5" t="n"/>
      <c r="I4" s="3" t="inlineStr">
        <is>
          <t>Yardımcı hücreler (değiştirmeyin)</t>
        </is>
      </c>
    </row>
    <row r="5">
      <c r="A5" t="inlineStr">
        <is>
          <t>Konteyner sayısı</t>
        </is>
      </c>
      <c r="B5" s="6" t="n">
        <v>2</v>
      </c>
      <c r="C5" s="3" t="inlineStr">
        <is>
          <t>Tutarlar bu sayıyla çarpılır.</t>
        </is>
      </c>
      <c r="I5" s="3" t="inlineStr">
        <is>
          <t>Hesap şekli kodu</t>
        </is>
      </c>
      <c r="J5" s="3">
        <f>IF(B8="Ayrı (demuraj ve detention ayrı)",1,IF(B8="Birleşik (tek serbest süre)",2,0))</f>
        <v/>
      </c>
    </row>
    <row r="6">
      <c r="A6" t="inlineStr">
        <is>
          <t>Konteyner tipi (serbest metin)</t>
        </is>
      </c>
      <c r="B6" s="7" t="inlineStr">
        <is>
          <t>40' HC</t>
        </is>
      </c>
      <c r="C6" s="3" t="inlineStr">
        <is>
          <t>Yalnız özet cümlesinde görünür.</t>
        </is>
      </c>
      <c r="I6" s="3" t="inlineStr">
        <is>
          <t>İlk gün eki</t>
        </is>
      </c>
      <c r="J6" s="3">
        <f>IF(B9="Evet",1,0)</f>
        <v/>
      </c>
    </row>
    <row r="7">
      <c r="A7" t="inlineStr">
        <is>
          <t>Para birimi</t>
        </is>
      </c>
      <c r="B7" s="7" t="inlineStr">
        <is>
          <t>USD</t>
        </is>
      </c>
      <c r="C7" s="3" t="inlineStr">
        <is>
          <t>Tarifedeki günlük ücretler bu para birimindedir.</t>
        </is>
      </c>
      <c r="I7" s="3" t="inlineStr">
        <is>
          <t>Ardiye kullanılıyor mu</t>
        </is>
      </c>
      <c r="J7" s="3">
        <f>IF(COUNTA(B63:B67)&gt;0,1,0)</f>
        <v/>
      </c>
    </row>
    <row r="8">
      <c r="A8" t="inlineStr">
        <is>
          <t>Hesap şekli</t>
        </is>
      </c>
      <c r="B8" s="7" t="inlineStr">
        <is>
          <t>Ayrı (demuraj ve detention ayrı)</t>
        </is>
      </c>
      <c r="C8" s="3" t="inlineStr">
        <is>
          <t>Taşıyıcınız demuraj ve detention için ayrı süre veriyorsa Ayrı, tek süre veriyorsa Birleşik seçin.</t>
        </is>
      </c>
      <c r="I8" s="3" t="inlineStr">
        <is>
          <t>Hatalı tarife satırı sayısı</t>
        </is>
      </c>
      <c r="J8" s="3">
        <f>SUMPRODUCT(--(LEN(G36:G40)&gt;0))+SUMPRODUCT(--(LEN(G45:G49)&gt;0))+SUMPRODUCT(--(LEN(G54:G58)&gt;0))+SUMPRODUCT(--(LEN(G63:G67)&gt;0))</f>
        <v/>
      </c>
    </row>
    <row r="9">
      <c r="A9" t="inlineStr">
        <is>
          <t>İlk gün sayılır mı?</t>
        </is>
      </c>
      <c r="B9" s="7" t="inlineStr">
        <is>
          <t>Evet</t>
        </is>
      </c>
      <c r="C9" s="3" t="inlineStr">
        <is>
          <t>Evet: başlangıç günü 1. gündür (gün = bitiş eksi başlangıç artı 1). Hayır: gün = bitiş eksi başlangıç.</t>
        </is>
      </c>
    </row>
    <row r="10">
      <c r="A10" t="inlineStr">
        <is>
          <t>TRY kuru (isteğe bağlı)</t>
        </is>
      </c>
      <c r="B10" s="8" t="n"/>
      <c r="C10" s="3" t="inlineStr">
        <is>
          <t>1 birim para biriminin TRY karşılığı. Güncel kur için bu depodaki ../tcmb-kurlari/ aracına bakabilirsiniz.</t>
        </is>
      </c>
    </row>
    <row r="12">
      <c r="A12" s="4" t="inlineStr">
        <is>
          <t>Tarihler</t>
        </is>
      </c>
      <c r="B12" s="5" t="n"/>
      <c r="C12" s="5" t="n"/>
    </row>
    <row r="13">
      <c r="A13" t="inlineStr">
        <is>
          <t>Tahliye tarihi</t>
        </is>
      </c>
      <c r="B13" s="9" t="n">
        <v>46266</v>
      </c>
      <c r="C13" s="3" t="inlineStr">
        <is>
          <t>Konteynerin gemiden indirildiği gün.</t>
        </is>
      </c>
    </row>
    <row r="14">
      <c r="A14" t="inlineStr">
        <is>
          <t>Çıkış tarihi</t>
        </is>
      </c>
      <c r="B14" s="9" t="n">
        <v>46277</v>
      </c>
      <c r="C14" s="3" t="inlineStr">
        <is>
          <t>Konteynerin terminalden çıktığı gün.</t>
        </is>
      </c>
    </row>
    <row r="15">
      <c r="A15" t="inlineStr">
        <is>
          <t>Boş iade tarihi</t>
        </is>
      </c>
      <c r="B15" s="9" t="n">
        <v>46285</v>
      </c>
      <c r="C15" s="3" t="inlineStr">
        <is>
          <t>Boş konteynerin iade edildiği gün.</t>
        </is>
      </c>
    </row>
    <row r="16">
      <c r="A16" t="inlineStr">
        <is>
          <t>Uyarı</t>
        </is>
      </c>
      <c r="B16">
        <f>IF(IF(ISNUMBER(B5),OR(B5&lt;1,B5&lt;&gt;INT(B5)),TRUE),"Konteyner sayısı 1 veya daha büyük bir tam sayı olmalı.",IF(AND(B7&lt;&gt;"USD",B7&lt;&gt;"EUR",B7&lt;&gt;"TRY"),"Para birimi USD, EUR veya TRY olmalı.",IF($J$5=0,"Hesap şekli listeden seçilmeli.",IF(AND(B9&lt;&gt;"Evet",B9&lt;&gt;"Hayır"),"İlk gün sayılır mı alanı Evet veya Hayır olmalı.",IF(NOT(ISNUMBER(B13)),"Tahliye tarihini girin.",IF(AND($J$5=1,NOT(ISNUMBER(B14))),"Çıkış tarihini girin.",IF(NOT(ISNUMBER(B15)),"Boş iade tarihini girin.",IF(AND($J$5=2,$J$7=1,NOT(ISNUMBER(B14))),"Ardiye tarifesi dolu olduğu için çıkış tarihini girin.",IF(AND(ISNUMBER(B14),B14&lt;B13),"Çıkış tarihi tahliye tarihinden önce olamaz.",IF(B15&lt;B13,"Boş iade tarihi tahliye tarihinden önce olamaz.",IF(AND(ISNUMBER(B14),B15&lt;B14),"Boş iade tarihi çıkış tarihinden önce olamaz.",IF(AND(B7&lt;&gt;"TRY",B10&lt;&gt;"",IF(ISNUMBER(B10),B10&lt;=0,TRUE)),"Kur 0'dan büyük bir sayı olmalı.",IF($J$8&gt;0,"Tarife tablolarında hatalı satır var. Satır notlarına bakın.","Uyarı yok.")))))))))))))</f>
        <v/>
      </c>
    </row>
    <row r="18">
      <c r="A18" s="4" t="inlineStr">
        <is>
          <t>Sonuç (tahmin)</t>
        </is>
      </c>
      <c r="B18" s="5" t="n"/>
      <c r="C18" s="5" t="n"/>
    </row>
    <row r="19">
      <c r="A19" t="inlineStr">
        <is>
          <t>Demuraj süresi (gün)</t>
        </is>
      </c>
      <c r="B19" s="10">
        <f>F34</f>
        <v/>
      </c>
    </row>
    <row r="20">
      <c r="A20" t="inlineStr">
        <is>
          <t>Detention süresi (gün)</t>
        </is>
      </c>
      <c r="B20" s="10">
        <f>F43</f>
        <v/>
      </c>
    </row>
    <row r="21">
      <c r="A21" t="inlineStr">
        <is>
          <t>Birleşik süre (gün)</t>
        </is>
      </c>
      <c r="B21" s="10">
        <f>F52</f>
        <v/>
      </c>
    </row>
    <row r="22">
      <c r="A22" t="inlineStr">
        <is>
          <t>Ardiye süresi (gün)</t>
        </is>
      </c>
      <c r="B22" s="10">
        <f>F61</f>
        <v/>
      </c>
    </row>
    <row r="23">
      <c r="A23" t="inlineStr">
        <is>
          <t>Demuraj tutarı</t>
        </is>
      </c>
      <c r="B23" s="11">
        <f>F41</f>
        <v/>
      </c>
    </row>
    <row r="24">
      <c r="A24" t="inlineStr">
        <is>
          <t>Detention tutarı</t>
        </is>
      </c>
      <c r="B24" s="11">
        <f>F50</f>
        <v/>
      </c>
    </row>
    <row r="25">
      <c r="A25" t="inlineStr">
        <is>
          <t>Birleşik süre tutarı</t>
        </is>
      </c>
      <c r="B25" s="11">
        <f>F59</f>
        <v/>
      </c>
    </row>
    <row r="26">
      <c r="A26" t="inlineStr">
        <is>
          <t>Ardiye tutarı</t>
        </is>
      </c>
      <c r="B26" s="11">
        <f>F68</f>
        <v/>
      </c>
    </row>
    <row r="27">
      <c r="A27" t="inlineStr">
        <is>
          <t>Genel toplam (seçilen para birimi)</t>
        </is>
      </c>
      <c r="B27" s="12">
        <f>IF($B$16="Uyarı yok.",SUM(F41,F50,F59,F68),"")</f>
        <v/>
      </c>
    </row>
    <row r="28">
      <c r="A28" t="inlineStr">
        <is>
          <t>Genel toplam (TRY)</t>
        </is>
      </c>
      <c r="B28" s="12">
        <f>IF($B$16="Uyarı yok.",IF($B$7="TRY",B27,IF(ISNUMBER($B$10),B27*$B$10,"")),"")</f>
        <v/>
      </c>
      <c r="C28" s="3" t="inlineStr">
        <is>
          <t>Kur girilmediyse boş kalır.</t>
        </is>
      </c>
    </row>
    <row r="29" ht="64" customHeight="1">
      <c r="A29" s="13" t="inlineStr">
        <is>
          <t>Özet</t>
        </is>
      </c>
      <c r="B29" s="14">
        <f>IF($B$16="Uyarı yok.",B5&amp;" adet"&amp;IF(TRIM(B6)="",""," "&amp;TRIM(B6))&amp;" konteyner için tahmini toplam "&amp;FIXED(B27,2,TRUE)&amp;" "&amp;B7&amp;". "&amp;IF($J$5=1,"Demuraj süresi "&amp;B19&amp;" gün, detention süresi "&amp;B20&amp;" gün","Birleşik süre "&amp;B21&amp;" gün")&amp;IF(B22&lt;&gt;"",", ardiye süresi "&amp;B22&amp;" gün","")&amp;"."&amp;IF(AND(B7&lt;&gt;"TRY",ISNUMBER(B28))," Verilen kurla yaklaşık "&amp;FIXED(B28,2,TRUE)&amp;" TRY.","")&amp;" Bu bir tahmindir, sözleşmenizdeki ve terminal tarifenizdeki koşullar geçerlidir.","")</f>
        <v/>
      </c>
    </row>
    <row r="31">
      <c r="A31" s="4" t="inlineStr">
        <is>
          <t>Tarifeler</t>
        </is>
      </c>
      <c r="B31" s="5" t="n"/>
      <c r="C31" s="5" t="n"/>
      <c r="D31" s="5" t="n"/>
      <c r="E31" s="5" t="n"/>
      <c r="F31" s="5" t="n"/>
      <c r="G31" s="5" t="n"/>
    </row>
    <row r="32">
      <c r="A32" s="3" t="inlineStr">
        <is>
          <t>Tarifenizi olduğu gibi girin. Serbest süre, ücreti 0 olan bir satırdır. Bitiş gününü boş bırakırsanız satır sonuna kadar sürer. Satırlar çakışmamalıdır.</t>
        </is>
      </c>
    </row>
    <row r="34">
      <c r="A34" s="4" t="inlineStr">
        <is>
          <t>Demuraj tarifesi (tahliyeden çıkışa kadar)</t>
        </is>
      </c>
      <c r="B34" s="5" t="n"/>
      <c r="C34" s="15">
        <f>IF($J$5=2,"Bu hesap şeklinde kullanılmaz.","")</f>
        <v/>
      </c>
      <c r="D34" s="5" t="n"/>
      <c r="E34" s="16" t="inlineStr">
        <is>
          <t>Süre (gün)</t>
        </is>
      </c>
      <c r="F34" s="17">
        <f>IF(AND($B$16="Uyarı yok.",$J$5=1),$B$14-$B$13+$J$6,"")</f>
        <v/>
      </c>
      <c r="G34" s="5" t="n"/>
    </row>
    <row r="35" ht="32" customHeight="1">
      <c r="A35" s="14" t="inlineStr">
        <is>
          <t>Satır</t>
        </is>
      </c>
      <c r="B35" s="14" t="inlineStr">
        <is>
          <t>Başlangıç günü</t>
        </is>
      </c>
      <c r="C35" s="14" t="inlineStr">
        <is>
          <t>Bitiş günü (boşsa sonrası)</t>
        </is>
      </c>
      <c r="D35" s="14" t="inlineStr">
        <is>
          <t>Günlük ücret (konteyner başına)</t>
        </is>
      </c>
      <c r="E35" s="14" t="inlineStr">
        <is>
          <t>Gün sayısı</t>
        </is>
      </c>
      <c r="F35" s="14" t="inlineStr">
        <is>
          <t>Tutar</t>
        </is>
      </c>
      <c r="G35" s="14" t="inlineStr">
        <is>
          <t>Satır notu</t>
        </is>
      </c>
    </row>
    <row r="36">
      <c r="A36" t="inlineStr">
        <is>
          <t>Satır 1</t>
        </is>
      </c>
      <c r="B36" s="6" t="n">
        <v>1</v>
      </c>
      <c r="C36" s="6" t="n">
        <v>7</v>
      </c>
      <c r="D36" s="18" t="n">
        <v>0</v>
      </c>
      <c r="E36" s="19">
        <f>IF(OR(B36="",$F$34=""),"",MAX(0,MIN($F$34,IF(C36="",$F$34,C36))-B36+1))</f>
        <v/>
      </c>
      <c r="F36" s="20">
        <f>IF(E36="","",E36*D36*$B$5)</f>
        <v/>
      </c>
      <c r="G36">
        <f>IF($J$5&lt;&gt;1,"",IF(B36="","",IF(NOT(ISNUMBER(B36)),"Başlangıç günü 1 veya daha büyük bir tam sayı olmalı.",IF(OR(B36&lt;1,B36&lt;&gt;INT(B36)),"Başlangıç günü 1 veya daha büyük bir tam sayı olmalı.",IF(NOT(ISNUMBER(D36)),"Günlük ücret girilmeli.",IF(D36&lt;0,"Günlük ücret eksi olamaz.",IF(C36="","",IF(NOT(ISNUMBER(C36)),"Bitiş günü bir tam sayı olmalı.",IF(C36&lt;&gt;INT(C36),"Bitiş günü bir tam sayı olmalı.",IF(C36&lt;B36,"Bitiş günü başlangıç gününden küçük olamaz.",""))))))))))</f>
        <v/>
      </c>
    </row>
    <row r="37">
      <c r="A37" t="inlineStr">
        <is>
          <t>Satır 2</t>
        </is>
      </c>
      <c r="B37" s="6" t="n">
        <v>8</v>
      </c>
      <c r="C37" s="6" t="n">
        <v>14</v>
      </c>
      <c r="D37" s="18" t="n">
        <v>40</v>
      </c>
      <c r="E37" s="19">
        <f>IF(OR(B37="",$F$34=""),"",MAX(0,MIN($F$34,IF(C37="",$F$34,C37))-B37+1))</f>
        <v/>
      </c>
      <c r="F37" s="20">
        <f>IF(E37="","",E37*D37*$B$5)</f>
        <v/>
      </c>
      <c r="G37">
        <f>IF($J$5&lt;&gt;1,"",IF(B37="","",IF(NOT(ISNUMBER(B37)),"Başlangıç günü 1 veya daha büyük bir tam sayı olmalı.",IF(OR(B37&lt;1,B37&lt;&gt;INT(B37)),"Başlangıç günü 1 veya daha büyük bir tam sayı olmalı.",IF(NOT(ISNUMBER(D37)),"Günlük ücret girilmeli.",IF(D37&lt;0,"Günlük ücret eksi olamaz.",IF(C37="","",IF(NOT(ISNUMBER(C37)),"Bitiş günü bir tam sayı olmalı.",IF(C37&lt;&gt;INT(C37),"Bitiş günü bir tam sayı olmalı.",IF(C37&lt;B37,"Bitiş günü başlangıç gününden küçük olamaz.",""))))))))))</f>
        <v/>
      </c>
    </row>
    <row r="38">
      <c r="A38" t="inlineStr">
        <is>
          <t>Satır 3</t>
        </is>
      </c>
      <c r="B38" s="6" t="n">
        <v>15</v>
      </c>
      <c r="C38" s="6" t="n"/>
      <c r="D38" s="18" t="n">
        <v>80</v>
      </c>
      <c r="E38" s="19">
        <f>IF(OR(B38="",$F$34=""),"",MAX(0,MIN($F$34,IF(C38="",$F$34,C38))-B38+1))</f>
        <v/>
      </c>
      <c r="F38" s="20">
        <f>IF(E38="","",E38*D38*$B$5)</f>
        <v/>
      </c>
      <c r="G38">
        <f>IF($J$5&lt;&gt;1,"",IF(B38="","",IF(NOT(ISNUMBER(B38)),"Başlangıç günü 1 veya daha büyük bir tam sayı olmalı.",IF(OR(B38&lt;1,B38&lt;&gt;INT(B38)),"Başlangıç günü 1 veya daha büyük bir tam sayı olmalı.",IF(NOT(ISNUMBER(D38)),"Günlük ücret girilmeli.",IF(D38&lt;0,"Günlük ücret eksi olamaz.",IF(C38="","",IF(NOT(ISNUMBER(C38)),"Bitiş günü bir tam sayı olmalı.",IF(C38&lt;&gt;INT(C38),"Bitiş günü bir tam sayı olmalı.",IF(C38&lt;B38,"Bitiş günü başlangıç gününden küçük olamaz.",""))))))))))</f>
        <v/>
      </c>
    </row>
    <row r="39">
      <c r="A39" t="inlineStr">
        <is>
          <t>Satır 4</t>
        </is>
      </c>
      <c r="B39" s="6" t="n"/>
      <c r="C39" s="6" t="n"/>
      <c r="D39" s="18" t="n"/>
      <c r="E39" s="19">
        <f>IF(OR(B39="",$F$34=""),"",MAX(0,MIN($F$34,IF(C39="",$F$34,C39))-B39+1))</f>
        <v/>
      </c>
      <c r="F39" s="20">
        <f>IF(E39="","",E39*D39*$B$5)</f>
        <v/>
      </c>
      <c r="G39">
        <f>IF($J$5&lt;&gt;1,"",IF(B39="","",IF(NOT(ISNUMBER(B39)),"Başlangıç günü 1 veya daha büyük bir tam sayı olmalı.",IF(OR(B39&lt;1,B39&lt;&gt;INT(B39)),"Başlangıç günü 1 veya daha büyük bir tam sayı olmalı.",IF(NOT(ISNUMBER(D39)),"Günlük ücret girilmeli.",IF(D39&lt;0,"Günlük ücret eksi olamaz.",IF(C39="","",IF(NOT(ISNUMBER(C39)),"Bitiş günü bir tam sayı olmalı.",IF(C39&lt;&gt;INT(C39),"Bitiş günü bir tam sayı olmalı.",IF(C39&lt;B39,"Bitiş günü başlangıç gününden küçük olamaz.",""))))))))))</f>
        <v/>
      </c>
    </row>
    <row r="40">
      <c r="A40" t="inlineStr">
        <is>
          <t>Satır 5</t>
        </is>
      </c>
      <c r="B40" s="6" t="n"/>
      <c r="C40" s="6" t="n"/>
      <c r="D40" s="18" t="n"/>
      <c r="E40" s="19">
        <f>IF(OR(B40="",$F$34=""),"",MAX(0,MIN($F$34,IF(C40="",$F$34,C40))-B40+1))</f>
        <v/>
      </c>
      <c r="F40" s="20">
        <f>IF(E40="","",E40*D40*$B$5)</f>
        <v/>
      </c>
      <c r="G40">
        <f>IF($J$5&lt;&gt;1,"",IF(B40="","",IF(NOT(ISNUMBER(B40)),"Başlangıç günü 1 veya daha büyük bir tam sayı olmalı.",IF(OR(B40&lt;1,B40&lt;&gt;INT(B40)),"Başlangıç günü 1 veya daha büyük bir tam sayı olmalı.",IF(NOT(ISNUMBER(D40)),"Günlük ücret girilmeli.",IF(D40&lt;0,"Günlük ücret eksi olamaz.",IF(C40="","",IF(NOT(ISNUMBER(C40)),"Bitiş günü bir tam sayı olmalı.",IF(C40&lt;&gt;INT(C40),"Bitiş günü bir tam sayı olmalı.",IF(C40&lt;B40,"Bitiş günü başlangıç gününden küçük olamaz.",""))))))))))</f>
        <v/>
      </c>
    </row>
    <row r="41">
      <c r="A41" s="21" t="inlineStr">
        <is>
          <t>Ara toplam</t>
        </is>
      </c>
      <c r="F41" s="22">
        <f>IF($F$34="","",SUM(F36:F40))</f>
        <v/>
      </c>
    </row>
    <row r="43">
      <c r="A43" s="4" t="inlineStr">
        <is>
          <t>Detention tarifesi (çıkıştan boş iadeye kadar)</t>
        </is>
      </c>
      <c r="B43" s="5" t="n"/>
      <c r="C43" s="15">
        <f>IF($J$5=2,"Bu hesap şeklinde kullanılmaz.","")</f>
        <v/>
      </c>
      <c r="D43" s="5" t="n"/>
      <c r="E43" s="16" t="inlineStr">
        <is>
          <t>Süre (gün)</t>
        </is>
      </c>
      <c r="F43" s="17">
        <f>IF(AND($B$16="Uyarı yok.",$J$5=1),$B$15-$B$14+$J$6,"")</f>
        <v/>
      </c>
      <c r="G43" s="5" t="n"/>
    </row>
    <row r="44" ht="32" customHeight="1">
      <c r="A44" s="14" t="inlineStr">
        <is>
          <t>Satır</t>
        </is>
      </c>
      <c r="B44" s="14" t="inlineStr">
        <is>
          <t>Başlangıç günü</t>
        </is>
      </c>
      <c r="C44" s="14" t="inlineStr">
        <is>
          <t>Bitiş günü (boşsa sonrası)</t>
        </is>
      </c>
      <c r="D44" s="14" t="inlineStr">
        <is>
          <t>Günlük ücret (konteyner başına)</t>
        </is>
      </c>
      <c r="E44" s="14" t="inlineStr">
        <is>
          <t>Gün sayısı</t>
        </is>
      </c>
      <c r="F44" s="14" t="inlineStr">
        <is>
          <t>Tutar</t>
        </is>
      </c>
      <c r="G44" s="14" t="inlineStr">
        <is>
          <t>Satır notu</t>
        </is>
      </c>
    </row>
    <row r="45">
      <c r="A45" t="inlineStr">
        <is>
          <t>Satır 1</t>
        </is>
      </c>
      <c r="B45" s="6" t="n">
        <v>1</v>
      </c>
      <c r="C45" s="6" t="n">
        <v>5</v>
      </c>
      <c r="D45" s="18" t="n">
        <v>0</v>
      </c>
      <c r="E45" s="19">
        <f>IF(OR(B45="",$F$43=""),"",MAX(0,MIN($F$43,IF(C45="",$F$43,C45))-B45+1))</f>
        <v/>
      </c>
      <c r="F45" s="20">
        <f>IF(E45="","",E45*D45*$B$5)</f>
        <v/>
      </c>
      <c r="G45">
        <f>IF($J$5&lt;&gt;1,"",IF(B45="","",IF(NOT(ISNUMBER(B45)),"Başlangıç günü 1 veya daha büyük bir tam sayı olmalı.",IF(OR(B45&lt;1,B45&lt;&gt;INT(B45)),"Başlangıç günü 1 veya daha büyük bir tam sayı olmalı.",IF(NOT(ISNUMBER(D45)),"Günlük ücret girilmeli.",IF(D45&lt;0,"Günlük ücret eksi olamaz.",IF(C45="","",IF(NOT(ISNUMBER(C45)),"Bitiş günü bir tam sayı olmalı.",IF(C45&lt;&gt;INT(C45),"Bitiş günü bir tam sayı olmalı.",IF(C45&lt;B45,"Bitiş günü başlangıç gününden küçük olamaz.",""))))))))))</f>
        <v/>
      </c>
    </row>
    <row r="46">
      <c r="A46" t="inlineStr">
        <is>
          <t>Satır 2</t>
        </is>
      </c>
      <c r="B46" s="6" t="n">
        <v>6</v>
      </c>
      <c r="C46" s="6" t="n">
        <v>10</v>
      </c>
      <c r="D46" s="18" t="n">
        <v>35</v>
      </c>
      <c r="E46" s="19">
        <f>IF(OR(B46="",$F$43=""),"",MAX(0,MIN($F$43,IF(C46="",$F$43,C46))-B46+1))</f>
        <v/>
      </c>
      <c r="F46" s="20">
        <f>IF(E46="","",E46*D46*$B$5)</f>
        <v/>
      </c>
      <c r="G46">
        <f>IF($J$5&lt;&gt;1,"",IF(B46="","",IF(NOT(ISNUMBER(B46)),"Başlangıç günü 1 veya daha büyük bir tam sayı olmalı.",IF(OR(B46&lt;1,B46&lt;&gt;INT(B46)),"Başlangıç günü 1 veya daha büyük bir tam sayı olmalı.",IF(NOT(ISNUMBER(D46)),"Günlük ücret girilmeli.",IF(D46&lt;0,"Günlük ücret eksi olamaz.",IF(C46="","",IF(NOT(ISNUMBER(C46)),"Bitiş günü bir tam sayı olmalı.",IF(C46&lt;&gt;INT(C46),"Bitiş günü bir tam sayı olmalı.",IF(C46&lt;B46,"Bitiş günü başlangıç gününden küçük olamaz.",""))))))))))</f>
        <v/>
      </c>
    </row>
    <row r="47">
      <c r="A47" t="inlineStr">
        <is>
          <t>Satır 3</t>
        </is>
      </c>
      <c r="B47" s="6" t="n">
        <v>11</v>
      </c>
      <c r="C47" s="6" t="n"/>
      <c r="D47" s="18" t="n">
        <v>70</v>
      </c>
      <c r="E47" s="19">
        <f>IF(OR(B47="",$F$43=""),"",MAX(0,MIN($F$43,IF(C47="",$F$43,C47))-B47+1))</f>
        <v/>
      </c>
      <c r="F47" s="20">
        <f>IF(E47="","",E47*D47*$B$5)</f>
        <v/>
      </c>
      <c r="G47">
        <f>IF($J$5&lt;&gt;1,"",IF(B47="","",IF(NOT(ISNUMBER(B47)),"Başlangıç günü 1 veya daha büyük bir tam sayı olmalı.",IF(OR(B47&lt;1,B47&lt;&gt;INT(B47)),"Başlangıç günü 1 veya daha büyük bir tam sayı olmalı.",IF(NOT(ISNUMBER(D47)),"Günlük ücret girilmeli.",IF(D47&lt;0,"Günlük ücret eksi olamaz.",IF(C47="","",IF(NOT(ISNUMBER(C47)),"Bitiş günü bir tam sayı olmalı.",IF(C47&lt;&gt;INT(C47),"Bitiş günü bir tam sayı olmalı.",IF(C47&lt;B47,"Bitiş günü başlangıç gününden küçük olamaz.",""))))))))))</f>
        <v/>
      </c>
    </row>
    <row r="48">
      <c r="A48" t="inlineStr">
        <is>
          <t>Satır 4</t>
        </is>
      </c>
      <c r="B48" s="6" t="n"/>
      <c r="C48" s="6" t="n"/>
      <c r="D48" s="18" t="n"/>
      <c r="E48" s="19">
        <f>IF(OR(B48="",$F$43=""),"",MAX(0,MIN($F$43,IF(C48="",$F$43,C48))-B48+1))</f>
        <v/>
      </c>
      <c r="F48" s="20">
        <f>IF(E48="","",E48*D48*$B$5)</f>
        <v/>
      </c>
      <c r="G48">
        <f>IF($J$5&lt;&gt;1,"",IF(B48="","",IF(NOT(ISNUMBER(B48)),"Başlangıç günü 1 veya daha büyük bir tam sayı olmalı.",IF(OR(B48&lt;1,B48&lt;&gt;INT(B48)),"Başlangıç günü 1 veya daha büyük bir tam sayı olmalı.",IF(NOT(ISNUMBER(D48)),"Günlük ücret girilmeli.",IF(D48&lt;0,"Günlük ücret eksi olamaz.",IF(C48="","",IF(NOT(ISNUMBER(C48)),"Bitiş günü bir tam sayı olmalı.",IF(C48&lt;&gt;INT(C48),"Bitiş günü bir tam sayı olmalı.",IF(C48&lt;B48,"Bitiş günü başlangıç gününden küçük olamaz.",""))))))))))</f>
        <v/>
      </c>
    </row>
    <row r="49">
      <c r="A49" t="inlineStr">
        <is>
          <t>Satır 5</t>
        </is>
      </c>
      <c r="B49" s="6" t="n"/>
      <c r="C49" s="6" t="n"/>
      <c r="D49" s="18" t="n"/>
      <c r="E49" s="19">
        <f>IF(OR(B49="",$F$43=""),"",MAX(0,MIN($F$43,IF(C49="",$F$43,C49))-B49+1))</f>
        <v/>
      </c>
      <c r="F49" s="20">
        <f>IF(E49="","",E49*D49*$B$5)</f>
        <v/>
      </c>
      <c r="G49">
        <f>IF($J$5&lt;&gt;1,"",IF(B49="","",IF(NOT(ISNUMBER(B49)),"Başlangıç günü 1 veya daha büyük bir tam sayı olmalı.",IF(OR(B49&lt;1,B49&lt;&gt;INT(B49)),"Başlangıç günü 1 veya daha büyük bir tam sayı olmalı.",IF(NOT(ISNUMBER(D49)),"Günlük ücret girilmeli.",IF(D49&lt;0,"Günlük ücret eksi olamaz.",IF(C49="","",IF(NOT(ISNUMBER(C49)),"Bitiş günü bir tam sayı olmalı.",IF(C49&lt;&gt;INT(C49),"Bitiş günü bir tam sayı olmalı.",IF(C49&lt;B49,"Bitiş günü başlangıç gününden küçük olamaz.",""))))))))))</f>
        <v/>
      </c>
    </row>
    <row r="50">
      <c r="A50" s="21" t="inlineStr">
        <is>
          <t>Ara toplam</t>
        </is>
      </c>
      <c r="F50" s="22">
        <f>IF($F$43="","",SUM(F45:F49))</f>
        <v/>
      </c>
    </row>
    <row r="52">
      <c r="A52" s="4" t="inlineStr">
        <is>
          <t>Birleşik tarife (tahliyeden boş iadeye kadar)</t>
        </is>
      </c>
      <c r="B52" s="5" t="n"/>
      <c r="C52" s="15">
        <f>IF($J$5=1,"Bu hesap şeklinde kullanılmaz.","")</f>
        <v/>
      </c>
      <c r="D52" s="5" t="n"/>
      <c r="E52" s="16" t="inlineStr">
        <is>
          <t>Süre (gün)</t>
        </is>
      </c>
      <c r="F52" s="17">
        <f>IF(AND($B$16="Uyarı yok.",$J$5=2),$B$15-$B$13+$J$6,"")</f>
        <v/>
      </c>
      <c r="G52" s="5" t="n"/>
    </row>
    <row r="53" ht="32" customHeight="1">
      <c r="A53" s="14" t="inlineStr">
        <is>
          <t>Satır</t>
        </is>
      </c>
      <c r="B53" s="14" t="inlineStr">
        <is>
          <t>Başlangıç günü</t>
        </is>
      </c>
      <c r="C53" s="14" t="inlineStr">
        <is>
          <t>Bitiş günü (boşsa sonrası)</t>
        </is>
      </c>
      <c r="D53" s="14" t="inlineStr">
        <is>
          <t>Günlük ücret (konteyner başına)</t>
        </is>
      </c>
      <c r="E53" s="14" t="inlineStr">
        <is>
          <t>Gün sayısı</t>
        </is>
      </c>
      <c r="F53" s="14" t="inlineStr">
        <is>
          <t>Tutar</t>
        </is>
      </c>
      <c r="G53" s="14" t="inlineStr">
        <is>
          <t>Satır notu</t>
        </is>
      </c>
    </row>
    <row r="54">
      <c r="A54" t="inlineStr">
        <is>
          <t>Satır 1</t>
        </is>
      </c>
      <c r="B54" s="6" t="n">
        <v>1</v>
      </c>
      <c r="C54" s="6" t="n">
        <v>10</v>
      </c>
      <c r="D54" s="18" t="n">
        <v>0</v>
      </c>
      <c r="E54" s="19">
        <f>IF(OR(B54="",$F$52=""),"",MAX(0,MIN($F$52,IF(C54="",$F$52,C54))-B54+1))</f>
        <v/>
      </c>
      <c r="F54" s="20">
        <f>IF(E54="","",E54*D54*$B$5)</f>
        <v/>
      </c>
      <c r="G54">
        <f>IF($J$5&lt;&gt;2,"",IF(B54="","",IF(NOT(ISNUMBER(B54)),"Başlangıç günü 1 veya daha büyük bir tam sayı olmalı.",IF(OR(B54&lt;1,B54&lt;&gt;INT(B54)),"Başlangıç günü 1 veya daha büyük bir tam sayı olmalı.",IF(NOT(ISNUMBER(D54)),"Günlük ücret girilmeli.",IF(D54&lt;0,"Günlük ücret eksi olamaz.",IF(C54="","",IF(NOT(ISNUMBER(C54)),"Bitiş günü bir tam sayı olmalı.",IF(C54&lt;&gt;INT(C54),"Bitiş günü bir tam sayı olmalı.",IF(C54&lt;B54,"Bitiş günü başlangıç gününden küçük olamaz.",""))))))))))</f>
        <v/>
      </c>
    </row>
    <row r="55">
      <c r="A55" t="inlineStr">
        <is>
          <t>Satır 2</t>
        </is>
      </c>
      <c r="B55" s="6" t="n">
        <v>11</v>
      </c>
      <c r="C55" s="6" t="n">
        <v>20</v>
      </c>
      <c r="D55" s="18" t="n">
        <v>45</v>
      </c>
      <c r="E55" s="19">
        <f>IF(OR(B55="",$F$52=""),"",MAX(0,MIN($F$52,IF(C55="",$F$52,C55))-B55+1))</f>
        <v/>
      </c>
      <c r="F55" s="20">
        <f>IF(E55="","",E55*D55*$B$5)</f>
        <v/>
      </c>
      <c r="G55">
        <f>IF($J$5&lt;&gt;2,"",IF(B55="","",IF(NOT(ISNUMBER(B55)),"Başlangıç günü 1 veya daha büyük bir tam sayı olmalı.",IF(OR(B55&lt;1,B55&lt;&gt;INT(B55)),"Başlangıç günü 1 veya daha büyük bir tam sayı olmalı.",IF(NOT(ISNUMBER(D55)),"Günlük ücret girilmeli.",IF(D55&lt;0,"Günlük ücret eksi olamaz.",IF(C55="","",IF(NOT(ISNUMBER(C55)),"Bitiş günü bir tam sayı olmalı.",IF(C55&lt;&gt;INT(C55),"Bitiş günü bir tam sayı olmalı.",IF(C55&lt;B55,"Bitiş günü başlangıç gününden küçük olamaz.",""))))))))))</f>
        <v/>
      </c>
    </row>
    <row r="56">
      <c r="A56" t="inlineStr">
        <is>
          <t>Satır 3</t>
        </is>
      </c>
      <c r="B56" s="6" t="n">
        <v>21</v>
      </c>
      <c r="C56" s="6" t="n"/>
      <c r="D56" s="18" t="n">
        <v>90</v>
      </c>
      <c r="E56" s="19">
        <f>IF(OR(B56="",$F$52=""),"",MAX(0,MIN($F$52,IF(C56="",$F$52,C56))-B56+1))</f>
        <v/>
      </c>
      <c r="F56" s="20">
        <f>IF(E56="","",E56*D56*$B$5)</f>
        <v/>
      </c>
      <c r="G56">
        <f>IF($J$5&lt;&gt;2,"",IF(B56="","",IF(NOT(ISNUMBER(B56)),"Başlangıç günü 1 veya daha büyük bir tam sayı olmalı.",IF(OR(B56&lt;1,B56&lt;&gt;INT(B56)),"Başlangıç günü 1 veya daha büyük bir tam sayı olmalı.",IF(NOT(ISNUMBER(D56)),"Günlük ücret girilmeli.",IF(D56&lt;0,"Günlük ücret eksi olamaz.",IF(C56="","",IF(NOT(ISNUMBER(C56)),"Bitiş günü bir tam sayı olmalı.",IF(C56&lt;&gt;INT(C56),"Bitiş günü bir tam sayı olmalı.",IF(C56&lt;B56,"Bitiş günü başlangıç gününden küçük olamaz.",""))))))))))</f>
        <v/>
      </c>
    </row>
    <row r="57">
      <c r="A57" t="inlineStr">
        <is>
          <t>Satır 4</t>
        </is>
      </c>
      <c r="B57" s="6" t="n"/>
      <c r="C57" s="6" t="n"/>
      <c r="D57" s="18" t="n"/>
      <c r="E57" s="19">
        <f>IF(OR(B57="",$F$52=""),"",MAX(0,MIN($F$52,IF(C57="",$F$52,C57))-B57+1))</f>
        <v/>
      </c>
      <c r="F57" s="20">
        <f>IF(E57="","",E57*D57*$B$5)</f>
        <v/>
      </c>
      <c r="G57">
        <f>IF($J$5&lt;&gt;2,"",IF(B57="","",IF(NOT(ISNUMBER(B57)),"Başlangıç günü 1 veya daha büyük bir tam sayı olmalı.",IF(OR(B57&lt;1,B57&lt;&gt;INT(B57)),"Başlangıç günü 1 veya daha büyük bir tam sayı olmalı.",IF(NOT(ISNUMBER(D57)),"Günlük ücret girilmeli.",IF(D57&lt;0,"Günlük ücret eksi olamaz.",IF(C57="","",IF(NOT(ISNUMBER(C57)),"Bitiş günü bir tam sayı olmalı.",IF(C57&lt;&gt;INT(C57),"Bitiş günü bir tam sayı olmalı.",IF(C57&lt;B57,"Bitiş günü başlangıç gününden küçük olamaz.",""))))))))))</f>
        <v/>
      </c>
    </row>
    <row r="58">
      <c r="A58" t="inlineStr">
        <is>
          <t>Satır 5</t>
        </is>
      </c>
      <c r="B58" s="6" t="n"/>
      <c r="C58" s="6" t="n"/>
      <c r="D58" s="18" t="n"/>
      <c r="E58" s="19">
        <f>IF(OR(B58="",$F$52=""),"",MAX(0,MIN($F$52,IF(C58="",$F$52,C58))-B58+1))</f>
        <v/>
      </c>
      <c r="F58" s="20">
        <f>IF(E58="","",E58*D58*$B$5)</f>
        <v/>
      </c>
      <c r="G58">
        <f>IF($J$5&lt;&gt;2,"",IF(B58="","",IF(NOT(ISNUMBER(B58)),"Başlangıç günü 1 veya daha büyük bir tam sayı olmalı.",IF(OR(B58&lt;1,B58&lt;&gt;INT(B58)),"Başlangıç günü 1 veya daha büyük bir tam sayı olmalı.",IF(NOT(ISNUMBER(D58)),"Günlük ücret girilmeli.",IF(D58&lt;0,"Günlük ücret eksi olamaz.",IF(C58="","",IF(NOT(ISNUMBER(C58)),"Bitiş günü bir tam sayı olmalı.",IF(C58&lt;&gt;INT(C58),"Bitiş günü bir tam sayı olmalı.",IF(C58&lt;B58,"Bitiş günü başlangıç gününden küçük olamaz.",""))))))))))</f>
        <v/>
      </c>
    </row>
    <row r="59">
      <c r="A59" s="21" t="inlineStr">
        <is>
          <t>Ara toplam</t>
        </is>
      </c>
      <c r="F59" s="22">
        <f>IF($F$52="","",SUM(F54:F58))</f>
        <v/>
      </c>
    </row>
    <row r="61">
      <c r="A61" s="4" t="inlineStr">
        <is>
          <t>Ardiye tarifesi (tahliyeden çıkışa kadar, isteğe bağlı)</t>
        </is>
      </c>
      <c r="B61" s="5" t="n"/>
      <c r="C61" s="15" t="inlineStr">
        <is>
          <t>Boş bırakırsanız ardiye hesaplanmaz.</t>
        </is>
      </c>
      <c r="D61" s="5" t="n"/>
      <c r="E61" s="16" t="inlineStr">
        <is>
          <t>Süre (gün)</t>
        </is>
      </c>
      <c r="F61" s="17">
        <f>IF(AND($B$16="Uyarı yok.",$J$7=1),$B$14-$B$13+$J$6,"")</f>
        <v/>
      </c>
      <c r="G61" s="5" t="n"/>
    </row>
    <row r="62" ht="32" customHeight="1">
      <c r="A62" s="14" t="inlineStr">
        <is>
          <t>Satır</t>
        </is>
      </c>
      <c r="B62" s="14" t="inlineStr">
        <is>
          <t>Başlangıç günü</t>
        </is>
      </c>
      <c r="C62" s="14" t="inlineStr">
        <is>
          <t>Bitiş günü (boşsa sonrası)</t>
        </is>
      </c>
      <c r="D62" s="14" t="inlineStr">
        <is>
          <t>Günlük ücret (konteyner başına)</t>
        </is>
      </c>
      <c r="E62" s="14" t="inlineStr">
        <is>
          <t>Gün sayısı</t>
        </is>
      </c>
      <c r="F62" s="14" t="inlineStr">
        <is>
          <t>Tutar</t>
        </is>
      </c>
      <c r="G62" s="14" t="inlineStr">
        <is>
          <t>Satır notu</t>
        </is>
      </c>
    </row>
    <row r="63">
      <c r="A63" t="inlineStr">
        <is>
          <t>Satır 1</t>
        </is>
      </c>
      <c r="B63" s="6" t="n">
        <v>1</v>
      </c>
      <c r="C63" s="6" t="n">
        <v>3</v>
      </c>
      <c r="D63" s="18" t="n">
        <v>0</v>
      </c>
      <c r="E63" s="19">
        <f>IF(OR(B63="",$F$61=""),"",MAX(0,MIN($F$61,IF(C63="",$F$61,C63))-B63+1))</f>
        <v/>
      </c>
      <c r="F63" s="20">
        <f>IF(E63="","",E63*D63*$B$5)</f>
        <v/>
      </c>
      <c r="G63">
        <f>IF(B63="","",IF(NOT(ISNUMBER(B63)),"Başlangıç günü 1 veya daha büyük bir tam sayı olmalı.",IF(OR(B63&lt;1,B63&lt;&gt;INT(B63)),"Başlangıç günü 1 veya daha büyük bir tam sayı olmalı.",IF(NOT(ISNUMBER(D63)),"Günlük ücret girilmeli.",IF(D63&lt;0,"Günlük ücret eksi olamaz.",IF(C63="","",IF(NOT(ISNUMBER(C63)),"Bitiş günü bir tam sayı olmalı.",IF(C63&lt;&gt;INT(C63),"Bitiş günü bir tam sayı olmalı.",IF(C63&lt;B63,"Bitiş günü başlangıç gününden küçük olamaz.","")))))))))</f>
        <v/>
      </c>
    </row>
    <row r="64">
      <c r="A64" t="inlineStr">
        <is>
          <t>Satır 2</t>
        </is>
      </c>
      <c r="B64" s="6" t="n">
        <v>4</v>
      </c>
      <c r="C64" s="6" t="n">
        <v>10</v>
      </c>
      <c r="D64" s="18" t="n">
        <v>12</v>
      </c>
      <c r="E64" s="19">
        <f>IF(OR(B64="",$F$61=""),"",MAX(0,MIN($F$61,IF(C64="",$F$61,C64))-B64+1))</f>
        <v/>
      </c>
      <c r="F64" s="20">
        <f>IF(E64="","",E64*D64*$B$5)</f>
        <v/>
      </c>
      <c r="G64">
        <f>IF(B64="","",IF(NOT(ISNUMBER(B64)),"Başlangıç günü 1 veya daha büyük bir tam sayı olmalı.",IF(OR(B64&lt;1,B64&lt;&gt;INT(B64)),"Başlangıç günü 1 veya daha büyük bir tam sayı olmalı.",IF(NOT(ISNUMBER(D64)),"Günlük ücret girilmeli.",IF(D64&lt;0,"Günlük ücret eksi olamaz.",IF(C64="","",IF(NOT(ISNUMBER(C64)),"Bitiş günü bir tam sayı olmalı.",IF(C64&lt;&gt;INT(C64),"Bitiş günü bir tam sayı olmalı.",IF(C64&lt;B64,"Bitiş günü başlangıç gününden küçük olamaz.","")))))))))</f>
        <v/>
      </c>
    </row>
    <row r="65">
      <c r="A65" t="inlineStr">
        <is>
          <t>Satır 3</t>
        </is>
      </c>
      <c r="B65" s="6" t="n">
        <v>11</v>
      </c>
      <c r="C65" s="6" t="n"/>
      <c r="D65" s="18" t="n">
        <v>25</v>
      </c>
      <c r="E65" s="19">
        <f>IF(OR(B65="",$F$61=""),"",MAX(0,MIN($F$61,IF(C65="",$F$61,C65))-B65+1))</f>
        <v/>
      </c>
      <c r="F65" s="20">
        <f>IF(E65="","",E65*D65*$B$5)</f>
        <v/>
      </c>
      <c r="G65">
        <f>IF(B65="","",IF(NOT(ISNUMBER(B65)),"Başlangıç günü 1 veya daha büyük bir tam sayı olmalı.",IF(OR(B65&lt;1,B65&lt;&gt;INT(B65)),"Başlangıç günü 1 veya daha büyük bir tam sayı olmalı.",IF(NOT(ISNUMBER(D65)),"Günlük ücret girilmeli.",IF(D65&lt;0,"Günlük ücret eksi olamaz.",IF(C65="","",IF(NOT(ISNUMBER(C65)),"Bitiş günü bir tam sayı olmalı.",IF(C65&lt;&gt;INT(C65),"Bitiş günü bir tam sayı olmalı.",IF(C65&lt;B65,"Bitiş günü başlangıç gününden küçük olamaz.","")))))))))</f>
        <v/>
      </c>
    </row>
    <row r="66">
      <c r="A66" t="inlineStr">
        <is>
          <t>Satır 4</t>
        </is>
      </c>
      <c r="B66" s="6" t="n"/>
      <c r="C66" s="6" t="n"/>
      <c r="D66" s="18" t="n"/>
      <c r="E66" s="19">
        <f>IF(OR(B66="",$F$61=""),"",MAX(0,MIN($F$61,IF(C66="",$F$61,C66))-B66+1))</f>
        <v/>
      </c>
      <c r="F66" s="20">
        <f>IF(E66="","",E66*D66*$B$5)</f>
        <v/>
      </c>
      <c r="G66">
        <f>IF(B66="","",IF(NOT(ISNUMBER(B66)),"Başlangıç günü 1 veya daha büyük bir tam sayı olmalı.",IF(OR(B66&lt;1,B66&lt;&gt;INT(B66)),"Başlangıç günü 1 veya daha büyük bir tam sayı olmalı.",IF(NOT(ISNUMBER(D66)),"Günlük ücret girilmeli.",IF(D66&lt;0,"Günlük ücret eksi olamaz.",IF(C66="","",IF(NOT(ISNUMBER(C66)),"Bitiş günü bir tam sayı olmalı.",IF(C66&lt;&gt;INT(C66),"Bitiş günü bir tam sayı olmalı.",IF(C66&lt;B66,"Bitiş günü başlangıç gününden küçük olamaz.","")))))))))</f>
        <v/>
      </c>
    </row>
    <row r="67">
      <c r="A67" t="inlineStr">
        <is>
          <t>Satır 5</t>
        </is>
      </c>
      <c r="B67" s="6" t="n"/>
      <c r="C67" s="6" t="n"/>
      <c r="D67" s="18" t="n"/>
      <c r="E67" s="19">
        <f>IF(OR(B67="",$F$61=""),"",MAX(0,MIN($F$61,IF(C67="",$F$61,C67))-B67+1))</f>
        <v/>
      </c>
      <c r="F67" s="20">
        <f>IF(E67="","",E67*D67*$B$5)</f>
        <v/>
      </c>
      <c r="G67">
        <f>IF(B67="","",IF(NOT(ISNUMBER(B67)),"Başlangıç günü 1 veya daha büyük bir tam sayı olmalı.",IF(OR(B67&lt;1,B67&lt;&gt;INT(B67)),"Başlangıç günü 1 veya daha büyük bir tam sayı olmalı.",IF(NOT(ISNUMBER(D67)),"Günlük ücret girilmeli.",IF(D67&lt;0,"Günlük ücret eksi olamaz.",IF(C67="","",IF(NOT(ISNUMBER(C67)),"Bitiş günü bir tam sayı olmalı.",IF(C67&lt;&gt;INT(C67),"Bitiş günü bir tam sayı olmalı.",IF(C67&lt;B67,"Bitiş günü başlangıç gününden küçük olamaz.","")))))))))</f>
        <v/>
      </c>
    </row>
    <row r="68">
      <c r="A68" s="21" t="inlineStr">
        <is>
          <t>Ara toplam</t>
        </is>
      </c>
      <c r="F68" s="22">
        <f>IF($F$61="","",SUM(F63:F67))</f>
        <v/>
      </c>
    </row>
  </sheetData>
  <mergeCells count="1">
    <mergeCell ref="B29:G29"/>
  </mergeCells>
  <conditionalFormatting sqref="B16">
    <cfRule type="expression" priority="1" dxfId="0">
      <formula>$B$16&lt;&gt;"Uyarı yok."</formula>
    </cfRule>
  </conditionalFormatting>
  <conditionalFormatting sqref="G36:G40">
    <cfRule type="expression" priority="2" dxfId="1">
      <formula>LEN(G36)&gt;0</formula>
    </cfRule>
  </conditionalFormatting>
  <conditionalFormatting sqref="G45:G49">
    <cfRule type="expression" priority="3" dxfId="1">
      <formula>LEN(G45)&gt;0</formula>
    </cfRule>
  </conditionalFormatting>
  <conditionalFormatting sqref="G54:G58">
    <cfRule type="expression" priority="4" dxfId="1">
      <formula>LEN(G54)&gt;0</formula>
    </cfRule>
  </conditionalFormatting>
  <conditionalFormatting sqref="G63:G67">
    <cfRule type="expression" priority="5" dxfId="1">
      <formula>LEN(G63)&gt;0</formula>
    </cfRule>
  </conditionalFormatting>
  <dataValidations count="14">
    <dataValidation sqref="B36:C40" showDropDown="0" showInputMessage="0" showErrorMessage="1" allowBlank="1" errorTitle="Gün" error="1 veya daha büyük bir tam sayı yazın." type="whole" operator="greaterThanOrEqual">
      <formula1>1</formula1>
    </dataValidation>
    <dataValidation sqref="D36:D40" showDropDown="0" showInputMessage="0" showErrorMessage="1" allowBlank="1" errorTitle="Ücret" error="0 veya daha büyük bir sayı yazın." type="decimal" operator="greaterThanOrEqual">
      <formula1>0</formula1>
    </dataValidation>
    <dataValidation sqref="B45:C49" showDropDown="0" showInputMessage="0" showErrorMessage="1" allowBlank="1" errorTitle="Gün" error="1 veya daha büyük bir tam sayı yazın." type="whole" operator="greaterThanOrEqual">
      <formula1>1</formula1>
    </dataValidation>
    <dataValidation sqref="D45:D49" showDropDown="0" showInputMessage="0" showErrorMessage="1" allowBlank="1" errorTitle="Ücret" error="0 veya daha büyük bir sayı yazın." type="decimal" operator="greaterThanOrEqual">
      <formula1>0</formula1>
    </dataValidation>
    <dataValidation sqref="B54:C58" showDropDown="0" showInputMessage="0" showErrorMessage="1" allowBlank="1" errorTitle="Gün" error="1 veya daha büyük bir tam sayı yazın." type="whole" operator="greaterThanOrEqual">
      <formula1>1</formula1>
    </dataValidation>
    <dataValidation sqref="D54:D58" showDropDown="0" showInputMessage="0" showErrorMessage="1" allowBlank="1" errorTitle="Ücret" error="0 veya daha büyük bir sayı yazın." type="decimal" operator="greaterThanOrEqual">
      <formula1>0</formula1>
    </dataValidation>
    <dataValidation sqref="B63:C67" showDropDown="0" showInputMessage="0" showErrorMessage="1" allowBlank="1" errorTitle="Gün" error="1 veya daha büyük bir tam sayı yazın." type="whole" operator="greaterThanOrEqual">
      <formula1>1</formula1>
    </dataValidation>
    <dataValidation sqref="D63:D67" showDropDown="0" showInputMessage="0" showErrorMessage="1" allowBlank="1" errorTitle="Ücret" error="0 veya daha büyük bir sayı yazın." type="decimal" operator="greaterThanOrEqual">
      <formula1>0</formula1>
    </dataValidation>
    <dataValidation sqref="B5" showDropDown="0" showInputMessage="0" showErrorMessage="1" allowBlank="0" errorTitle="Konteyner sayısı" error="1 veya daha büyük bir tam sayı yazın." type="whole" operator="greaterThanOrEqual">
      <formula1>1</formula1>
    </dataValidation>
    <dataValidation sqref="B7" showDropDown="0" showInputMessage="0" showErrorMessage="1" allowBlank="0" errorTitle="Para birimi" error="Listeden seçin." type="list">
      <formula1>"USD,EUR,TRY"</formula1>
    </dataValidation>
    <dataValidation sqref="B8" showDropDown="0" showInputMessage="0" showErrorMessage="1" allowBlank="0" errorTitle="Hesap şekli" error="Listeden seçin." type="list">
      <formula1>"Ayrı (demuraj ve detention ayrı),Birleşik (tek serbest süre)"</formula1>
    </dataValidation>
    <dataValidation sqref="B9" showDropDown="0" showInputMessage="0" showErrorMessage="1" allowBlank="0" errorTitle="İlk gün" error="Evet veya Hayır seçin." type="list">
      <formula1>"Evet,Hayır"</formula1>
    </dataValidation>
    <dataValidation sqref="B10" showDropDown="0" showInputMessage="0" showErrorMessage="1" allowBlank="1" errorTitle="Kur" error="0'dan büyük bir sayı yazın." type="decimal" operator="greaterThan">
      <formula1>0</formula1>
    </dataValidation>
    <dataValidation sqref="B13:B15" showDropDown="0" showInputMessage="0" showErrorMessage="1" allowBlank="1" errorTitle="Tarih" error="Geçerli bir tarih yazın." type="date" operator="greaterThan">
      <formula1>36526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115" customWidth="1" min="1" max="1"/>
  </cols>
  <sheetData>
    <row r="1">
      <c r="A1" s="23" t="inlineStr">
        <is>
          <t>Demuraj, detention ve ardiye maliyeti (tahmin)</t>
        </is>
      </c>
    </row>
    <row r="2">
      <c r="A2" s="24" t="n"/>
    </row>
    <row r="3">
      <c r="A3" s="25" t="inlineStr">
        <is>
          <t>Ne yapar</t>
        </is>
      </c>
    </row>
    <row r="4" ht="32" customHeight="1">
      <c r="A4" s="24" t="inlineStr">
        <is>
          <t>Bu dosya, konteynerin tahliye, çıkış ve boş iade tarihlerinden demuraj, detention ve ardiye maliyetini tahmin eder. Siz taşıyıcınızın ve terminalinizin tarifesini kademe kademe girersiniz.</t>
        </is>
      </c>
    </row>
    <row r="5">
      <c r="A5" s="24" t="inlineStr">
        <is>
          <t>Sonuç bir tahmindir. Sözleşmenizdeki ve terminal tarifenizdeki koşullar geçerlidir.</t>
        </is>
      </c>
    </row>
    <row r="6">
      <c r="A6" s="24" t="n"/>
    </row>
    <row r="7">
      <c r="A7" s="25" t="inlineStr">
        <is>
          <t>Tanımlar</t>
        </is>
      </c>
    </row>
    <row r="8">
      <c r="A8" s="24" t="inlineStr">
        <is>
          <t>Demuraj: Dolu konteynerin tahliyeden terminal çıkışına kadar terminalde kaldığı günler.</t>
        </is>
      </c>
    </row>
    <row r="9">
      <c r="A9" s="24" t="inlineStr">
        <is>
          <t>Detention: Konteynerin terminalden çıkışından boş iadeye kadar terminal dışında geçen günler.</t>
        </is>
      </c>
    </row>
    <row r="10" ht="32" customHeight="1">
      <c r="A10" s="24" t="inlineStr">
        <is>
          <t>Birleşik süre: Bazı taşıyıcılar tahliyeden boş iadeye kadar tek bir serbest süre uygular. Bu durumda Hesap şekli olarak Birleşik seçilir.</t>
        </is>
      </c>
    </row>
    <row r="11" ht="32" customHeight="1">
      <c r="A11" s="24" t="inlineStr">
        <is>
          <t>Ardiye: Terminalin kendi tarifesiyle, demurajla aynı dönem için kestiği depolama bedeli. Tarife tablosu boşsa ardiye hesaplanmaz.</t>
        </is>
      </c>
    </row>
    <row r="12">
      <c r="A12" s="24" t="n"/>
    </row>
    <row r="13">
      <c r="A13" s="25" t="inlineStr">
        <is>
          <t>Nasıl kullanılır</t>
        </is>
      </c>
    </row>
    <row r="14">
      <c r="A14" s="24" t="inlineStr">
        <is>
          <t>1. İndirdiğiniz dosya Korumalı Görünüm'de açılırsa Düzenlemeyi Etkinleştir düğmesine tıklayın.</t>
        </is>
      </c>
    </row>
    <row r="15">
      <c r="A15" s="24" t="inlineStr">
        <is>
          <t>2. Hesapla sayfasında ayarları ve üç tarihi girin. Dosyadaki değerler örnektir.</t>
        </is>
      </c>
    </row>
    <row r="16" ht="32" customHeight="1">
      <c r="A16" s="24" t="inlineStr">
        <is>
          <t>3. Tarife tablolarını sözleşmenizdeki gibi doldurun. Serbest süre, ücreti 0 olan bir satırdır. Örneğin 1 ile 7. gün için 0, 8 ile 14. gün için 40, 15. gün ve sonrası için 80.</t>
        </is>
      </c>
    </row>
    <row r="17">
      <c r="A17" s="24" t="inlineStr">
        <is>
          <t>4. Uyarı satırında bir mesaj varsa sonuç gösterilmez. Mesajı okuyup girdiyi düzeltin.</t>
        </is>
      </c>
    </row>
    <row r="18">
      <c r="A18" s="24" t="inlineStr">
        <is>
          <t>5. Sonuç bölümünde süreleri, tutarları, genel toplamı ve özet cümlesini görürsünüz.</t>
        </is>
      </c>
    </row>
    <row r="19">
      <c r="A19" s="24" t="n"/>
    </row>
    <row r="20">
      <c r="A20" s="25" t="inlineStr">
        <is>
          <t>Hesap kuralı</t>
        </is>
      </c>
    </row>
    <row r="21" ht="32" customHeight="1">
      <c r="A21" s="24" t="inlineStr">
        <is>
          <t>Bir satırdaki gün sayısı: en büyük değer (0, en küçük değer (toplam gün, bitiş günü) eksi başlangıç günü artı 1). Tutar: gün sayısı x günlük ücret x konteyner sayısı.</t>
        </is>
      </c>
    </row>
    <row r="22" ht="32" customHeight="1">
      <c r="A22" s="24" t="inlineStr">
        <is>
          <t>Ayrı modda demuraj tahliyeden çıkışa, detention çıkıştan boş iadeye kadar hesaplanır. Birleşik modda tahliyeden boş iadeye kadar tek tablo kullanılır. Ardiye her iki modda tahliyeden çıkışa kadardır.</t>
        </is>
      </c>
    </row>
    <row r="23" ht="32" customHeight="1">
      <c r="A23" s="24" t="inlineStr">
        <is>
          <t>İlk gün sayılır mı sorusu, başlangıç gününün 1. gün olup olmadığını belirler. Taşıyıcınızın tarifesinde yazan kurala göre seçin.</t>
        </is>
      </c>
    </row>
    <row r="24" ht="32" customHeight="1">
      <c r="A24" s="24" t="inlineStr">
        <is>
          <t>İlk gün sayılıyorsa çıkış günü hem demurajın son günü hem detention'ın ilk günü olur. Taşıyıcınız bu günü yalnızca bir tarafta sayıyorsa sonucu buna göre düzeltin.</t>
        </is>
      </c>
    </row>
    <row r="25">
      <c r="A25" s="24" t="n"/>
    </row>
    <row r="26">
      <c r="A26" s="25" t="inlineStr">
        <is>
          <t>Sınırlar</t>
        </is>
      </c>
    </row>
    <row r="27" ht="32" customHeight="1">
      <c r="A27" s="24" t="inlineStr">
        <is>
          <t>Tüm sayımlar takvim günüdür. Hafta sonu ve tatiller sayıma dahildir. Hafta sonunu veya tatili saymayan tarifeler için bu dosya uygun değildir.</t>
        </is>
      </c>
    </row>
    <row r="28" ht="32" customHeight="1">
      <c r="A28" s="24" t="inlineStr">
        <is>
          <t>Tarifeler taşıyıcıya, limana ve sözleşmeye göre değişir. Bu dosya vergi, KDV, işlem ücreti, serbest süre uzatması, azami tutar ve konteyner tipine göre farkları kendiliğinden bilmez.</t>
        </is>
      </c>
    </row>
    <row r="29">
      <c r="A29" s="24" t="inlineStr">
        <is>
          <t>Tarife satırlarının çakışmamasını siz sağlarsınız. Çakışan satırlar iki kez ücretlendirilir.</t>
        </is>
      </c>
    </row>
    <row r="30">
      <c r="A30" s="24" t="inlineStr">
        <is>
          <t>Kur kutusu isteğe bağlıdır ve elle girilir. Dosya kur çekmez.</t>
        </is>
      </c>
    </row>
    <row r="31">
      <c r="A31" s="24" t="inlineStr">
        <is>
          <t>Bu dosya makro içermez. Sayfalar korumasızdır, bu yüzden formül hücrelerini yanlışlıkla silmemeye dikkat edin.</t>
        </is>
      </c>
    </row>
    <row r="32">
      <c r="A32" s="24" t="n"/>
    </row>
    <row r="33">
      <c r="A33" s="24" t="inlineStr">
        <is>
          <t>Sürüm tarihi: 2026-10-19</t>
        </is>
      </c>
    </row>
    <row r="34">
      <c r="A34" s="24" t="inlineStr">
        <is>
          <t>MIT lisansı</t>
        </is>
      </c>
    </row>
    <row r="35">
      <c r="A35" s="26" t="inlineStr">
        <is>
          <t>LogisticsIQ hazırladı: https://logisticsiq.org</t>
        </is>
      </c>
    </row>
  </sheetData>
  <hyperlinks>
    <hyperlink xmlns:r="http://schemas.openxmlformats.org/officeDocument/2006/relationships" ref="A35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LogisticsIQ</dc:creator>
  <dc:title>Demuraj, detention ve ardiye maliyeti (tahmin)</dc:title>
  <dcterms:created xsi:type="dcterms:W3CDTF">2026-10-19T12:00:00Z</dcterms:created>
  <dcterms:modified xsi:type="dcterms:W3CDTF">2026-10-19T12:00:00Z</dcterms:modified>
</cp:coreProperties>
</file>